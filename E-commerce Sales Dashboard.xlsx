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316e43f70e715944/Desktop/"/>
    </mc:Choice>
  </mc:AlternateContent>
  <xr:revisionPtr revIDLastSave="1759" documentId="8_{9D04BC7F-5FB8-4C78-A530-A7C11FE34B84}" xr6:coauthVersionLast="47" xr6:coauthVersionMax="47" xr10:uidLastSave="{5A553ABA-62C0-4072-B4E6-D48359AC91AD}"/>
  <bookViews>
    <workbookView xWindow="-108" yWindow="-108" windowWidth="23256" windowHeight="12456" activeTab="3" xr2:uid="{4280F259-E6E7-4B36-A979-6CC90B3B1F04}"/>
  </bookViews>
  <sheets>
    <sheet name="Data" sheetId="1" r:id="rId1"/>
    <sheet name="Pivot table" sheetId="2" r:id="rId2"/>
    <sheet name="Charts" sheetId="3" r:id="rId3"/>
    <sheet name="Dashboard" sheetId="4" r:id="rId4"/>
  </sheets>
  <definedNames>
    <definedName name="NativeTimeline_Order_Date">#N/A</definedName>
    <definedName name="Slicer_Brand">#N/A</definedName>
    <definedName name="Slicer_Category">#N/A</definedName>
    <definedName name="Slicer_Customer_Type">#N/A</definedName>
    <definedName name="Slicer_Order_Status">#N/A</definedName>
    <definedName name="Slicer_Payment_Mode">#N/A</definedName>
    <definedName name="Slicer_Region">#N/A</definedName>
    <definedName name="Slicer_Year">#N/A</definedName>
  </definedNames>
  <calcPr calcId="191029"/>
  <pivotCaches>
    <pivotCache cacheId="8"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O19" i="1" l="1"/>
  <c r="AO15" i="1"/>
  <c r="AN13" i="1"/>
  <c r="AN9" i="1"/>
  <c r="AN7" i="1"/>
  <c r="AJ384" i="1" a="1"/>
  <c r="AJ384" i="1" s="1"/>
  <c r="AJ387" i="1" a="1"/>
  <c r="AJ387" i="1" s="1"/>
  <c r="AJ393" i="1" a="1"/>
  <c r="AJ393" i="1" s="1"/>
  <c r="AJ399" i="1" a="1"/>
  <c r="AJ399" i="1" s="1"/>
  <c r="AJ413" i="1" a="1"/>
  <c r="AJ413" i="1" s="1"/>
  <c r="AJ416" i="1" a="1"/>
  <c r="AJ416" i="1" s="1"/>
  <c r="AJ422" i="1" a="1"/>
  <c r="AJ422" i="1" s="1"/>
  <c r="AJ436" i="1" a="1"/>
  <c r="AJ436" i="1" s="1"/>
  <c r="AJ442" i="1" a="1"/>
  <c r="AJ442" i="1" s="1"/>
  <c r="AJ445" i="1" a="1"/>
  <c r="AJ445" i="1" s="1"/>
  <c r="AJ453" i="1" a="1"/>
  <c r="AJ453" i="1" s="1"/>
  <c r="AJ457" i="1" a="1"/>
  <c r="AJ457" i="1" s="1"/>
  <c r="AJ459" i="1" a="1"/>
  <c r="AJ459" i="1" s="1"/>
  <c r="AJ461" i="1" a="1"/>
  <c r="AJ461" i="1" s="1"/>
  <c r="AJ463" i="1" a="1"/>
  <c r="AJ463" i="1" s="1"/>
  <c r="AJ471" i="1" a="1"/>
  <c r="AJ471" i="1" s="1"/>
  <c r="AJ482" i="1" a="1"/>
  <c r="AJ482" i="1" s="1"/>
  <c r="AJ490" i="1" a="1"/>
  <c r="AJ490" i="1" s="1"/>
  <c r="AJ495" i="1" a="1"/>
  <c r="AJ495" i="1" s="1"/>
  <c r="AI501" i="1"/>
  <c r="AG501" i="1"/>
  <c r="AF501" i="1"/>
  <c r="AE501" i="1"/>
  <c r="AD501" i="1"/>
  <c r="AC501" i="1"/>
  <c r="AB501" i="1"/>
  <c r="Y501" i="1"/>
  <c r="U501" i="1"/>
  <c r="V501" i="1" s="1"/>
  <c r="S501" i="1"/>
  <c r="AJ501" i="1" s="1" a="1"/>
  <c r="AJ501" i="1" s="1"/>
  <c r="AI500" i="1"/>
  <c r="AG500" i="1"/>
  <c r="AF500" i="1"/>
  <c r="AE500" i="1"/>
  <c r="AD500" i="1"/>
  <c r="AC500" i="1"/>
  <c r="AB500" i="1"/>
  <c r="Y500" i="1"/>
  <c r="S500" i="1"/>
  <c r="AJ500" i="1" s="1" a="1"/>
  <c r="AJ500" i="1" s="1"/>
  <c r="AI499" i="1"/>
  <c r="AH499" i="1"/>
  <c r="AG499" i="1"/>
  <c r="AF499" i="1"/>
  <c r="AE499" i="1"/>
  <c r="AD499" i="1"/>
  <c r="AC499" i="1"/>
  <c r="AB499" i="1"/>
  <c r="Y499" i="1"/>
  <c r="S499" i="1"/>
  <c r="Z499" i="1" s="1"/>
  <c r="AI498" i="1"/>
  <c r="AG498" i="1"/>
  <c r="AF498" i="1"/>
  <c r="AE498" i="1"/>
  <c r="AD498" i="1"/>
  <c r="AC498" i="1"/>
  <c r="AB498" i="1"/>
  <c r="Y498" i="1"/>
  <c r="S498" i="1"/>
  <c r="AH498" i="1" s="1"/>
  <c r="AI497" i="1"/>
  <c r="AG497" i="1"/>
  <c r="AF497" i="1"/>
  <c r="AE497" i="1"/>
  <c r="AD497" i="1"/>
  <c r="AC497" i="1"/>
  <c r="AB497" i="1"/>
  <c r="Y497" i="1"/>
  <c r="S497" i="1"/>
  <c r="Z497" i="1" s="1"/>
  <c r="AI496" i="1"/>
  <c r="AG496" i="1"/>
  <c r="AF496" i="1"/>
  <c r="AE496" i="1"/>
  <c r="AD496" i="1"/>
  <c r="AC496" i="1"/>
  <c r="AB496" i="1"/>
  <c r="Z496" i="1"/>
  <c r="Y496" i="1"/>
  <c r="S496" i="1"/>
  <c r="AH496" i="1" s="1"/>
  <c r="AI495" i="1"/>
  <c r="AG495" i="1"/>
  <c r="AF495" i="1"/>
  <c r="AE495" i="1"/>
  <c r="AD495" i="1"/>
  <c r="AC495" i="1"/>
  <c r="AB495" i="1"/>
  <c r="Y495" i="1"/>
  <c r="S495" i="1"/>
  <c r="Z495" i="1" s="1"/>
  <c r="AI494" i="1"/>
  <c r="AG494" i="1"/>
  <c r="AF494" i="1"/>
  <c r="AE494" i="1"/>
  <c r="AD494" i="1"/>
  <c r="AC494" i="1"/>
  <c r="AB494" i="1"/>
  <c r="Z494" i="1"/>
  <c r="Y494" i="1"/>
  <c r="S494" i="1"/>
  <c r="AJ494" i="1" s="1" a="1"/>
  <c r="AJ494" i="1" s="1"/>
  <c r="AI493" i="1"/>
  <c r="AH493" i="1"/>
  <c r="AG493" i="1"/>
  <c r="AF493" i="1"/>
  <c r="AE493" i="1"/>
  <c r="AD493" i="1"/>
  <c r="AC493" i="1"/>
  <c r="AB493" i="1"/>
  <c r="Y493" i="1"/>
  <c r="U493" i="1"/>
  <c r="V493" i="1" s="1"/>
  <c r="S493" i="1"/>
  <c r="Z493" i="1" s="1"/>
  <c r="AI492" i="1"/>
  <c r="AG492" i="1"/>
  <c r="AF492" i="1"/>
  <c r="AE492" i="1"/>
  <c r="AD492" i="1"/>
  <c r="AC492" i="1"/>
  <c r="AB492" i="1"/>
  <c r="Y492" i="1"/>
  <c r="S492" i="1"/>
  <c r="U492" i="1" s="1"/>
  <c r="V492" i="1" s="1"/>
  <c r="AI491" i="1"/>
  <c r="AG491" i="1"/>
  <c r="AF491" i="1"/>
  <c r="AE491" i="1"/>
  <c r="AD491" i="1"/>
  <c r="AC491" i="1"/>
  <c r="AB491" i="1"/>
  <c r="Y491" i="1"/>
  <c r="S491" i="1"/>
  <c r="Z491" i="1" s="1"/>
  <c r="AI490" i="1"/>
  <c r="AG490" i="1"/>
  <c r="AF490" i="1"/>
  <c r="AE490" i="1"/>
  <c r="AD490" i="1"/>
  <c r="AC490" i="1"/>
  <c r="AB490" i="1"/>
  <c r="Y490" i="1"/>
  <c r="U490" i="1"/>
  <c r="V490" i="1" s="1"/>
  <c r="S490" i="1"/>
  <c r="AH490" i="1" s="1"/>
  <c r="AI489" i="1"/>
  <c r="AH489" i="1"/>
  <c r="AG489" i="1"/>
  <c r="AF489" i="1"/>
  <c r="AE489" i="1"/>
  <c r="AD489" i="1"/>
  <c r="AC489" i="1"/>
  <c r="AB489" i="1"/>
  <c r="Y489" i="1"/>
  <c r="U489" i="1"/>
  <c r="V489" i="1" s="1"/>
  <c r="S489" i="1"/>
  <c r="Z489" i="1" s="1"/>
  <c r="AI488" i="1"/>
  <c r="AG488" i="1"/>
  <c r="AF488" i="1"/>
  <c r="AE488" i="1"/>
  <c r="AD488" i="1"/>
  <c r="AC488" i="1"/>
  <c r="AB488" i="1"/>
  <c r="Y488" i="1"/>
  <c r="S488" i="1"/>
  <c r="AH488" i="1" s="1"/>
  <c r="AI487" i="1"/>
  <c r="AG487" i="1"/>
  <c r="AF487" i="1"/>
  <c r="AE487" i="1"/>
  <c r="AD487" i="1"/>
  <c r="AC487" i="1"/>
  <c r="AB487" i="1"/>
  <c r="Y487" i="1"/>
  <c r="S487" i="1"/>
  <c r="Z487" i="1" s="1"/>
  <c r="AI486" i="1"/>
  <c r="AG486" i="1"/>
  <c r="AF486" i="1"/>
  <c r="AE486" i="1"/>
  <c r="AD486" i="1"/>
  <c r="AC486" i="1"/>
  <c r="AB486" i="1"/>
  <c r="Z486" i="1"/>
  <c r="Y486" i="1"/>
  <c r="S486" i="1"/>
  <c r="AJ486" i="1" s="1" a="1"/>
  <c r="AJ486" i="1" s="1"/>
  <c r="AI485" i="1"/>
  <c r="AH485" i="1"/>
  <c r="AG485" i="1"/>
  <c r="AF485" i="1"/>
  <c r="AE485" i="1"/>
  <c r="AD485" i="1"/>
  <c r="AC485" i="1"/>
  <c r="AB485" i="1"/>
  <c r="Y485" i="1"/>
  <c r="S485" i="1"/>
  <c r="Z485" i="1" s="1"/>
  <c r="AI484" i="1"/>
  <c r="AG484" i="1"/>
  <c r="AF484" i="1"/>
  <c r="AE484" i="1"/>
  <c r="AD484" i="1"/>
  <c r="AC484" i="1"/>
  <c r="AB484" i="1"/>
  <c r="Y484" i="1"/>
  <c r="S484" i="1"/>
  <c r="AJ484" i="1" s="1" a="1"/>
  <c r="AJ484" i="1" s="1"/>
  <c r="AI483" i="1"/>
  <c r="AG483" i="1"/>
  <c r="AF483" i="1"/>
  <c r="AE483" i="1"/>
  <c r="AD483" i="1"/>
  <c r="AC483" i="1"/>
  <c r="AB483" i="1"/>
  <c r="Y483" i="1"/>
  <c r="S483" i="1"/>
  <c r="Z483" i="1" s="1"/>
  <c r="AI482" i="1"/>
  <c r="AG482" i="1"/>
  <c r="AF482" i="1"/>
  <c r="AE482" i="1"/>
  <c r="AD482" i="1"/>
  <c r="AC482" i="1"/>
  <c r="AB482" i="1"/>
  <c r="Y482" i="1"/>
  <c r="U482" i="1"/>
  <c r="V482" i="1" s="1"/>
  <c r="S482" i="1"/>
  <c r="AH482" i="1" s="1"/>
  <c r="AI481" i="1"/>
  <c r="AH481" i="1"/>
  <c r="AG481" i="1"/>
  <c r="AF481" i="1"/>
  <c r="AE481" i="1"/>
  <c r="AD481" i="1"/>
  <c r="AC481" i="1"/>
  <c r="AB481" i="1"/>
  <c r="Y481" i="1"/>
  <c r="U481" i="1"/>
  <c r="V481" i="1" s="1"/>
  <c r="S481" i="1"/>
  <c r="Z481" i="1" s="1"/>
  <c r="AI480" i="1"/>
  <c r="AG480" i="1"/>
  <c r="AF480" i="1"/>
  <c r="AE480" i="1"/>
  <c r="AD480" i="1"/>
  <c r="AC480" i="1"/>
  <c r="AB480" i="1"/>
  <c r="Y480" i="1"/>
  <c r="S480" i="1"/>
  <c r="AH480" i="1" s="1"/>
  <c r="AI479" i="1"/>
  <c r="AG479" i="1"/>
  <c r="AF479" i="1"/>
  <c r="AE479" i="1"/>
  <c r="AD479" i="1"/>
  <c r="AC479" i="1"/>
  <c r="AB479" i="1"/>
  <c r="Y479" i="1"/>
  <c r="S479" i="1"/>
  <c r="Z479" i="1" s="1"/>
  <c r="AI478" i="1"/>
  <c r="AG478" i="1"/>
  <c r="AF478" i="1"/>
  <c r="AE478" i="1"/>
  <c r="AD478" i="1"/>
  <c r="AC478" i="1"/>
  <c r="AB478" i="1"/>
  <c r="Y478" i="1"/>
  <c r="S478" i="1"/>
  <c r="AJ478" i="1" s="1" a="1"/>
  <c r="AJ478" i="1" s="1"/>
  <c r="AI477" i="1"/>
  <c r="AH477" i="1"/>
  <c r="AG477" i="1"/>
  <c r="AF477" i="1"/>
  <c r="AE477" i="1"/>
  <c r="AD477" i="1"/>
  <c r="AC477" i="1"/>
  <c r="AB477" i="1"/>
  <c r="Y477" i="1"/>
  <c r="U477" i="1"/>
  <c r="V477" i="1" s="1"/>
  <c r="S477" i="1"/>
  <c r="Z477" i="1" s="1"/>
  <c r="AI476" i="1"/>
  <c r="AG476" i="1"/>
  <c r="AF476" i="1"/>
  <c r="AE476" i="1"/>
  <c r="AD476" i="1"/>
  <c r="AC476" i="1"/>
  <c r="AB476" i="1"/>
  <c r="Y476" i="1"/>
  <c r="S476" i="1"/>
  <c r="AJ476" i="1" s="1" a="1"/>
  <c r="AJ476" i="1" s="1"/>
  <c r="AI475" i="1"/>
  <c r="AH475" i="1"/>
  <c r="AG475" i="1"/>
  <c r="AF475" i="1"/>
  <c r="AE475" i="1"/>
  <c r="AD475" i="1"/>
  <c r="AC475" i="1"/>
  <c r="AB475" i="1"/>
  <c r="Y475" i="1"/>
  <c r="S475" i="1"/>
  <c r="Z475" i="1" s="1"/>
  <c r="AI474" i="1"/>
  <c r="AG474" i="1"/>
  <c r="AF474" i="1"/>
  <c r="AE474" i="1"/>
  <c r="AD474" i="1"/>
  <c r="AC474" i="1"/>
  <c r="AB474" i="1"/>
  <c r="Y474" i="1"/>
  <c r="S474" i="1"/>
  <c r="AH474" i="1" s="1"/>
  <c r="AI473" i="1"/>
  <c r="AG473" i="1"/>
  <c r="AF473" i="1"/>
  <c r="AE473" i="1"/>
  <c r="AD473" i="1"/>
  <c r="AC473" i="1"/>
  <c r="AB473" i="1"/>
  <c r="Y473" i="1"/>
  <c r="S473" i="1"/>
  <c r="Z473" i="1" s="1"/>
  <c r="AI472" i="1"/>
  <c r="AG472" i="1"/>
  <c r="AF472" i="1"/>
  <c r="AE472" i="1"/>
  <c r="AD472" i="1"/>
  <c r="AC472" i="1"/>
  <c r="AB472" i="1"/>
  <c r="Z472" i="1"/>
  <c r="Y472" i="1"/>
  <c r="S472" i="1"/>
  <c r="AH472" i="1" s="1"/>
  <c r="AI471" i="1"/>
  <c r="AG471" i="1"/>
  <c r="AF471" i="1"/>
  <c r="AE471" i="1"/>
  <c r="AD471" i="1"/>
  <c r="AC471" i="1"/>
  <c r="AB471" i="1"/>
  <c r="Y471" i="1"/>
  <c r="S471" i="1"/>
  <c r="Z471" i="1" s="1"/>
  <c r="AI470" i="1"/>
  <c r="AG470" i="1"/>
  <c r="AF470" i="1"/>
  <c r="AE470" i="1"/>
  <c r="AD470" i="1"/>
  <c r="AC470" i="1"/>
  <c r="AB470" i="1"/>
  <c r="Y470" i="1"/>
  <c r="S470" i="1"/>
  <c r="AJ470" i="1" s="1" a="1"/>
  <c r="AJ470" i="1" s="1"/>
  <c r="AI469" i="1"/>
  <c r="AG469" i="1"/>
  <c r="AF469" i="1"/>
  <c r="AE469" i="1"/>
  <c r="AD469" i="1"/>
  <c r="AC469" i="1"/>
  <c r="AB469" i="1"/>
  <c r="Y469" i="1"/>
  <c r="S469" i="1"/>
  <c r="Z469" i="1" s="1"/>
  <c r="AI468" i="1"/>
  <c r="AG468" i="1"/>
  <c r="AF468" i="1"/>
  <c r="AE468" i="1"/>
  <c r="AD468" i="1"/>
  <c r="AC468" i="1"/>
  <c r="AB468" i="1"/>
  <c r="Y468" i="1"/>
  <c r="S468" i="1"/>
  <c r="U468" i="1" s="1"/>
  <c r="V468" i="1" s="1"/>
  <c r="AI467" i="1"/>
  <c r="AH467" i="1"/>
  <c r="AG467" i="1"/>
  <c r="AF467" i="1"/>
  <c r="AE467" i="1"/>
  <c r="AD467" i="1"/>
  <c r="AC467" i="1"/>
  <c r="AB467" i="1"/>
  <c r="Y467" i="1"/>
  <c r="S467" i="1"/>
  <c r="Z467" i="1" s="1"/>
  <c r="AI466" i="1"/>
  <c r="AG466" i="1"/>
  <c r="AF466" i="1"/>
  <c r="AE466" i="1"/>
  <c r="AD466" i="1"/>
  <c r="AC466" i="1"/>
  <c r="AB466" i="1"/>
  <c r="Y466" i="1"/>
  <c r="S466" i="1"/>
  <c r="AH466" i="1" s="1"/>
  <c r="AI465" i="1"/>
  <c r="AG465" i="1"/>
  <c r="AF465" i="1"/>
  <c r="AE465" i="1"/>
  <c r="AD465" i="1"/>
  <c r="AC465" i="1"/>
  <c r="AB465" i="1"/>
  <c r="Y465" i="1"/>
  <c r="S465" i="1"/>
  <c r="Z465" i="1" s="1"/>
  <c r="AI464" i="1"/>
  <c r="AG464" i="1"/>
  <c r="AF464" i="1"/>
  <c r="AE464" i="1"/>
  <c r="AD464" i="1"/>
  <c r="AC464" i="1"/>
  <c r="AB464" i="1"/>
  <c r="Z464" i="1"/>
  <c r="Y464" i="1"/>
  <c r="S464" i="1"/>
  <c r="AH464" i="1" s="1"/>
  <c r="AI463" i="1"/>
  <c r="AG463" i="1"/>
  <c r="AF463" i="1"/>
  <c r="AE463" i="1"/>
  <c r="AD463" i="1"/>
  <c r="AC463" i="1"/>
  <c r="AB463" i="1"/>
  <c r="Y463" i="1"/>
  <c r="S463" i="1"/>
  <c r="Z463" i="1" s="1"/>
  <c r="AI462" i="1"/>
  <c r="AG462" i="1"/>
  <c r="AF462" i="1"/>
  <c r="AE462" i="1"/>
  <c r="AD462" i="1"/>
  <c r="AC462" i="1"/>
  <c r="AB462" i="1"/>
  <c r="Z462" i="1"/>
  <c r="Y462" i="1"/>
  <c r="S462" i="1"/>
  <c r="AJ462" i="1" s="1" a="1"/>
  <c r="AJ462" i="1" s="1"/>
  <c r="AI461" i="1"/>
  <c r="AH461" i="1"/>
  <c r="AG461" i="1"/>
  <c r="AF461" i="1"/>
  <c r="AE461" i="1"/>
  <c r="AD461" i="1"/>
  <c r="AC461" i="1"/>
  <c r="AB461" i="1"/>
  <c r="Y461" i="1"/>
  <c r="U461" i="1"/>
  <c r="V461" i="1" s="1"/>
  <c r="S461" i="1"/>
  <c r="Z461" i="1" s="1"/>
  <c r="AI460" i="1"/>
  <c r="AG460" i="1"/>
  <c r="AF460" i="1"/>
  <c r="AE460" i="1"/>
  <c r="AD460" i="1"/>
  <c r="AC460" i="1"/>
  <c r="AB460" i="1"/>
  <c r="Y460" i="1"/>
  <c r="S460" i="1"/>
  <c r="AJ460" i="1" s="1" a="1"/>
  <c r="AJ460" i="1" s="1"/>
  <c r="AI459" i="1"/>
  <c r="AG459" i="1"/>
  <c r="AF459" i="1"/>
  <c r="AE459" i="1"/>
  <c r="AD459" i="1"/>
  <c r="AC459" i="1"/>
  <c r="AB459" i="1"/>
  <c r="Y459" i="1"/>
  <c r="S459" i="1"/>
  <c r="Z459" i="1" s="1"/>
  <c r="AI458" i="1"/>
  <c r="AG458" i="1"/>
  <c r="AF458" i="1"/>
  <c r="AE458" i="1"/>
  <c r="AD458" i="1"/>
  <c r="AC458" i="1"/>
  <c r="AB458" i="1"/>
  <c r="Y458" i="1"/>
  <c r="U458" i="1"/>
  <c r="V458" i="1" s="1"/>
  <c r="S458" i="1"/>
  <c r="AH458" i="1" s="1"/>
  <c r="AI457" i="1"/>
  <c r="AH457" i="1"/>
  <c r="AG457" i="1"/>
  <c r="AF457" i="1"/>
  <c r="AE457" i="1"/>
  <c r="AD457" i="1"/>
  <c r="AC457" i="1"/>
  <c r="AB457" i="1"/>
  <c r="Y457" i="1"/>
  <c r="U457" i="1"/>
  <c r="V457" i="1" s="1"/>
  <c r="S457" i="1"/>
  <c r="Z457" i="1" s="1"/>
  <c r="AI456" i="1"/>
  <c r="AG456" i="1"/>
  <c r="AF456" i="1"/>
  <c r="AE456" i="1"/>
  <c r="AD456" i="1"/>
  <c r="AC456" i="1"/>
  <c r="AB456" i="1"/>
  <c r="Y456" i="1"/>
  <c r="S456" i="1"/>
  <c r="AH456" i="1" s="1"/>
  <c r="AI455" i="1"/>
  <c r="AG455" i="1"/>
  <c r="AF455" i="1"/>
  <c r="AE455" i="1"/>
  <c r="AD455" i="1"/>
  <c r="AC455" i="1"/>
  <c r="AB455" i="1"/>
  <c r="Y455" i="1"/>
  <c r="S455" i="1"/>
  <c r="Z455" i="1" s="1"/>
  <c r="AI454" i="1"/>
  <c r="AG454" i="1"/>
  <c r="AF454" i="1"/>
  <c r="AE454" i="1"/>
  <c r="AD454" i="1"/>
  <c r="AC454" i="1"/>
  <c r="AB454" i="1"/>
  <c r="Z454" i="1"/>
  <c r="Y454" i="1"/>
  <c r="S454" i="1"/>
  <c r="AJ454" i="1" s="1" a="1"/>
  <c r="AJ454" i="1" s="1"/>
  <c r="AI453" i="1"/>
  <c r="AH453" i="1"/>
  <c r="AG453" i="1"/>
  <c r="AF453" i="1"/>
  <c r="AE453" i="1"/>
  <c r="AD453" i="1"/>
  <c r="AC453" i="1"/>
  <c r="AB453" i="1"/>
  <c r="Y453" i="1"/>
  <c r="S453" i="1"/>
  <c r="Z453" i="1" s="1"/>
  <c r="AI452" i="1"/>
  <c r="AG452" i="1"/>
  <c r="AF452" i="1"/>
  <c r="AE452" i="1"/>
  <c r="AD452" i="1"/>
  <c r="AC452" i="1"/>
  <c r="AB452" i="1"/>
  <c r="Y452" i="1"/>
  <c r="S452" i="1"/>
  <c r="AJ452" i="1" s="1" a="1"/>
  <c r="AJ452" i="1" s="1"/>
  <c r="AI451" i="1"/>
  <c r="AG451" i="1"/>
  <c r="AF451" i="1"/>
  <c r="AE451" i="1"/>
  <c r="AD451" i="1"/>
  <c r="AC451" i="1"/>
  <c r="AB451" i="1"/>
  <c r="Y451" i="1"/>
  <c r="S451" i="1"/>
  <c r="Z451" i="1" s="1"/>
  <c r="AI450" i="1"/>
  <c r="AG450" i="1"/>
  <c r="AF450" i="1"/>
  <c r="AE450" i="1"/>
  <c r="AD450" i="1"/>
  <c r="AC450" i="1"/>
  <c r="AB450" i="1"/>
  <c r="Y450" i="1"/>
  <c r="S450" i="1"/>
  <c r="AH450" i="1" s="1"/>
  <c r="AI449" i="1"/>
  <c r="AH449" i="1"/>
  <c r="AG449" i="1"/>
  <c r="AF449" i="1"/>
  <c r="AE449" i="1"/>
  <c r="AD449" i="1"/>
  <c r="AC449" i="1"/>
  <c r="AB449" i="1"/>
  <c r="Y449" i="1"/>
  <c r="S449" i="1"/>
  <c r="Z449" i="1" s="1"/>
  <c r="AI448" i="1"/>
  <c r="AG448" i="1"/>
  <c r="AF448" i="1"/>
  <c r="AE448" i="1"/>
  <c r="AD448" i="1"/>
  <c r="AC448" i="1"/>
  <c r="AB448" i="1"/>
  <c r="Y448" i="1"/>
  <c r="S448" i="1"/>
  <c r="AH448" i="1" s="1"/>
  <c r="AI447" i="1"/>
  <c r="AG447" i="1"/>
  <c r="AF447" i="1"/>
  <c r="AE447" i="1"/>
  <c r="AD447" i="1"/>
  <c r="AC447" i="1"/>
  <c r="AB447" i="1"/>
  <c r="Y447" i="1"/>
  <c r="S447" i="1"/>
  <c r="Z447" i="1" s="1"/>
  <c r="AI446" i="1"/>
  <c r="AG446" i="1"/>
  <c r="AF446" i="1"/>
  <c r="AE446" i="1"/>
  <c r="AD446" i="1"/>
  <c r="AC446" i="1"/>
  <c r="AB446" i="1"/>
  <c r="Y446" i="1"/>
  <c r="S446" i="1"/>
  <c r="AJ446" i="1" s="1" a="1"/>
  <c r="AJ446" i="1" s="1"/>
  <c r="AI445" i="1"/>
  <c r="AH445" i="1"/>
  <c r="AG445" i="1"/>
  <c r="AF445" i="1"/>
  <c r="AE445" i="1"/>
  <c r="AD445" i="1"/>
  <c r="AC445" i="1"/>
  <c r="AB445" i="1"/>
  <c r="Y445" i="1"/>
  <c r="U445" i="1"/>
  <c r="V445" i="1" s="1"/>
  <c r="S445" i="1"/>
  <c r="Z445" i="1" s="1"/>
  <c r="AI444" i="1"/>
  <c r="AG444" i="1"/>
  <c r="AF444" i="1"/>
  <c r="AE444" i="1"/>
  <c r="AD444" i="1"/>
  <c r="AC444" i="1"/>
  <c r="AB444" i="1"/>
  <c r="Y444" i="1"/>
  <c r="S444" i="1"/>
  <c r="U444" i="1" s="1"/>
  <c r="V444" i="1" s="1"/>
  <c r="AI443" i="1"/>
  <c r="AG443" i="1"/>
  <c r="AF443" i="1"/>
  <c r="AE443" i="1"/>
  <c r="AD443" i="1"/>
  <c r="AC443" i="1"/>
  <c r="AB443" i="1"/>
  <c r="Y443" i="1"/>
  <c r="S443" i="1"/>
  <c r="Z443" i="1" s="1"/>
  <c r="AI442" i="1"/>
  <c r="AG442" i="1"/>
  <c r="AF442" i="1"/>
  <c r="AE442" i="1"/>
  <c r="AD442" i="1"/>
  <c r="AC442" i="1"/>
  <c r="AB442" i="1"/>
  <c r="Z442" i="1"/>
  <c r="Y442" i="1"/>
  <c r="S442" i="1"/>
  <c r="AH442" i="1" s="1"/>
  <c r="AI441" i="1"/>
  <c r="AH441" i="1"/>
  <c r="AG441" i="1"/>
  <c r="AF441" i="1"/>
  <c r="AE441" i="1"/>
  <c r="AD441" i="1"/>
  <c r="AC441" i="1"/>
  <c r="AB441" i="1"/>
  <c r="Y441" i="1"/>
  <c r="S441" i="1"/>
  <c r="Z441" i="1" s="1"/>
  <c r="AI440" i="1"/>
  <c r="AG440" i="1"/>
  <c r="AF440" i="1"/>
  <c r="AE440" i="1"/>
  <c r="AD440" i="1"/>
  <c r="AC440" i="1"/>
  <c r="AB440" i="1"/>
  <c r="Y440" i="1"/>
  <c r="S440" i="1"/>
  <c r="AH440" i="1" s="1"/>
  <c r="AI439" i="1"/>
  <c r="AG439" i="1"/>
  <c r="AF439" i="1"/>
  <c r="AE439" i="1"/>
  <c r="AD439" i="1"/>
  <c r="AC439" i="1"/>
  <c r="AB439" i="1"/>
  <c r="Y439" i="1"/>
  <c r="S439" i="1"/>
  <c r="Z439" i="1" s="1"/>
  <c r="AI438" i="1"/>
  <c r="AG438" i="1"/>
  <c r="AF438" i="1"/>
  <c r="AE438" i="1"/>
  <c r="AD438" i="1"/>
  <c r="AC438" i="1"/>
  <c r="AB438" i="1"/>
  <c r="Y438" i="1"/>
  <c r="S438" i="1"/>
  <c r="AJ438" i="1" s="1" a="1"/>
  <c r="AJ438" i="1" s="1"/>
  <c r="AI437" i="1"/>
  <c r="AH437" i="1"/>
  <c r="AG437" i="1"/>
  <c r="AF437" i="1"/>
  <c r="AE437" i="1"/>
  <c r="AD437" i="1"/>
  <c r="AC437" i="1"/>
  <c r="AB437" i="1"/>
  <c r="Y437" i="1"/>
  <c r="U437" i="1"/>
  <c r="V437" i="1" s="1"/>
  <c r="S437" i="1"/>
  <c r="Z437" i="1" s="1"/>
  <c r="AI436" i="1"/>
  <c r="AG436" i="1"/>
  <c r="AF436" i="1"/>
  <c r="AE436" i="1"/>
  <c r="AD436" i="1"/>
  <c r="AC436" i="1"/>
  <c r="AB436" i="1"/>
  <c r="Y436" i="1"/>
  <c r="S436" i="1"/>
  <c r="U436" i="1" s="1"/>
  <c r="V436" i="1" s="1"/>
  <c r="AI435" i="1"/>
  <c r="AG435" i="1"/>
  <c r="AF435" i="1"/>
  <c r="AE435" i="1"/>
  <c r="AD435" i="1"/>
  <c r="AC435" i="1"/>
  <c r="AB435" i="1"/>
  <c r="Y435" i="1"/>
  <c r="S435" i="1"/>
  <c r="Z435" i="1" s="1"/>
  <c r="AI434" i="1"/>
  <c r="AG434" i="1"/>
  <c r="AF434" i="1"/>
  <c r="AE434" i="1"/>
  <c r="AD434" i="1"/>
  <c r="AC434" i="1"/>
  <c r="AB434" i="1"/>
  <c r="Z434" i="1"/>
  <c r="Y434" i="1"/>
  <c r="S434" i="1"/>
  <c r="AH434" i="1" s="1"/>
  <c r="AI433" i="1"/>
  <c r="AH433" i="1"/>
  <c r="AG433" i="1"/>
  <c r="AF433" i="1"/>
  <c r="AE433" i="1"/>
  <c r="AD433" i="1"/>
  <c r="AC433" i="1"/>
  <c r="AB433" i="1"/>
  <c r="Y433" i="1"/>
  <c r="S433" i="1"/>
  <c r="Z433" i="1" s="1"/>
  <c r="AI432" i="1"/>
  <c r="AG432" i="1"/>
  <c r="AF432" i="1"/>
  <c r="AE432" i="1"/>
  <c r="AD432" i="1"/>
  <c r="AC432" i="1"/>
  <c r="AB432" i="1"/>
  <c r="Y432" i="1"/>
  <c r="S432" i="1"/>
  <c r="AH432" i="1" s="1"/>
  <c r="AI431" i="1"/>
  <c r="AG431" i="1"/>
  <c r="AF431" i="1"/>
  <c r="AE431" i="1"/>
  <c r="AD431" i="1"/>
  <c r="AC431" i="1"/>
  <c r="AB431" i="1"/>
  <c r="Y431" i="1"/>
  <c r="S431" i="1"/>
  <c r="Z431" i="1" s="1"/>
  <c r="AI430" i="1"/>
  <c r="AG430" i="1"/>
  <c r="AF430" i="1"/>
  <c r="AE430" i="1"/>
  <c r="AD430" i="1"/>
  <c r="AC430" i="1"/>
  <c r="AB430" i="1"/>
  <c r="Y430" i="1"/>
  <c r="S430" i="1"/>
  <c r="AJ430" i="1" s="1" a="1"/>
  <c r="AJ430" i="1" s="1"/>
  <c r="AI429" i="1"/>
  <c r="AG429" i="1"/>
  <c r="AF429" i="1"/>
  <c r="AE429" i="1"/>
  <c r="AD429" i="1"/>
  <c r="AC429" i="1"/>
  <c r="AB429" i="1"/>
  <c r="Y429" i="1"/>
  <c r="S429" i="1"/>
  <c r="Z429" i="1" s="1"/>
  <c r="AI428" i="1"/>
  <c r="AG428" i="1"/>
  <c r="AF428" i="1"/>
  <c r="AE428" i="1"/>
  <c r="AD428" i="1"/>
  <c r="AC428" i="1"/>
  <c r="AB428" i="1"/>
  <c r="Y428" i="1"/>
  <c r="S428" i="1"/>
  <c r="AJ428" i="1" s="1" a="1"/>
  <c r="AJ428" i="1" s="1"/>
  <c r="AI427" i="1"/>
  <c r="AG427" i="1"/>
  <c r="AF427" i="1"/>
  <c r="AE427" i="1"/>
  <c r="AD427" i="1"/>
  <c r="AC427" i="1"/>
  <c r="AB427" i="1"/>
  <c r="Y427" i="1"/>
  <c r="S427" i="1"/>
  <c r="Z427" i="1" s="1"/>
  <c r="AI426" i="1"/>
  <c r="AG426" i="1"/>
  <c r="AF426" i="1"/>
  <c r="AE426" i="1"/>
  <c r="AD426" i="1"/>
  <c r="AC426" i="1"/>
  <c r="AB426" i="1"/>
  <c r="Y426" i="1"/>
  <c r="S426" i="1"/>
  <c r="AJ426" i="1" s="1" a="1"/>
  <c r="AJ426" i="1" s="1"/>
  <c r="AI425" i="1"/>
  <c r="AG425" i="1"/>
  <c r="AF425" i="1"/>
  <c r="AE425" i="1"/>
  <c r="AD425" i="1"/>
  <c r="AC425" i="1"/>
  <c r="AB425" i="1"/>
  <c r="Y425" i="1"/>
  <c r="S425" i="1"/>
  <c r="Z425" i="1" s="1"/>
  <c r="AI424" i="1"/>
  <c r="AG424" i="1"/>
  <c r="AF424" i="1"/>
  <c r="AE424" i="1"/>
  <c r="AD424" i="1"/>
  <c r="AC424" i="1"/>
  <c r="AB424" i="1"/>
  <c r="Y424" i="1"/>
  <c r="S424" i="1"/>
  <c r="Z424" i="1" s="1"/>
  <c r="AI423" i="1"/>
  <c r="AG423" i="1"/>
  <c r="AF423" i="1"/>
  <c r="AE423" i="1"/>
  <c r="AD423" i="1"/>
  <c r="AC423" i="1"/>
  <c r="AB423" i="1"/>
  <c r="Y423" i="1"/>
  <c r="S423" i="1"/>
  <c r="Z423" i="1" s="1"/>
  <c r="AI422" i="1"/>
  <c r="AG422" i="1"/>
  <c r="AF422" i="1"/>
  <c r="AE422" i="1"/>
  <c r="AD422" i="1"/>
  <c r="AC422" i="1"/>
  <c r="AB422" i="1"/>
  <c r="Y422" i="1"/>
  <c r="S422" i="1"/>
  <c r="AI421" i="1"/>
  <c r="AG421" i="1"/>
  <c r="AF421" i="1"/>
  <c r="AE421" i="1"/>
  <c r="AD421" i="1"/>
  <c r="AC421" i="1"/>
  <c r="AB421" i="1"/>
  <c r="Y421" i="1"/>
  <c r="S421" i="1"/>
  <c r="Z421" i="1" s="1"/>
  <c r="AI420" i="1"/>
  <c r="AG420" i="1"/>
  <c r="AF420" i="1"/>
  <c r="AE420" i="1"/>
  <c r="AD420" i="1"/>
  <c r="AC420" i="1"/>
  <c r="AB420" i="1"/>
  <c r="Y420" i="1"/>
  <c r="S420" i="1"/>
  <c r="Z420" i="1" s="1"/>
  <c r="AI419" i="1"/>
  <c r="AG419" i="1"/>
  <c r="AF419" i="1"/>
  <c r="AE419" i="1"/>
  <c r="AD419" i="1"/>
  <c r="AC419" i="1"/>
  <c r="AB419" i="1"/>
  <c r="Y419" i="1"/>
  <c r="S419" i="1"/>
  <c r="Z419" i="1" s="1"/>
  <c r="AI418" i="1"/>
  <c r="AG418" i="1"/>
  <c r="AF418" i="1"/>
  <c r="AE418" i="1"/>
  <c r="AD418" i="1"/>
  <c r="AC418" i="1"/>
  <c r="AB418" i="1"/>
  <c r="Y418" i="1"/>
  <c r="S418" i="1"/>
  <c r="AJ418" i="1" s="1" a="1"/>
  <c r="AJ418" i="1" s="1"/>
  <c r="AI417" i="1"/>
  <c r="AG417" i="1"/>
  <c r="AF417" i="1"/>
  <c r="AE417" i="1"/>
  <c r="AD417" i="1"/>
  <c r="AC417" i="1"/>
  <c r="AB417" i="1"/>
  <c r="Y417" i="1"/>
  <c r="S417" i="1"/>
  <c r="AJ417" i="1" s="1" a="1"/>
  <c r="AJ417" i="1" s="1"/>
  <c r="AI416" i="1"/>
  <c r="AG416" i="1"/>
  <c r="AF416" i="1"/>
  <c r="AE416" i="1"/>
  <c r="AD416" i="1"/>
  <c r="AC416" i="1"/>
  <c r="AB416" i="1"/>
  <c r="Y416" i="1"/>
  <c r="S416" i="1"/>
  <c r="AH416" i="1" s="1"/>
  <c r="AI415" i="1"/>
  <c r="AG415" i="1"/>
  <c r="AF415" i="1"/>
  <c r="AE415" i="1"/>
  <c r="AD415" i="1"/>
  <c r="AC415" i="1"/>
  <c r="AB415" i="1"/>
  <c r="Y415" i="1"/>
  <c r="S415" i="1"/>
  <c r="AH415" i="1" s="1"/>
  <c r="AI414" i="1"/>
  <c r="AG414" i="1"/>
  <c r="AF414" i="1"/>
  <c r="AE414" i="1"/>
  <c r="AD414" i="1"/>
  <c r="AC414" i="1"/>
  <c r="AB414" i="1"/>
  <c r="Y414" i="1"/>
  <c r="S414" i="1"/>
  <c r="AJ414" i="1" s="1" a="1"/>
  <c r="AJ414" i="1" s="1"/>
  <c r="AI413" i="1"/>
  <c r="AG413" i="1"/>
  <c r="AF413" i="1"/>
  <c r="AE413" i="1"/>
  <c r="AD413" i="1"/>
  <c r="AC413" i="1"/>
  <c r="AB413" i="1"/>
  <c r="Y413" i="1"/>
  <c r="S413" i="1"/>
  <c r="U413" i="1" s="1"/>
  <c r="V413" i="1" s="1"/>
  <c r="AI412" i="1"/>
  <c r="AG412" i="1"/>
  <c r="AF412" i="1"/>
  <c r="AE412" i="1"/>
  <c r="AD412" i="1"/>
  <c r="AC412" i="1"/>
  <c r="AB412" i="1"/>
  <c r="Y412" i="1"/>
  <c r="S412" i="1"/>
  <c r="AH412" i="1" s="1"/>
  <c r="AI411" i="1"/>
  <c r="AG411" i="1"/>
  <c r="AF411" i="1"/>
  <c r="AE411" i="1"/>
  <c r="AD411" i="1"/>
  <c r="AC411" i="1"/>
  <c r="AB411" i="1"/>
  <c r="Y411" i="1"/>
  <c r="S411" i="1"/>
  <c r="AJ411" i="1" s="1" a="1"/>
  <c r="AJ411" i="1" s="1"/>
  <c r="AI410" i="1"/>
  <c r="AG410" i="1"/>
  <c r="AF410" i="1"/>
  <c r="AE410" i="1"/>
  <c r="AD410" i="1"/>
  <c r="AC410" i="1"/>
  <c r="AB410" i="1"/>
  <c r="Y410" i="1"/>
  <c r="S410" i="1"/>
  <c r="AJ410" i="1" s="1" a="1"/>
  <c r="AJ410" i="1" s="1"/>
  <c r="AI409" i="1"/>
  <c r="AG409" i="1"/>
  <c r="AF409" i="1"/>
  <c r="AE409" i="1"/>
  <c r="AD409" i="1"/>
  <c r="AC409" i="1"/>
  <c r="AB409" i="1"/>
  <c r="Z409" i="1"/>
  <c r="Y409" i="1"/>
  <c r="S409" i="1"/>
  <c r="AH409" i="1" s="1"/>
  <c r="AI408" i="1"/>
  <c r="AG408" i="1"/>
  <c r="AF408" i="1"/>
  <c r="AE408" i="1"/>
  <c r="AD408" i="1"/>
  <c r="AC408" i="1"/>
  <c r="AB408" i="1"/>
  <c r="Y408" i="1"/>
  <c r="S408" i="1"/>
  <c r="AJ408" i="1" s="1" a="1"/>
  <c r="AJ408" i="1" s="1"/>
  <c r="AI407" i="1"/>
  <c r="AG407" i="1"/>
  <c r="AF407" i="1"/>
  <c r="AE407" i="1"/>
  <c r="AD407" i="1"/>
  <c r="AC407" i="1"/>
  <c r="AB407" i="1"/>
  <c r="Y407" i="1"/>
  <c r="S407" i="1"/>
  <c r="AH407" i="1" s="1"/>
  <c r="AI406" i="1"/>
  <c r="AG406" i="1"/>
  <c r="AF406" i="1"/>
  <c r="AE406" i="1"/>
  <c r="AD406" i="1"/>
  <c r="AC406" i="1"/>
  <c r="AB406" i="1"/>
  <c r="Y406" i="1"/>
  <c r="S406" i="1"/>
  <c r="AH406" i="1" s="1"/>
  <c r="AI405" i="1"/>
  <c r="AG405" i="1"/>
  <c r="AF405" i="1"/>
  <c r="AE405" i="1"/>
  <c r="AD405" i="1"/>
  <c r="AC405" i="1"/>
  <c r="AB405" i="1"/>
  <c r="Y405" i="1"/>
  <c r="S405" i="1"/>
  <c r="AJ405" i="1" s="1" a="1"/>
  <c r="AJ405" i="1" s="1"/>
  <c r="AI404" i="1"/>
  <c r="AG404" i="1"/>
  <c r="AF404" i="1"/>
  <c r="AE404" i="1"/>
  <c r="AD404" i="1"/>
  <c r="AC404" i="1"/>
  <c r="AB404" i="1"/>
  <c r="Y404" i="1"/>
  <c r="S404" i="1"/>
  <c r="AJ404" i="1" s="1" a="1"/>
  <c r="AJ404" i="1" s="1"/>
  <c r="AI403" i="1"/>
  <c r="AG403" i="1"/>
  <c r="AF403" i="1"/>
  <c r="AE403" i="1"/>
  <c r="AD403" i="1"/>
  <c r="AC403" i="1"/>
  <c r="AB403" i="1"/>
  <c r="Y403" i="1"/>
  <c r="S403" i="1"/>
  <c r="AJ403" i="1" s="1" a="1"/>
  <c r="AJ403" i="1" s="1"/>
  <c r="AI402" i="1"/>
  <c r="AG402" i="1"/>
  <c r="AF402" i="1"/>
  <c r="AE402" i="1"/>
  <c r="AD402" i="1"/>
  <c r="AC402" i="1"/>
  <c r="AB402" i="1"/>
  <c r="Y402" i="1"/>
  <c r="S402" i="1"/>
  <c r="AJ402" i="1" s="1" a="1"/>
  <c r="AJ402" i="1" s="1"/>
  <c r="AI401" i="1"/>
  <c r="AG401" i="1"/>
  <c r="AF401" i="1"/>
  <c r="AE401" i="1"/>
  <c r="AD401" i="1"/>
  <c r="AC401" i="1"/>
  <c r="AB401" i="1"/>
  <c r="Z401" i="1"/>
  <c r="Y401" i="1"/>
  <c r="S401" i="1"/>
  <c r="AH401" i="1" s="1"/>
  <c r="AI400" i="1"/>
  <c r="AG400" i="1"/>
  <c r="AF400" i="1"/>
  <c r="AE400" i="1"/>
  <c r="AD400" i="1"/>
  <c r="AC400" i="1"/>
  <c r="AB400" i="1"/>
  <c r="Y400" i="1"/>
  <c r="S400" i="1"/>
  <c r="AJ400" i="1" s="1" a="1"/>
  <c r="AJ400" i="1" s="1"/>
  <c r="AI399" i="1"/>
  <c r="AG399" i="1"/>
  <c r="AF399" i="1"/>
  <c r="AE399" i="1"/>
  <c r="AD399" i="1"/>
  <c r="AC399" i="1"/>
  <c r="AB399" i="1"/>
  <c r="Y399" i="1"/>
  <c r="S399" i="1"/>
  <c r="AH399" i="1" s="1"/>
  <c r="AI398" i="1"/>
  <c r="AG398" i="1"/>
  <c r="AF398" i="1"/>
  <c r="AE398" i="1"/>
  <c r="AD398" i="1"/>
  <c r="AC398" i="1"/>
  <c r="AB398" i="1"/>
  <c r="Y398" i="1"/>
  <c r="S398" i="1"/>
  <c r="AJ398" i="1" s="1" a="1"/>
  <c r="AJ398" i="1" s="1"/>
  <c r="AI397" i="1"/>
  <c r="AG397" i="1"/>
  <c r="AF397" i="1"/>
  <c r="AE397" i="1"/>
  <c r="AD397" i="1"/>
  <c r="AC397" i="1"/>
  <c r="AB397" i="1"/>
  <c r="Y397" i="1"/>
  <c r="S397" i="1"/>
  <c r="AJ397" i="1" s="1" a="1"/>
  <c r="AJ397" i="1" s="1"/>
  <c r="AI396" i="1"/>
  <c r="AG396" i="1"/>
  <c r="AF396" i="1"/>
  <c r="AE396" i="1"/>
  <c r="AD396" i="1"/>
  <c r="AC396" i="1"/>
  <c r="AB396" i="1"/>
  <c r="Y396" i="1"/>
  <c r="S396" i="1"/>
  <c r="AJ396" i="1" s="1" a="1"/>
  <c r="AJ396" i="1" s="1"/>
  <c r="AI395" i="1"/>
  <c r="AG395" i="1"/>
  <c r="AF395" i="1"/>
  <c r="AE395" i="1"/>
  <c r="AD395" i="1"/>
  <c r="AC395" i="1"/>
  <c r="AB395" i="1"/>
  <c r="Z395" i="1"/>
  <c r="Y395" i="1"/>
  <c r="S395" i="1"/>
  <c r="AJ395" i="1" s="1" a="1"/>
  <c r="AJ395" i="1" s="1"/>
  <c r="AI394" i="1"/>
  <c r="AG394" i="1"/>
  <c r="AF394" i="1"/>
  <c r="AE394" i="1"/>
  <c r="AD394" i="1"/>
  <c r="AC394" i="1"/>
  <c r="AB394" i="1"/>
  <c r="Y394" i="1"/>
  <c r="S394" i="1"/>
  <c r="AJ394" i="1" s="1" a="1"/>
  <c r="AJ394" i="1" s="1"/>
  <c r="AI393" i="1"/>
  <c r="AG393" i="1"/>
  <c r="AF393" i="1"/>
  <c r="AE393" i="1"/>
  <c r="AD393" i="1"/>
  <c r="AC393" i="1"/>
  <c r="AB393" i="1"/>
  <c r="Z393" i="1"/>
  <c r="Y393" i="1"/>
  <c r="S393" i="1"/>
  <c r="AH393" i="1" s="1"/>
  <c r="AI392" i="1"/>
  <c r="AG392" i="1"/>
  <c r="AF392" i="1"/>
  <c r="AE392" i="1"/>
  <c r="AD392" i="1"/>
  <c r="AC392" i="1"/>
  <c r="AB392" i="1"/>
  <c r="Y392" i="1"/>
  <c r="S392" i="1"/>
  <c r="AI391" i="1"/>
  <c r="AG391" i="1"/>
  <c r="AF391" i="1"/>
  <c r="AE391" i="1"/>
  <c r="AD391" i="1"/>
  <c r="AC391" i="1"/>
  <c r="AB391" i="1"/>
  <c r="Y391" i="1"/>
  <c r="S391" i="1"/>
  <c r="AH391" i="1" s="1"/>
  <c r="AI390" i="1"/>
  <c r="AG390" i="1"/>
  <c r="AF390" i="1"/>
  <c r="AE390" i="1"/>
  <c r="AD390" i="1"/>
  <c r="AC390" i="1"/>
  <c r="AB390" i="1"/>
  <c r="Y390" i="1"/>
  <c r="S390" i="1"/>
  <c r="AJ390" i="1" s="1" a="1"/>
  <c r="AJ390" i="1" s="1"/>
  <c r="AI389" i="1"/>
  <c r="AG389" i="1"/>
  <c r="AF389" i="1"/>
  <c r="AE389" i="1"/>
  <c r="AD389" i="1"/>
  <c r="AC389" i="1"/>
  <c r="AB389" i="1"/>
  <c r="Y389" i="1"/>
  <c r="S389" i="1"/>
  <c r="U389" i="1" s="1"/>
  <c r="V389" i="1" s="1"/>
  <c r="AI388" i="1"/>
  <c r="AG388" i="1"/>
  <c r="AF388" i="1"/>
  <c r="AE388" i="1"/>
  <c r="AD388" i="1"/>
  <c r="AC388" i="1"/>
  <c r="AB388" i="1"/>
  <c r="Y388" i="1"/>
  <c r="S388" i="1"/>
  <c r="AJ388" i="1" s="1" a="1"/>
  <c r="AJ388" i="1" s="1"/>
  <c r="AI387" i="1"/>
  <c r="AG387" i="1"/>
  <c r="AF387" i="1"/>
  <c r="AE387" i="1"/>
  <c r="AD387" i="1"/>
  <c r="AC387" i="1"/>
  <c r="AB387" i="1"/>
  <c r="Z387" i="1"/>
  <c r="Y387" i="1"/>
  <c r="S387" i="1"/>
  <c r="AI386" i="1"/>
  <c r="AG386" i="1"/>
  <c r="AF386" i="1"/>
  <c r="AE386" i="1"/>
  <c r="AD386" i="1"/>
  <c r="AC386" i="1"/>
  <c r="AB386" i="1"/>
  <c r="Y386" i="1"/>
  <c r="S386" i="1"/>
  <c r="AJ386" i="1" s="1" a="1"/>
  <c r="AJ386" i="1" s="1"/>
  <c r="AI385" i="1"/>
  <c r="AG385" i="1"/>
  <c r="AF385" i="1"/>
  <c r="AE385" i="1"/>
  <c r="AD385" i="1"/>
  <c r="AC385" i="1"/>
  <c r="AB385" i="1"/>
  <c r="Z385" i="1"/>
  <c r="Y385" i="1"/>
  <c r="S385" i="1"/>
  <c r="AH385" i="1" s="1"/>
  <c r="AI384" i="1"/>
  <c r="AG384" i="1"/>
  <c r="AF384" i="1"/>
  <c r="AE384" i="1"/>
  <c r="AD384" i="1"/>
  <c r="AC384" i="1"/>
  <c r="AB384" i="1"/>
  <c r="Y384" i="1"/>
  <c r="S384" i="1"/>
  <c r="AH384" i="1" s="1"/>
  <c r="AI383" i="1"/>
  <c r="AG383" i="1"/>
  <c r="AF383" i="1"/>
  <c r="AE383" i="1"/>
  <c r="AD383" i="1"/>
  <c r="AC383" i="1"/>
  <c r="AB383" i="1"/>
  <c r="Y383" i="1"/>
  <c r="S383" i="1"/>
  <c r="AI382" i="1"/>
  <c r="AG382" i="1"/>
  <c r="AF382" i="1"/>
  <c r="AE382" i="1"/>
  <c r="AD382" i="1"/>
  <c r="AC382" i="1"/>
  <c r="AB382" i="1"/>
  <c r="Y382" i="1"/>
  <c r="S382" i="1"/>
  <c r="AJ382" i="1" s="1" a="1"/>
  <c r="AJ382" i="1" s="1"/>
  <c r="AI381" i="1"/>
  <c r="AG381" i="1"/>
  <c r="AF381" i="1"/>
  <c r="AE381" i="1"/>
  <c r="AD381" i="1"/>
  <c r="AC381" i="1"/>
  <c r="AB381" i="1"/>
  <c r="Y381" i="1"/>
  <c r="S381" i="1"/>
  <c r="AJ381" i="1" s="1" a="1"/>
  <c r="AJ381" i="1" s="1"/>
  <c r="AI380" i="1"/>
  <c r="AG380" i="1"/>
  <c r="AF380" i="1"/>
  <c r="AE380" i="1"/>
  <c r="AD380" i="1"/>
  <c r="AC380" i="1"/>
  <c r="AB380" i="1"/>
  <c r="Z380" i="1"/>
  <c r="Y380" i="1"/>
  <c r="S380" i="1"/>
  <c r="AJ380" i="1" s="1" a="1"/>
  <c r="AJ380" i="1" s="1"/>
  <c r="AI379" i="1"/>
  <c r="AG379" i="1"/>
  <c r="AF379" i="1"/>
  <c r="AE379" i="1"/>
  <c r="AD379" i="1"/>
  <c r="AC379" i="1"/>
  <c r="AB379" i="1"/>
  <c r="Z379" i="1"/>
  <c r="Y379" i="1"/>
  <c r="U379" i="1"/>
  <c r="V379" i="1" s="1"/>
  <c r="S379" i="1"/>
  <c r="AH379" i="1" s="1"/>
  <c r="AI378" i="1"/>
  <c r="AG378" i="1"/>
  <c r="AF378" i="1"/>
  <c r="AE378" i="1"/>
  <c r="AD378" i="1"/>
  <c r="AC378" i="1"/>
  <c r="AB378" i="1"/>
  <c r="Y378" i="1"/>
  <c r="S378" i="1"/>
  <c r="U378" i="1" s="1"/>
  <c r="V378" i="1" s="1"/>
  <c r="AI377" i="1"/>
  <c r="AG377" i="1"/>
  <c r="AF377" i="1"/>
  <c r="AE377" i="1"/>
  <c r="AD377" i="1"/>
  <c r="AC377" i="1"/>
  <c r="AB377" i="1"/>
  <c r="Y377" i="1"/>
  <c r="S377" i="1"/>
  <c r="AJ377" i="1" s="1" a="1"/>
  <c r="AJ377" i="1" s="1"/>
  <c r="AI376" i="1"/>
  <c r="AG376" i="1"/>
  <c r="AF376" i="1"/>
  <c r="AE376" i="1"/>
  <c r="AD376" i="1"/>
  <c r="AC376" i="1"/>
  <c r="AB376" i="1"/>
  <c r="Y376" i="1"/>
  <c r="S376" i="1"/>
  <c r="Z376" i="1" s="1"/>
  <c r="AI375" i="1"/>
  <c r="AG375" i="1"/>
  <c r="AF375" i="1"/>
  <c r="AE375" i="1"/>
  <c r="AD375" i="1"/>
  <c r="AC375" i="1"/>
  <c r="AB375" i="1"/>
  <c r="Y375" i="1"/>
  <c r="S375" i="1"/>
  <c r="AJ375" i="1" s="1" a="1"/>
  <c r="AJ375" i="1" s="1"/>
  <c r="AI374" i="1"/>
  <c r="AG374" i="1"/>
  <c r="AF374" i="1"/>
  <c r="AE374" i="1"/>
  <c r="AD374" i="1"/>
  <c r="AC374" i="1"/>
  <c r="AB374" i="1"/>
  <c r="Y374" i="1"/>
  <c r="S374" i="1"/>
  <c r="Z374" i="1" s="1"/>
  <c r="AI373" i="1"/>
  <c r="AH373" i="1"/>
  <c r="AG373" i="1"/>
  <c r="AF373" i="1"/>
  <c r="AE373" i="1"/>
  <c r="AD373" i="1"/>
  <c r="AC373" i="1"/>
  <c r="AB373" i="1"/>
  <c r="Z373" i="1"/>
  <c r="Y373" i="1"/>
  <c r="S373" i="1"/>
  <c r="AJ373" i="1" s="1" a="1"/>
  <c r="AJ373" i="1" s="1"/>
  <c r="AI372" i="1"/>
  <c r="AG372" i="1"/>
  <c r="AF372" i="1"/>
  <c r="AE372" i="1"/>
  <c r="AD372" i="1"/>
  <c r="AC372" i="1"/>
  <c r="AB372" i="1"/>
  <c r="Y372" i="1"/>
  <c r="S372" i="1"/>
  <c r="AI371" i="1"/>
  <c r="AH371" i="1"/>
  <c r="AG371" i="1"/>
  <c r="AF371" i="1"/>
  <c r="AE371" i="1"/>
  <c r="AD371" i="1"/>
  <c r="AC371" i="1"/>
  <c r="AB371" i="1"/>
  <c r="Y371" i="1"/>
  <c r="S371" i="1"/>
  <c r="Z371" i="1" s="1"/>
  <c r="AI370" i="1"/>
  <c r="AG370" i="1"/>
  <c r="AF370" i="1"/>
  <c r="AE370" i="1"/>
  <c r="AD370" i="1"/>
  <c r="AC370" i="1"/>
  <c r="AB370" i="1"/>
  <c r="Y370" i="1"/>
  <c r="U370" i="1"/>
  <c r="V370" i="1" s="1"/>
  <c r="S370" i="1"/>
  <c r="Z370" i="1" s="1"/>
  <c r="AI369" i="1"/>
  <c r="AG369" i="1"/>
  <c r="AF369" i="1"/>
  <c r="AE369" i="1"/>
  <c r="AD369" i="1"/>
  <c r="AC369" i="1"/>
  <c r="AB369" i="1"/>
  <c r="Y369" i="1"/>
  <c r="S369" i="1"/>
  <c r="AJ369" i="1" s="1" a="1"/>
  <c r="AJ369" i="1" s="1"/>
  <c r="AI368" i="1"/>
  <c r="AG368" i="1"/>
  <c r="AF368" i="1"/>
  <c r="AE368" i="1"/>
  <c r="AD368" i="1"/>
  <c r="AC368" i="1"/>
  <c r="AB368" i="1"/>
  <c r="Y368" i="1"/>
  <c r="S368" i="1"/>
  <c r="AI367" i="1"/>
  <c r="AG367" i="1"/>
  <c r="AF367" i="1"/>
  <c r="AE367" i="1"/>
  <c r="AD367" i="1"/>
  <c r="AC367" i="1"/>
  <c r="AB367" i="1"/>
  <c r="Y367" i="1"/>
  <c r="S367" i="1"/>
  <c r="AJ367" i="1" s="1" a="1"/>
  <c r="AJ367" i="1" s="1"/>
  <c r="AI366" i="1"/>
  <c r="AG366" i="1"/>
  <c r="AF366" i="1"/>
  <c r="AE366" i="1"/>
  <c r="AD366" i="1"/>
  <c r="AC366" i="1"/>
  <c r="AB366" i="1"/>
  <c r="Y366" i="1"/>
  <c r="S366" i="1"/>
  <c r="AI365" i="1"/>
  <c r="AH365" i="1"/>
  <c r="AG365" i="1"/>
  <c r="AF365" i="1"/>
  <c r="AE365" i="1"/>
  <c r="AD365" i="1"/>
  <c r="AC365" i="1"/>
  <c r="AB365" i="1"/>
  <c r="Y365" i="1"/>
  <c r="S365" i="1"/>
  <c r="AJ365" i="1" s="1" a="1"/>
  <c r="AJ365" i="1" s="1"/>
  <c r="AI364" i="1"/>
  <c r="AG364" i="1"/>
  <c r="AF364" i="1"/>
  <c r="AE364" i="1"/>
  <c r="AD364" i="1"/>
  <c r="AC364" i="1"/>
  <c r="AB364" i="1"/>
  <c r="Y364" i="1"/>
  <c r="S364" i="1"/>
  <c r="AI363" i="1"/>
  <c r="AH363" i="1"/>
  <c r="AG363" i="1"/>
  <c r="AF363" i="1"/>
  <c r="AE363" i="1"/>
  <c r="AD363" i="1"/>
  <c r="AC363" i="1"/>
  <c r="AB363" i="1"/>
  <c r="Z363" i="1"/>
  <c r="Y363" i="1"/>
  <c r="S363" i="1"/>
  <c r="AJ363" i="1" s="1" a="1"/>
  <c r="AJ363" i="1" s="1"/>
  <c r="AI362" i="1"/>
  <c r="AG362" i="1"/>
  <c r="AF362" i="1"/>
  <c r="AE362" i="1"/>
  <c r="AD362" i="1"/>
  <c r="AC362" i="1"/>
  <c r="AB362" i="1"/>
  <c r="Y362" i="1"/>
  <c r="U362" i="1"/>
  <c r="V362" i="1" s="1"/>
  <c r="S362" i="1"/>
  <c r="AI361" i="1"/>
  <c r="AG361" i="1"/>
  <c r="AF361" i="1"/>
  <c r="AE361" i="1"/>
  <c r="AD361" i="1"/>
  <c r="AC361" i="1"/>
  <c r="AB361" i="1"/>
  <c r="Y361" i="1"/>
  <c r="S361" i="1"/>
  <c r="AJ361" i="1" s="1" a="1"/>
  <c r="AJ361" i="1" s="1"/>
  <c r="AI360" i="1"/>
  <c r="AG360" i="1"/>
  <c r="AF360" i="1"/>
  <c r="AE360" i="1"/>
  <c r="AD360" i="1"/>
  <c r="AC360" i="1"/>
  <c r="AB360" i="1"/>
  <c r="Y360" i="1"/>
  <c r="S360" i="1"/>
  <c r="AI359" i="1"/>
  <c r="AG359" i="1"/>
  <c r="AF359" i="1"/>
  <c r="AE359" i="1"/>
  <c r="AD359" i="1"/>
  <c r="AC359" i="1"/>
  <c r="AB359" i="1"/>
  <c r="Y359" i="1"/>
  <c r="S359" i="1"/>
  <c r="AJ359" i="1" s="1" a="1"/>
  <c r="AJ359" i="1" s="1"/>
  <c r="AI358" i="1"/>
  <c r="AG358" i="1"/>
  <c r="AF358" i="1"/>
  <c r="AE358" i="1"/>
  <c r="AD358" i="1"/>
  <c r="AC358" i="1"/>
  <c r="AB358" i="1"/>
  <c r="Y358" i="1"/>
  <c r="S358" i="1"/>
  <c r="AI357" i="1"/>
  <c r="AH357" i="1"/>
  <c r="AG357" i="1"/>
  <c r="AF357" i="1"/>
  <c r="AE357" i="1"/>
  <c r="AD357" i="1"/>
  <c r="AC357" i="1"/>
  <c r="AB357" i="1"/>
  <c r="Z357" i="1"/>
  <c r="Y357" i="1"/>
  <c r="S357" i="1"/>
  <c r="AJ357" i="1" s="1" a="1"/>
  <c r="AJ357" i="1" s="1"/>
  <c r="AI356" i="1"/>
  <c r="AG356" i="1"/>
  <c r="AF356" i="1"/>
  <c r="AE356" i="1"/>
  <c r="AD356" i="1"/>
  <c r="AC356" i="1"/>
  <c r="AB356" i="1"/>
  <c r="Y356" i="1"/>
  <c r="S356" i="1"/>
  <c r="AI355" i="1"/>
  <c r="AH355" i="1"/>
  <c r="AG355" i="1"/>
  <c r="AF355" i="1"/>
  <c r="AE355" i="1"/>
  <c r="AD355" i="1"/>
  <c r="AC355" i="1"/>
  <c r="AB355" i="1"/>
  <c r="Y355" i="1"/>
  <c r="S355" i="1"/>
  <c r="Z355" i="1" s="1"/>
  <c r="AI354" i="1"/>
  <c r="AG354" i="1"/>
  <c r="AF354" i="1"/>
  <c r="AE354" i="1"/>
  <c r="AD354" i="1"/>
  <c r="AC354" i="1"/>
  <c r="AB354" i="1"/>
  <c r="Y354" i="1"/>
  <c r="U354" i="1"/>
  <c r="V354" i="1" s="1"/>
  <c r="S354" i="1"/>
  <c r="AI353" i="1"/>
  <c r="AG353" i="1"/>
  <c r="AF353" i="1"/>
  <c r="AE353" i="1"/>
  <c r="AD353" i="1"/>
  <c r="AC353" i="1"/>
  <c r="AB353" i="1"/>
  <c r="Y353" i="1"/>
  <c r="S353" i="1"/>
  <c r="AJ353" i="1" s="1" a="1"/>
  <c r="AJ353" i="1" s="1"/>
  <c r="AI352" i="1"/>
  <c r="AG352" i="1"/>
  <c r="AF352" i="1"/>
  <c r="AE352" i="1"/>
  <c r="AD352" i="1"/>
  <c r="AC352" i="1"/>
  <c r="AB352" i="1"/>
  <c r="Y352" i="1"/>
  <c r="S352" i="1"/>
  <c r="AI351" i="1"/>
  <c r="AG351" i="1"/>
  <c r="AF351" i="1"/>
  <c r="AE351" i="1"/>
  <c r="AD351" i="1"/>
  <c r="AC351" i="1"/>
  <c r="AB351" i="1"/>
  <c r="Y351" i="1"/>
  <c r="S351" i="1"/>
  <c r="AJ351" i="1" s="1" a="1"/>
  <c r="AJ351" i="1" s="1"/>
  <c r="AI350" i="1"/>
  <c r="AG350" i="1"/>
  <c r="AF350" i="1"/>
  <c r="AE350" i="1"/>
  <c r="AD350" i="1"/>
  <c r="AC350" i="1"/>
  <c r="AB350" i="1"/>
  <c r="Y350" i="1"/>
  <c r="S350" i="1"/>
  <c r="AI349" i="1"/>
  <c r="AH349" i="1"/>
  <c r="AG349" i="1"/>
  <c r="AF349" i="1"/>
  <c r="AE349" i="1"/>
  <c r="AD349" i="1"/>
  <c r="AC349" i="1"/>
  <c r="AB349" i="1"/>
  <c r="Y349" i="1"/>
  <c r="S349" i="1"/>
  <c r="Z349" i="1" s="1"/>
  <c r="AI348" i="1"/>
  <c r="AG348" i="1"/>
  <c r="AF348" i="1"/>
  <c r="AE348" i="1"/>
  <c r="AD348" i="1"/>
  <c r="AC348" i="1"/>
  <c r="AB348" i="1"/>
  <c r="Y348" i="1"/>
  <c r="S348" i="1"/>
  <c r="AI347" i="1"/>
  <c r="AH347" i="1"/>
  <c r="AG347" i="1"/>
  <c r="AF347" i="1"/>
  <c r="AE347" i="1"/>
  <c r="AD347" i="1"/>
  <c r="AC347" i="1"/>
  <c r="AB347" i="1"/>
  <c r="Z347" i="1"/>
  <c r="Y347" i="1"/>
  <c r="S347" i="1"/>
  <c r="AJ347" i="1" s="1" a="1"/>
  <c r="AJ347" i="1" s="1"/>
  <c r="AI346" i="1"/>
  <c r="AG346" i="1"/>
  <c r="AF346" i="1"/>
  <c r="AE346" i="1"/>
  <c r="AD346" i="1"/>
  <c r="AC346" i="1"/>
  <c r="AB346" i="1"/>
  <c r="Y346" i="1"/>
  <c r="U346" i="1"/>
  <c r="V346" i="1" s="1"/>
  <c r="S346" i="1"/>
  <c r="Z346" i="1" s="1"/>
  <c r="AI345" i="1"/>
  <c r="AG345" i="1"/>
  <c r="AF345" i="1"/>
  <c r="AE345" i="1"/>
  <c r="AD345" i="1"/>
  <c r="AC345" i="1"/>
  <c r="AB345" i="1"/>
  <c r="Y345" i="1"/>
  <c r="S345" i="1"/>
  <c r="AJ345" i="1" s="1" a="1"/>
  <c r="AJ345" i="1" s="1"/>
  <c r="AI344" i="1"/>
  <c r="AG344" i="1"/>
  <c r="AF344" i="1"/>
  <c r="AE344" i="1"/>
  <c r="AD344" i="1"/>
  <c r="AC344" i="1"/>
  <c r="AB344" i="1"/>
  <c r="Y344" i="1"/>
  <c r="S344" i="1"/>
  <c r="AI343" i="1"/>
  <c r="AG343" i="1"/>
  <c r="AF343" i="1"/>
  <c r="AE343" i="1"/>
  <c r="AD343" i="1"/>
  <c r="AC343" i="1"/>
  <c r="AB343" i="1"/>
  <c r="Y343" i="1"/>
  <c r="S343" i="1"/>
  <c r="AJ343" i="1" s="1" a="1"/>
  <c r="AJ343" i="1" s="1"/>
  <c r="AI342" i="1"/>
  <c r="AG342" i="1"/>
  <c r="AF342" i="1"/>
  <c r="AE342" i="1"/>
  <c r="AD342" i="1"/>
  <c r="AC342" i="1"/>
  <c r="AB342" i="1"/>
  <c r="Y342" i="1"/>
  <c r="S342" i="1"/>
  <c r="AI341" i="1"/>
  <c r="AH341" i="1"/>
  <c r="AG341" i="1"/>
  <c r="AF341" i="1"/>
  <c r="AE341" i="1"/>
  <c r="AD341" i="1"/>
  <c r="AC341" i="1"/>
  <c r="AB341" i="1"/>
  <c r="Y341" i="1"/>
  <c r="S341" i="1"/>
  <c r="AJ341" i="1" s="1" a="1"/>
  <c r="AJ341" i="1" s="1"/>
  <c r="AI340" i="1"/>
  <c r="AG340" i="1"/>
  <c r="AF340" i="1"/>
  <c r="AE340" i="1"/>
  <c r="AD340" i="1"/>
  <c r="AC340" i="1"/>
  <c r="AB340" i="1"/>
  <c r="Y340" i="1"/>
  <c r="S340" i="1"/>
  <c r="AI339" i="1"/>
  <c r="AH339" i="1"/>
  <c r="AG339" i="1"/>
  <c r="AF339" i="1"/>
  <c r="AE339" i="1"/>
  <c r="AD339" i="1"/>
  <c r="AC339" i="1"/>
  <c r="AB339" i="1"/>
  <c r="Y339" i="1"/>
  <c r="S339" i="1"/>
  <c r="AJ339" i="1" s="1" a="1"/>
  <c r="AJ339" i="1" s="1"/>
  <c r="AI338" i="1"/>
  <c r="AG338" i="1"/>
  <c r="AF338" i="1"/>
  <c r="AE338" i="1"/>
  <c r="AD338" i="1"/>
  <c r="AC338" i="1"/>
  <c r="AB338" i="1"/>
  <c r="Y338" i="1"/>
  <c r="U338" i="1"/>
  <c r="V338" i="1" s="1"/>
  <c r="S338" i="1"/>
  <c r="Z338" i="1" s="1"/>
  <c r="AI337" i="1"/>
  <c r="AG337" i="1"/>
  <c r="AF337" i="1"/>
  <c r="AE337" i="1"/>
  <c r="AD337" i="1"/>
  <c r="AC337" i="1"/>
  <c r="AB337" i="1"/>
  <c r="Y337" i="1"/>
  <c r="S337" i="1"/>
  <c r="AJ337" i="1" s="1" a="1"/>
  <c r="AJ337" i="1" s="1"/>
  <c r="AI336" i="1"/>
  <c r="AG336" i="1"/>
  <c r="AF336" i="1"/>
  <c r="AE336" i="1"/>
  <c r="AD336" i="1"/>
  <c r="AC336" i="1"/>
  <c r="AB336" i="1"/>
  <c r="Y336" i="1"/>
  <c r="S336" i="1"/>
  <c r="AI335" i="1"/>
  <c r="AG335" i="1"/>
  <c r="AF335" i="1"/>
  <c r="AE335" i="1"/>
  <c r="AD335" i="1"/>
  <c r="AC335" i="1"/>
  <c r="AB335" i="1"/>
  <c r="Y335" i="1"/>
  <c r="S335" i="1"/>
  <c r="AJ335" i="1" s="1" a="1"/>
  <c r="AJ335" i="1" s="1"/>
  <c r="AI334" i="1"/>
  <c r="AG334" i="1"/>
  <c r="AF334" i="1"/>
  <c r="AE334" i="1"/>
  <c r="AD334" i="1"/>
  <c r="AC334" i="1"/>
  <c r="AB334" i="1"/>
  <c r="Y334" i="1"/>
  <c r="S334" i="1"/>
  <c r="AI333" i="1"/>
  <c r="AH333" i="1"/>
  <c r="AG333" i="1"/>
  <c r="AF333" i="1"/>
  <c r="AE333" i="1"/>
  <c r="AD333" i="1"/>
  <c r="AC333" i="1"/>
  <c r="AB333" i="1"/>
  <c r="Y333" i="1"/>
  <c r="S333" i="1"/>
  <c r="AJ333" i="1" s="1" a="1"/>
  <c r="AJ333" i="1" s="1"/>
  <c r="AI332" i="1"/>
  <c r="AG332" i="1"/>
  <c r="AF332" i="1"/>
  <c r="AE332" i="1"/>
  <c r="AD332" i="1"/>
  <c r="AC332" i="1"/>
  <c r="AB332" i="1"/>
  <c r="Y332" i="1"/>
  <c r="S332" i="1"/>
  <c r="AI331" i="1"/>
  <c r="AH331" i="1"/>
  <c r="AG331" i="1"/>
  <c r="AF331" i="1"/>
  <c r="AE331" i="1"/>
  <c r="AD331" i="1"/>
  <c r="AC331" i="1"/>
  <c r="AB331" i="1"/>
  <c r="Z331" i="1"/>
  <c r="Y331" i="1"/>
  <c r="S331" i="1"/>
  <c r="AJ331" i="1" s="1" a="1"/>
  <c r="AJ331" i="1" s="1"/>
  <c r="AI330" i="1"/>
  <c r="AG330" i="1"/>
  <c r="AF330" i="1"/>
  <c r="AE330" i="1"/>
  <c r="AD330" i="1"/>
  <c r="AC330" i="1"/>
  <c r="AB330" i="1"/>
  <c r="Y330" i="1"/>
  <c r="U330" i="1"/>
  <c r="V330" i="1" s="1"/>
  <c r="S330" i="1"/>
  <c r="AI329" i="1"/>
  <c r="AG329" i="1"/>
  <c r="AF329" i="1"/>
  <c r="AE329" i="1"/>
  <c r="AD329" i="1"/>
  <c r="AC329" i="1"/>
  <c r="AB329" i="1"/>
  <c r="Y329" i="1"/>
  <c r="S329" i="1"/>
  <c r="AJ329" i="1" s="1" a="1"/>
  <c r="AJ329" i="1" s="1"/>
  <c r="AI328" i="1"/>
  <c r="AG328" i="1"/>
  <c r="AF328" i="1"/>
  <c r="AE328" i="1"/>
  <c r="AD328" i="1"/>
  <c r="AC328" i="1"/>
  <c r="AB328" i="1"/>
  <c r="Y328" i="1"/>
  <c r="S328" i="1"/>
  <c r="AI327" i="1"/>
  <c r="AG327" i="1"/>
  <c r="AF327" i="1"/>
  <c r="AE327" i="1"/>
  <c r="AD327" i="1"/>
  <c r="AC327" i="1"/>
  <c r="AB327" i="1"/>
  <c r="Y327" i="1"/>
  <c r="S327" i="1"/>
  <c r="AJ327" i="1" s="1" a="1"/>
  <c r="AJ327" i="1" s="1"/>
  <c r="AI326" i="1"/>
  <c r="AG326" i="1"/>
  <c r="AF326" i="1"/>
  <c r="AE326" i="1"/>
  <c r="AD326" i="1"/>
  <c r="AC326" i="1"/>
  <c r="AB326" i="1"/>
  <c r="Y326" i="1"/>
  <c r="S326" i="1"/>
  <c r="AI325" i="1"/>
  <c r="AH325" i="1"/>
  <c r="AG325" i="1"/>
  <c r="AF325" i="1"/>
  <c r="AE325" i="1"/>
  <c r="AD325" i="1"/>
  <c r="AC325" i="1"/>
  <c r="AB325" i="1"/>
  <c r="Z325" i="1"/>
  <c r="Y325" i="1"/>
  <c r="S325" i="1"/>
  <c r="AJ325" i="1" s="1" a="1"/>
  <c r="AJ325" i="1" s="1"/>
  <c r="AI324" i="1"/>
  <c r="AG324" i="1"/>
  <c r="AF324" i="1"/>
  <c r="AE324" i="1"/>
  <c r="AD324" i="1"/>
  <c r="AC324" i="1"/>
  <c r="AB324" i="1"/>
  <c r="Y324" i="1"/>
  <c r="S324" i="1"/>
  <c r="AI323" i="1"/>
  <c r="AG323" i="1"/>
  <c r="AF323" i="1"/>
  <c r="AE323" i="1"/>
  <c r="AD323" i="1"/>
  <c r="AC323" i="1"/>
  <c r="AB323" i="1"/>
  <c r="Y323" i="1"/>
  <c r="S323" i="1"/>
  <c r="AI322" i="1"/>
  <c r="AG322" i="1"/>
  <c r="AF322" i="1"/>
  <c r="AE322" i="1"/>
  <c r="AD322" i="1"/>
  <c r="AC322" i="1"/>
  <c r="AB322" i="1"/>
  <c r="Y322" i="1"/>
  <c r="S322" i="1"/>
  <c r="AJ322" i="1" s="1" a="1"/>
  <c r="AJ322" i="1" s="1"/>
  <c r="AI321" i="1"/>
  <c r="AG321" i="1"/>
  <c r="AF321" i="1"/>
  <c r="AE321" i="1"/>
  <c r="AD321" i="1"/>
  <c r="AC321" i="1"/>
  <c r="AB321" i="1"/>
  <c r="Y321" i="1"/>
  <c r="S321" i="1"/>
  <c r="AJ321" i="1" s="1" a="1"/>
  <c r="AJ321" i="1" s="1"/>
  <c r="AI320" i="1"/>
  <c r="AG320" i="1"/>
  <c r="AF320" i="1"/>
  <c r="AE320" i="1"/>
  <c r="AD320" i="1"/>
  <c r="AC320" i="1"/>
  <c r="AB320" i="1"/>
  <c r="Z320" i="1"/>
  <c r="Y320" i="1"/>
  <c r="U320" i="1"/>
  <c r="V320" i="1" s="1"/>
  <c r="S320" i="1"/>
  <c r="AH320" i="1" s="1"/>
  <c r="AI319" i="1"/>
  <c r="AG319" i="1"/>
  <c r="AF319" i="1"/>
  <c r="AE319" i="1"/>
  <c r="AD319" i="1"/>
  <c r="AC319" i="1"/>
  <c r="AB319" i="1"/>
  <c r="Y319" i="1"/>
  <c r="S319" i="1"/>
  <c r="AJ319" i="1" s="1" a="1"/>
  <c r="AJ319" i="1" s="1"/>
  <c r="AI318" i="1"/>
  <c r="AG318" i="1"/>
  <c r="AF318" i="1"/>
  <c r="AE318" i="1"/>
  <c r="AD318" i="1"/>
  <c r="AC318" i="1"/>
  <c r="AB318" i="1"/>
  <c r="Y318" i="1"/>
  <c r="V318" i="1"/>
  <c r="U318" i="1"/>
  <c r="S318" i="1"/>
  <c r="AI317" i="1"/>
  <c r="AG317" i="1"/>
  <c r="AF317" i="1"/>
  <c r="AE317" i="1"/>
  <c r="AD317" i="1"/>
  <c r="AC317" i="1"/>
  <c r="AB317" i="1"/>
  <c r="Y317" i="1"/>
  <c r="S317" i="1"/>
  <c r="AI316" i="1"/>
  <c r="AG316" i="1"/>
  <c r="AF316" i="1"/>
  <c r="AE316" i="1"/>
  <c r="AD316" i="1"/>
  <c r="AC316" i="1"/>
  <c r="AB316" i="1"/>
  <c r="Y316" i="1"/>
  <c r="S316" i="1"/>
  <c r="AI315" i="1"/>
  <c r="AH315" i="1"/>
  <c r="AG315" i="1"/>
  <c r="AF315" i="1"/>
  <c r="AE315" i="1"/>
  <c r="AD315" i="1"/>
  <c r="AC315" i="1"/>
  <c r="AB315" i="1"/>
  <c r="Z315" i="1"/>
  <c r="Y315" i="1"/>
  <c r="S315" i="1"/>
  <c r="AJ315" i="1" s="1" a="1"/>
  <c r="AJ315" i="1" s="1"/>
  <c r="AI314" i="1"/>
  <c r="AG314" i="1"/>
  <c r="AF314" i="1"/>
  <c r="AE314" i="1"/>
  <c r="AD314" i="1"/>
  <c r="AC314" i="1"/>
  <c r="AB314" i="1"/>
  <c r="Y314" i="1"/>
  <c r="S314" i="1"/>
  <c r="AJ314" i="1" s="1" a="1"/>
  <c r="AJ314" i="1" s="1"/>
  <c r="AI313" i="1"/>
  <c r="AG313" i="1"/>
  <c r="AF313" i="1"/>
  <c r="AE313" i="1"/>
  <c r="AD313" i="1"/>
  <c r="AC313" i="1"/>
  <c r="AB313" i="1"/>
  <c r="Y313" i="1"/>
  <c r="S313" i="1"/>
  <c r="AJ313" i="1" s="1" a="1"/>
  <c r="AJ313" i="1" s="1"/>
  <c r="AI312" i="1"/>
  <c r="AG312" i="1"/>
  <c r="AF312" i="1"/>
  <c r="AE312" i="1"/>
  <c r="AD312" i="1"/>
  <c r="AC312" i="1"/>
  <c r="AB312" i="1"/>
  <c r="Y312" i="1"/>
  <c r="S312" i="1"/>
  <c r="AJ312" i="1" s="1" a="1"/>
  <c r="AJ312" i="1" s="1"/>
  <c r="AI311" i="1"/>
  <c r="AG311" i="1"/>
  <c r="AF311" i="1"/>
  <c r="AE311" i="1"/>
  <c r="AD311" i="1"/>
  <c r="AC311" i="1"/>
  <c r="AB311" i="1"/>
  <c r="Y311" i="1"/>
  <c r="S311" i="1"/>
  <c r="AJ311" i="1" s="1" a="1"/>
  <c r="AJ311" i="1" s="1"/>
  <c r="AI310" i="1"/>
  <c r="AG310" i="1"/>
  <c r="AF310" i="1"/>
  <c r="AE310" i="1"/>
  <c r="AD310" i="1"/>
  <c r="AC310" i="1"/>
  <c r="AB310" i="1"/>
  <c r="Y310" i="1"/>
  <c r="U310" i="1"/>
  <c r="V310" i="1" s="1"/>
  <c r="S310" i="1"/>
  <c r="AI309" i="1"/>
  <c r="AG309" i="1"/>
  <c r="AF309" i="1"/>
  <c r="AE309" i="1"/>
  <c r="AD309" i="1"/>
  <c r="AC309" i="1"/>
  <c r="AB309" i="1"/>
  <c r="Y309" i="1"/>
  <c r="S309" i="1"/>
  <c r="AI308" i="1"/>
  <c r="AG308" i="1"/>
  <c r="AF308" i="1"/>
  <c r="AE308" i="1"/>
  <c r="AD308" i="1"/>
  <c r="AC308" i="1"/>
  <c r="AB308" i="1"/>
  <c r="Y308" i="1"/>
  <c r="V308" i="1"/>
  <c r="U308" i="1"/>
  <c r="S308" i="1"/>
  <c r="AI307" i="1"/>
  <c r="AH307" i="1"/>
  <c r="AG307" i="1"/>
  <c r="AF307" i="1"/>
  <c r="AE307" i="1"/>
  <c r="AD307" i="1"/>
  <c r="AC307" i="1"/>
  <c r="AB307" i="1"/>
  <c r="Z307" i="1"/>
  <c r="Y307" i="1"/>
  <c r="S307" i="1"/>
  <c r="AJ307" i="1" s="1" a="1"/>
  <c r="AJ307" i="1" s="1"/>
  <c r="AI306" i="1"/>
  <c r="AG306" i="1"/>
  <c r="AF306" i="1"/>
  <c r="AE306" i="1"/>
  <c r="AD306" i="1"/>
  <c r="AC306" i="1"/>
  <c r="AB306" i="1"/>
  <c r="Y306" i="1"/>
  <c r="S306" i="1"/>
  <c r="AJ306" i="1" s="1" a="1"/>
  <c r="AJ306" i="1" s="1"/>
  <c r="AI305" i="1"/>
  <c r="AG305" i="1"/>
  <c r="AF305" i="1"/>
  <c r="AE305" i="1"/>
  <c r="AD305" i="1"/>
  <c r="AC305" i="1"/>
  <c r="AB305" i="1"/>
  <c r="Y305" i="1"/>
  <c r="S305" i="1"/>
  <c r="AJ305" i="1" s="1" a="1"/>
  <c r="AJ305" i="1" s="1"/>
  <c r="AI304" i="1"/>
  <c r="AG304" i="1"/>
  <c r="AF304" i="1"/>
  <c r="AE304" i="1"/>
  <c r="AD304" i="1"/>
  <c r="AC304" i="1"/>
  <c r="AB304" i="1"/>
  <c r="Z304" i="1"/>
  <c r="Y304" i="1"/>
  <c r="S304" i="1"/>
  <c r="AI303" i="1"/>
  <c r="AG303" i="1"/>
  <c r="AF303" i="1"/>
  <c r="AE303" i="1"/>
  <c r="AD303" i="1"/>
  <c r="AC303" i="1"/>
  <c r="AB303" i="1"/>
  <c r="Y303" i="1"/>
  <c r="S303" i="1"/>
  <c r="AJ303" i="1" s="1" a="1"/>
  <c r="AJ303" i="1" s="1"/>
  <c r="AI302" i="1"/>
  <c r="AG302" i="1"/>
  <c r="AF302" i="1"/>
  <c r="AE302" i="1"/>
  <c r="AD302" i="1"/>
  <c r="AC302" i="1"/>
  <c r="AB302" i="1"/>
  <c r="Y302" i="1"/>
  <c r="U302" i="1"/>
  <c r="V302" i="1" s="1"/>
  <c r="S302" i="1"/>
  <c r="AI301" i="1"/>
  <c r="AG301" i="1"/>
  <c r="AF301" i="1"/>
  <c r="AE301" i="1"/>
  <c r="AD301" i="1"/>
  <c r="AC301" i="1"/>
  <c r="AB301" i="1"/>
  <c r="Y301" i="1"/>
  <c r="S301" i="1"/>
  <c r="AI300" i="1"/>
  <c r="AG300" i="1"/>
  <c r="AF300" i="1"/>
  <c r="AE300" i="1"/>
  <c r="AD300" i="1"/>
  <c r="AC300" i="1"/>
  <c r="AB300" i="1"/>
  <c r="Y300" i="1"/>
  <c r="V300" i="1"/>
  <c r="U300" i="1"/>
  <c r="S300" i="1"/>
  <c r="AI299" i="1"/>
  <c r="AH299" i="1"/>
  <c r="AG299" i="1"/>
  <c r="AF299" i="1"/>
  <c r="AE299" i="1"/>
  <c r="AD299" i="1"/>
  <c r="AC299" i="1"/>
  <c r="AB299" i="1"/>
  <c r="Z299" i="1"/>
  <c r="Y299" i="1"/>
  <c r="S299" i="1"/>
  <c r="AJ299" i="1" s="1" a="1"/>
  <c r="AJ299" i="1" s="1"/>
  <c r="AI298" i="1"/>
  <c r="AG298" i="1"/>
  <c r="AF298" i="1"/>
  <c r="AE298" i="1"/>
  <c r="AD298" i="1"/>
  <c r="AC298" i="1"/>
  <c r="AB298" i="1"/>
  <c r="Y298" i="1"/>
  <c r="S298" i="1"/>
  <c r="AJ298" i="1" s="1" a="1"/>
  <c r="AJ298" i="1" s="1"/>
  <c r="AI297" i="1"/>
  <c r="AG297" i="1"/>
  <c r="AF297" i="1"/>
  <c r="AE297" i="1"/>
  <c r="AD297" i="1"/>
  <c r="AC297" i="1"/>
  <c r="AB297" i="1"/>
  <c r="Y297" i="1"/>
  <c r="S297" i="1"/>
  <c r="AJ297" i="1" s="1" a="1"/>
  <c r="AJ297" i="1" s="1"/>
  <c r="AI296" i="1"/>
  <c r="AG296" i="1"/>
  <c r="AF296" i="1"/>
  <c r="AE296" i="1"/>
  <c r="AD296" i="1"/>
  <c r="AC296" i="1"/>
  <c r="AB296" i="1"/>
  <c r="Z296" i="1"/>
  <c r="Y296" i="1"/>
  <c r="S296" i="1"/>
  <c r="AI295" i="1"/>
  <c r="AG295" i="1"/>
  <c r="AF295" i="1"/>
  <c r="AE295" i="1"/>
  <c r="AD295" i="1"/>
  <c r="AC295" i="1"/>
  <c r="AB295" i="1"/>
  <c r="Y295" i="1"/>
  <c r="S295" i="1"/>
  <c r="AJ295" i="1" s="1" a="1"/>
  <c r="AJ295" i="1" s="1"/>
  <c r="AI294" i="1"/>
  <c r="AG294" i="1"/>
  <c r="AF294" i="1"/>
  <c r="AE294" i="1"/>
  <c r="AD294" i="1"/>
  <c r="AC294" i="1"/>
  <c r="AB294" i="1"/>
  <c r="Y294" i="1"/>
  <c r="U294" i="1"/>
  <c r="V294" i="1" s="1"/>
  <c r="S294" i="1"/>
  <c r="AI293" i="1"/>
  <c r="AG293" i="1"/>
  <c r="AF293" i="1"/>
  <c r="AE293" i="1"/>
  <c r="AD293" i="1"/>
  <c r="AC293" i="1"/>
  <c r="AB293" i="1"/>
  <c r="Y293" i="1"/>
  <c r="S293" i="1"/>
  <c r="AI292" i="1"/>
  <c r="AG292" i="1"/>
  <c r="AF292" i="1"/>
  <c r="AE292" i="1"/>
  <c r="AD292" i="1"/>
  <c r="AC292" i="1"/>
  <c r="AB292" i="1"/>
  <c r="Y292" i="1"/>
  <c r="V292" i="1"/>
  <c r="U292" i="1"/>
  <c r="S292" i="1"/>
  <c r="AI291" i="1"/>
  <c r="AH291" i="1"/>
  <c r="AG291" i="1"/>
  <c r="AF291" i="1"/>
  <c r="AE291" i="1"/>
  <c r="AD291" i="1"/>
  <c r="AC291" i="1"/>
  <c r="AB291" i="1"/>
  <c r="Z291" i="1"/>
  <c r="Y291" i="1"/>
  <c r="S291" i="1"/>
  <c r="AJ291" i="1" s="1" a="1"/>
  <c r="AJ291" i="1" s="1"/>
  <c r="AI290" i="1"/>
  <c r="AG290" i="1"/>
  <c r="AF290" i="1"/>
  <c r="AE290" i="1"/>
  <c r="AD290" i="1"/>
  <c r="AC290" i="1"/>
  <c r="AB290" i="1"/>
  <c r="Y290" i="1"/>
  <c r="S290" i="1"/>
  <c r="AJ290" i="1" s="1" a="1"/>
  <c r="AJ290" i="1" s="1"/>
  <c r="AI289" i="1"/>
  <c r="AG289" i="1"/>
  <c r="AF289" i="1"/>
  <c r="AE289" i="1"/>
  <c r="AD289" i="1"/>
  <c r="AC289" i="1"/>
  <c r="AB289" i="1"/>
  <c r="Y289" i="1"/>
  <c r="S289" i="1"/>
  <c r="AJ289" i="1" s="1" a="1"/>
  <c r="AJ289" i="1" s="1"/>
  <c r="AI288" i="1"/>
  <c r="AG288" i="1"/>
  <c r="AF288" i="1"/>
  <c r="AE288" i="1"/>
  <c r="AD288" i="1"/>
  <c r="AC288" i="1"/>
  <c r="AB288" i="1"/>
  <c r="Z288" i="1"/>
  <c r="Y288" i="1"/>
  <c r="S288" i="1"/>
  <c r="AI287" i="1"/>
  <c r="AG287" i="1"/>
  <c r="AF287" i="1"/>
  <c r="AE287" i="1"/>
  <c r="AD287" i="1"/>
  <c r="AC287" i="1"/>
  <c r="AB287" i="1"/>
  <c r="Y287" i="1"/>
  <c r="S287" i="1"/>
  <c r="AJ287" i="1" s="1" a="1"/>
  <c r="AJ287" i="1" s="1"/>
  <c r="AI286" i="1"/>
  <c r="AG286" i="1"/>
  <c r="AF286" i="1"/>
  <c r="AE286" i="1"/>
  <c r="AD286" i="1"/>
  <c r="AC286" i="1"/>
  <c r="AB286" i="1"/>
  <c r="Y286" i="1"/>
  <c r="S286" i="1"/>
  <c r="AI285" i="1"/>
  <c r="AG285" i="1"/>
  <c r="AF285" i="1"/>
  <c r="AE285" i="1"/>
  <c r="AD285" i="1"/>
  <c r="AC285" i="1"/>
  <c r="AB285" i="1"/>
  <c r="Y285" i="1"/>
  <c r="S285" i="1"/>
  <c r="AI284" i="1"/>
  <c r="AG284" i="1"/>
  <c r="AF284" i="1"/>
  <c r="AE284" i="1"/>
  <c r="AD284" i="1"/>
  <c r="AC284" i="1"/>
  <c r="AB284" i="1"/>
  <c r="Y284" i="1"/>
  <c r="S284" i="1"/>
  <c r="AI283" i="1"/>
  <c r="AG283" i="1"/>
  <c r="AF283" i="1"/>
  <c r="AE283" i="1"/>
  <c r="AD283" i="1"/>
  <c r="AC283" i="1"/>
  <c r="AB283" i="1"/>
  <c r="Y283" i="1"/>
  <c r="S283" i="1"/>
  <c r="AJ283" i="1" s="1" a="1"/>
  <c r="AJ283" i="1" s="1"/>
  <c r="AI282" i="1"/>
  <c r="AG282" i="1"/>
  <c r="AF282" i="1"/>
  <c r="AE282" i="1"/>
  <c r="AD282" i="1"/>
  <c r="AC282" i="1"/>
  <c r="AB282" i="1"/>
  <c r="Z282" i="1"/>
  <c r="Y282" i="1"/>
  <c r="S282" i="1"/>
  <c r="AI281" i="1"/>
  <c r="AH281" i="1"/>
  <c r="AG281" i="1"/>
  <c r="AF281" i="1"/>
  <c r="AE281" i="1"/>
  <c r="AD281" i="1"/>
  <c r="AC281" i="1"/>
  <c r="AB281" i="1"/>
  <c r="Y281" i="1"/>
  <c r="U281" i="1"/>
  <c r="V281" i="1" s="1"/>
  <c r="S281" i="1"/>
  <c r="AI280" i="1"/>
  <c r="AG280" i="1"/>
  <c r="AF280" i="1"/>
  <c r="AE280" i="1"/>
  <c r="AD280" i="1"/>
  <c r="AC280" i="1"/>
  <c r="AB280" i="1"/>
  <c r="Y280" i="1"/>
  <c r="S280" i="1"/>
  <c r="AJ280" i="1" s="1" a="1"/>
  <c r="AJ280" i="1" s="1"/>
  <c r="AI279" i="1"/>
  <c r="AH279" i="1"/>
  <c r="AG279" i="1"/>
  <c r="AF279" i="1"/>
  <c r="AE279" i="1"/>
  <c r="AD279" i="1"/>
  <c r="AC279" i="1"/>
  <c r="AB279" i="1"/>
  <c r="Y279" i="1"/>
  <c r="V279" i="1"/>
  <c r="U279" i="1"/>
  <c r="S279" i="1"/>
  <c r="AI278" i="1"/>
  <c r="AG278" i="1"/>
  <c r="AF278" i="1"/>
  <c r="AE278" i="1"/>
  <c r="AD278" i="1"/>
  <c r="AC278" i="1"/>
  <c r="AB278" i="1"/>
  <c r="Y278" i="1"/>
  <c r="U278" i="1"/>
  <c r="V278" i="1" s="1"/>
  <c r="S278" i="1"/>
  <c r="Z278" i="1" s="1"/>
  <c r="AI277" i="1"/>
  <c r="AH277" i="1"/>
  <c r="AG277" i="1"/>
  <c r="AF277" i="1"/>
  <c r="AE277" i="1"/>
  <c r="AD277" i="1"/>
  <c r="AC277" i="1"/>
  <c r="AB277" i="1"/>
  <c r="Y277" i="1"/>
  <c r="U277" i="1"/>
  <c r="V277" i="1" s="1"/>
  <c r="S277" i="1"/>
  <c r="AI276" i="1"/>
  <c r="AG276" i="1"/>
  <c r="AF276" i="1"/>
  <c r="AE276" i="1"/>
  <c r="AD276" i="1"/>
  <c r="AC276" i="1"/>
  <c r="AB276" i="1"/>
  <c r="Y276" i="1"/>
  <c r="S276" i="1"/>
  <c r="AI275" i="1"/>
  <c r="AG275" i="1"/>
  <c r="AF275" i="1"/>
  <c r="AE275" i="1"/>
  <c r="AD275" i="1"/>
  <c r="AC275" i="1"/>
  <c r="AB275" i="1"/>
  <c r="Y275" i="1"/>
  <c r="S275" i="1"/>
  <c r="AI274" i="1"/>
  <c r="AG274" i="1"/>
  <c r="AF274" i="1"/>
  <c r="AE274" i="1"/>
  <c r="AD274" i="1"/>
  <c r="AC274" i="1"/>
  <c r="AB274" i="1"/>
  <c r="Z274" i="1"/>
  <c r="Y274" i="1"/>
  <c r="S274" i="1"/>
  <c r="AI273" i="1"/>
  <c r="AH273" i="1"/>
  <c r="AG273" i="1"/>
  <c r="AF273" i="1"/>
  <c r="AE273" i="1"/>
  <c r="AD273" i="1"/>
  <c r="AC273" i="1"/>
  <c r="AB273" i="1"/>
  <c r="Y273" i="1"/>
  <c r="U273" i="1"/>
  <c r="V273" i="1" s="1"/>
  <c r="S273" i="1"/>
  <c r="AI272" i="1"/>
  <c r="AG272" i="1"/>
  <c r="AF272" i="1"/>
  <c r="AE272" i="1"/>
  <c r="AD272" i="1"/>
  <c r="AC272" i="1"/>
  <c r="AB272" i="1"/>
  <c r="Y272" i="1"/>
  <c r="S272" i="1"/>
  <c r="AJ272" i="1" s="1" a="1"/>
  <c r="AJ272" i="1" s="1"/>
  <c r="AI271" i="1"/>
  <c r="AH271" i="1"/>
  <c r="AG271" i="1"/>
  <c r="AF271" i="1"/>
  <c r="AE271" i="1"/>
  <c r="AD271" i="1"/>
  <c r="AC271" i="1"/>
  <c r="AB271" i="1"/>
  <c r="Y271" i="1"/>
  <c r="V271" i="1"/>
  <c r="U271" i="1"/>
  <c r="S271" i="1"/>
  <c r="AI270" i="1"/>
  <c r="AG270" i="1"/>
  <c r="AF270" i="1"/>
  <c r="AE270" i="1"/>
  <c r="AD270" i="1"/>
  <c r="AC270" i="1"/>
  <c r="AB270" i="1"/>
  <c r="Y270" i="1"/>
  <c r="U270" i="1"/>
  <c r="V270" i="1" s="1"/>
  <c r="S270" i="1"/>
  <c r="Z270" i="1" s="1"/>
  <c r="AI269" i="1"/>
  <c r="AG269" i="1"/>
  <c r="AF269" i="1"/>
  <c r="AE269" i="1"/>
  <c r="AD269" i="1"/>
  <c r="AC269" i="1"/>
  <c r="AB269" i="1"/>
  <c r="Y269" i="1"/>
  <c r="S269" i="1"/>
  <c r="AJ269" i="1" s="1" a="1"/>
  <c r="AJ269" i="1" s="1"/>
  <c r="AI268" i="1"/>
  <c r="AG268" i="1"/>
  <c r="AF268" i="1"/>
  <c r="AE268" i="1"/>
  <c r="AD268" i="1"/>
  <c r="AC268" i="1"/>
  <c r="AB268" i="1"/>
  <c r="Y268" i="1"/>
  <c r="S268" i="1"/>
  <c r="AJ268" i="1" s="1" a="1"/>
  <c r="AJ268" i="1" s="1"/>
  <c r="AI267" i="1"/>
  <c r="AG267" i="1"/>
  <c r="AF267" i="1"/>
  <c r="AE267" i="1"/>
  <c r="AD267" i="1"/>
  <c r="AC267" i="1"/>
  <c r="AB267" i="1"/>
  <c r="Y267" i="1"/>
  <c r="S267" i="1"/>
  <c r="AJ267" i="1" s="1" a="1"/>
  <c r="AJ267" i="1" s="1"/>
  <c r="AI266" i="1"/>
  <c r="AG266" i="1"/>
  <c r="AF266" i="1"/>
  <c r="AE266" i="1"/>
  <c r="AD266" i="1"/>
  <c r="AC266" i="1"/>
  <c r="AB266" i="1"/>
  <c r="Y266" i="1"/>
  <c r="S266" i="1"/>
  <c r="AJ266" i="1" s="1" a="1"/>
  <c r="AJ266" i="1" s="1"/>
  <c r="AI265" i="1"/>
  <c r="AG265" i="1"/>
  <c r="AF265" i="1"/>
  <c r="AE265" i="1"/>
  <c r="AD265" i="1"/>
  <c r="AC265" i="1"/>
  <c r="AB265" i="1"/>
  <c r="Y265" i="1"/>
  <c r="S265" i="1"/>
  <c r="AJ265" i="1" s="1" a="1"/>
  <c r="AJ265" i="1" s="1"/>
  <c r="AI264" i="1"/>
  <c r="AG264" i="1"/>
  <c r="AF264" i="1"/>
  <c r="AE264" i="1"/>
  <c r="AD264" i="1"/>
  <c r="AC264" i="1"/>
  <c r="AB264" i="1"/>
  <c r="Y264" i="1"/>
  <c r="S264" i="1"/>
  <c r="AI263" i="1"/>
  <c r="AG263" i="1"/>
  <c r="AF263" i="1"/>
  <c r="AE263" i="1"/>
  <c r="AD263" i="1"/>
  <c r="AC263" i="1"/>
  <c r="AB263" i="1"/>
  <c r="Y263" i="1"/>
  <c r="S263" i="1"/>
  <c r="AJ263" i="1" s="1" a="1"/>
  <c r="AJ263" i="1" s="1"/>
  <c r="AI262" i="1"/>
  <c r="AG262" i="1"/>
  <c r="AF262" i="1"/>
  <c r="AE262" i="1"/>
  <c r="AD262" i="1"/>
  <c r="AC262" i="1"/>
  <c r="AB262" i="1"/>
  <c r="Y262" i="1"/>
  <c r="S262" i="1"/>
  <c r="U262" i="1" s="1"/>
  <c r="V262" i="1" s="1"/>
  <c r="AI261" i="1"/>
  <c r="AG261" i="1"/>
  <c r="AF261" i="1"/>
  <c r="AE261" i="1"/>
  <c r="AD261" i="1"/>
  <c r="AC261" i="1"/>
  <c r="AB261" i="1"/>
  <c r="Y261" i="1"/>
  <c r="S261" i="1"/>
  <c r="AJ261" i="1" s="1" a="1"/>
  <c r="AJ261" i="1" s="1"/>
  <c r="AI260" i="1"/>
  <c r="AG260" i="1"/>
  <c r="AF260" i="1"/>
  <c r="AE260" i="1"/>
  <c r="AD260" i="1"/>
  <c r="AC260" i="1"/>
  <c r="AB260" i="1"/>
  <c r="Y260" i="1"/>
  <c r="S260" i="1"/>
  <c r="AJ260" i="1" s="1" a="1"/>
  <c r="AJ260" i="1" s="1"/>
  <c r="AI259" i="1"/>
  <c r="AG259" i="1"/>
  <c r="AF259" i="1"/>
  <c r="AE259" i="1"/>
  <c r="AD259" i="1"/>
  <c r="AC259" i="1"/>
  <c r="AB259" i="1"/>
  <c r="Y259" i="1"/>
  <c r="S259" i="1"/>
  <c r="AJ259" i="1" s="1" a="1"/>
  <c r="AJ259" i="1" s="1"/>
  <c r="AI258" i="1"/>
  <c r="AG258" i="1"/>
  <c r="AF258" i="1"/>
  <c r="AE258" i="1"/>
  <c r="AD258" i="1"/>
  <c r="AC258" i="1"/>
  <c r="AB258" i="1"/>
  <c r="Y258" i="1"/>
  <c r="S258" i="1"/>
  <c r="AJ258" i="1" s="1" a="1"/>
  <c r="AJ258" i="1" s="1"/>
  <c r="AI257" i="1"/>
  <c r="AG257" i="1"/>
  <c r="AF257" i="1"/>
  <c r="AE257" i="1"/>
  <c r="AD257" i="1"/>
  <c r="AC257" i="1"/>
  <c r="AB257" i="1"/>
  <c r="Y257" i="1"/>
  <c r="S257" i="1"/>
  <c r="AJ257" i="1" s="1" a="1"/>
  <c r="AJ257" i="1" s="1"/>
  <c r="AI256" i="1"/>
  <c r="AG256" i="1"/>
  <c r="AF256" i="1"/>
  <c r="AE256" i="1"/>
  <c r="AD256" i="1"/>
  <c r="AC256" i="1"/>
  <c r="AB256" i="1"/>
  <c r="Y256" i="1"/>
  <c r="S256" i="1"/>
  <c r="AI255" i="1"/>
  <c r="AG255" i="1"/>
  <c r="AF255" i="1"/>
  <c r="AE255" i="1"/>
  <c r="AD255" i="1"/>
  <c r="AC255" i="1"/>
  <c r="AB255" i="1"/>
  <c r="Y255" i="1"/>
  <c r="S255" i="1"/>
  <c r="AJ255" i="1" s="1" a="1"/>
  <c r="AJ255" i="1" s="1"/>
  <c r="AI254" i="1"/>
  <c r="AG254" i="1"/>
  <c r="AF254" i="1"/>
  <c r="AE254" i="1"/>
  <c r="AD254" i="1"/>
  <c r="AC254" i="1"/>
  <c r="AB254" i="1"/>
  <c r="Y254" i="1"/>
  <c r="S254" i="1"/>
  <c r="U254" i="1" s="1"/>
  <c r="V254" i="1" s="1"/>
  <c r="AI253" i="1"/>
  <c r="AG253" i="1"/>
  <c r="AF253" i="1"/>
  <c r="AE253" i="1"/>
  <c r="AD253" i="1"/>
  <c r="AC253" i="1"/>
  <c r="AB253" i="1"/>
  <c r="Y253" i="1"/>
  <c r="S253" i="1"/>
  <c r="AJ253" i="1" s="1" a="1"/>
  <c r="AJ253" i="1" s="1"/>
  <c r="AI252" i="1"/>
  <c r="AG252" i="1"/>
  <c r="AF252" i="1"/>
  <c r="AE252" i="1"/>
  <c r="AD252" i="1"/>
  <c r="AC252" i="1"/>
  <c r="AB252" i="1"/>
  <c r="Y252" i="1"/>
  <c r="S252" i="1"/>
  <c r="AJ252" i="1" s="1" a="1"/>
  <c r="AJ252" i="1" s="1"/>
  <c r="AI251" i="1"/>
  <c r="AG251" i="1"/>
  <c r="AF251" i="1"/>
  <c r="AE251" i="1"/>
  <c r="AD251" i="1"/>
  <c r="AC251" i="1"/>
  <c r="AB251" i="1"/>
  <c r="Y251" i="1"/>
  <c r="S251" i="1"/>
  <c r="AJ251" i="1" s="1" a="1"/>
  <c r="AJ251" i="1" s="1"/>
  <c r="AI250" i="1"/>
  <c r="AG250" i="1"/>
  <c r="AF250" i="1"/>
  <c r="AE250" i="1"/>
  <c r="AD250" i="1"/>
  <c r="AC250" i="1"/>
  <c r="AB250" i="1"/>
  <c r="Y250" i="1"/>
  <c r="S250" i="1"/>
  <c r="AJ250" i="1" s="1" a="1"/>
  <c r="AJ250" i="1" s="1"/>
  <c r="AI249" i="1"/>
  <c r="AG249" i="1"/>
  <c r="AF249" i="1"/>
  <c r="AE249" i="1"/>
  <c r="AD249" i="1"/>
  <c r="AC249" i="1"/>
  <c r="AB249" i="1"/>
  <c r="Y249" i="1"/>
  <c r="S249" i="1"/>
  <c r="AJ249" i="1" s="1" a="1"/>
  <c r="AJ249" i="1" s="1"/>
  <c r="AI248" i="1"/>
  <c r="AG248" i="1"/>
  <c r="AF248" i="1"/>
  <c r="AE248" i="1"/>
  <c r="AD248" i="1"/>
  <c r="AC248" i="1"/>
  <c r="AB248" i="1"/>
  <c r="Z248" i="1"/>
  <c r="Y248" i="1"/>
  <c r="S248" i="1"/>
  <c r="AI247" i="1"/>
  <c r="AG247" i="1"/>
  <c r="AF247" i="1"/>
  <c r="AE247" i="1"/>
  <c r="AD247" i="1"/>
  <c r="AC247" i="1"/>
  <c r="AB247" i="1"/>
  <c r="Y247" i="1"/>
  <c r="S247" i="1"/>
  <c r="AJ247" i="1" s="1" a="1"/>
  <c r="AJ247" i="1" s="1"/>
  <c r="AI246" i="1"/>
  <c r="AG246" i="1"/>
  <c r="AF246" i="1"/>
  <c r="AE246" i="1"/>
  <c r="AD246" i="1"/>
  <c r="AC246" i="1"/>
  <c r="AB246" i="1"/>
  <c r="Z246" i="1"/>
  <c r="Y246" i="1"/>
  <c r="S246" i="1"/>
  <c r="AI245" i="1"/>
  <c r="AG245" i="1"/>
  <c r="AF245" i="1"/>
  <c r="AE245" i="1"/>
  <c r="AD245" i="1"/>
  <c r="AC245" i="1"/>
  <c r="AB245" i="1"/>
  <c r="Y245" i="1"/>
  <c r="S245" i="1"/>
  <c r="AJ245" i="1" s="1" a="1"/>
  <c r="AJ245" i="1" s="1"/>
  <c r="AI244" i="1"/>
  <c r="AG244" i="1"/>
  <c r="AF244" i="1"/>
  <c r="AE244" i="1"/>
  <c r="AD244" i="1"/>
  <c r="AC244" i="1"/>
  <c r="AB244" i="1"/>
  <c r="Y244" i="1"/>
  <c r="S244" i="1"/>
  <c r="AJ244" i="1" s="1" a="1"/>
  <c r="AJ244" i="1" s="1"/>
  <c r="AI243" i="1"/>
  <c r="AG243" i="1"/>
  <c r="AF243" i="1"/>
  <c r="AE243" i="1"/>
  <c r="AD243" i="1"/>
  <c r="AC243" i="1"/>
  <c r="AB243" i="1"/>
  <c r="Y243" i="1"/>
  <c r="S243" i="1"/>
  <c r="AJ243" i="1" s="1" a="1"/>
  <c r="AJ243" i="1" s="1"/>
  <c r="AI242" i="1"/>
  <c r="AG242" i="1"/>
  <c r="AF242" i="1"/>
  <c r="AE242" i="1"/>
  <c r="AD242" i="1"/>
  <c r="AC242" i="1"/>
  <c r="AB242" i="1"/>
  <c r="Z242" i="1"/>
  <c r="Y242" i="1"/>
  <c r="S242" i="1"/>
  <c r="AJ242" i="1" s="1" a="1"/>
  <c r="AJ242" i="1" s="1"/>
  <c r="AI241" i="1"/>
  <c r="AG241" i="1"/>
  <c r="AF241" i="1"/>
  <c r="AE241" i="1"/>
  <c r="AD241" i="1"/>
  <c r="AC241" i="1"/>
  <c r="AB241" i="1"/>
  <c r="Y241" i="1"/>
  <c r="S241" i="1"/>
  <c r="AJ241" i="1" s="1" a="1"/>
  <c r="AJ241" i="1" s="1"/>
  <c r="AI240" i="1"/>
  <c r="AG240" i="1"/>
  <c r="AF240" i="1"/>
  <c r="AE240" i="1"/>
  <c r="AD240" i="1"/>
  <c r="AC240" i="1"/>
  <c r="AB240" i="1"/>
  <c r="Z240" i="1"/>
  <c r="Y240" i="1"/>
  <c r="S240" i="1"/>
  <c r="AI239" i="1"/>
  <c r="AG239" i="1"/>
  <c r="AF239" i="1"/>
  <c r="AE239" i="1"/>
  <c r="AD239" i="1"/>
  <c r="AC239" i="1"/>
  <c r="AB239" i="1"/>
  <c r="Y239" i="1"/>
  <c r="S239" i="1"/>
  <c r="AJ239" i="1" s="1" a="1"/>
  <c r="AJ239" i="1" s="1"/>
  <c r="AI238" i="1"/>
  <c r="AG238" i="1"/>
  <c r="AF238" i="1"/>
  <c r="AE238" i="1"/>
  <c r="AD238" i="1"/>
  <c r="AC238" i="1"/>
  <c r="AB238" i="1"/>
  <c r="Z238" i="1"/>
  <c r="Y238" i="1"/>
  <c r="S238" i="1"/>
  <c r="AI237" i="1"/>
  <c r="AG237" i="1"/>
  <c r="AF237" i="1"/>
  <c r="AE237" i="1"/>
  <c r="AD237" i="1"/>
  <c r="AC237" i="1"/>
  <c r="AB237" i="1"/>
  <c r="Y237" i="1"/>
  <c r="S237" i="1"/>
  <c r="AJ237" i="1" s="1" a="1"/>
  <c r="AJ237" i="1" s="1"/>
  <c r="AI236" i="1"/>
  <c r="AG236" i="1"/>
  <c r="AF236" i="1"/>
  <c r="AE236" i="1"/>
  <c r="AD236" i="1"/>
  <c r="AC236" i="1"/>
  <c r="AB236" i="1"/>
  <c r="Y236" i="1"/>
  <c r="S236" i="1"/>
  <c r="AJ236" i="1" s="1" a="1"/>
  <c r="AJ236" i="1" s="1"/>
  <c r="AI235" i="1"/>
  <c r="AG235" i="1"/>
  <c r="AF235" i="1"/>
  <c r="AE235" i="1"/>
  <c r="AD235" i="1"/>
  <c r="AC235" i="1"/>
  <c r="AB235" i="1"/>
  <c r="Y235" i="1"/>
  <c r="S235" i="1"/>
  <c r="AJ235" i="1" s="1" a="1"/>
  <c r="AJ235" i="1" s="1"/>
  <c r="AI234" i="1"/>
  <c r="AG234" i="1"/>
  <c r="AF234" i="1"/>
  <c r="AE234" i="1"/>
  <c r="AD234" i="1"/>
  <c r="AC234" i="1"/>
  <c r="AB234" i="1"/>
  <c r="Y234" i="1"/>
  <c r="S234" i="1"/>
  <c r="AJ234" i="1" s="1" a="1"/>
  <c r="AJ234" i="1" s="1"/>
  <c r="AI233" i="1"/>
  <c r="AG233" i="1"/>
  <c r="AF233" i="1"/>
  <c r="AE233" i="1"/>
  <c r="AD233" i="1"/>
  <c r="AC233" i="1"/>
  <c r="AB233" i="1"/>
  <c r="Y233" i="1"/>
  <c r="S233" i="1"/>
  <c r="AJ233" i="1" s="1" a="1"/>
  <c r="AJ233" i="1" s="1"/>
  <c r="AI232" i="1"/>
  <c r="AG232" i="1"/>
  <c r="AF232" i="1"/>
  <c r="AE232" i="1"/>
  <c r="AD232" i="1"/>
  <c r="AC232" i="1"/>
  <c r="AB232" i="1"/>
  <c r="Z232" i="1"/>
  <c r="Y232" i="1"/>
  <c r="S232" i="1"/>
  <c r="AI231" i="1"/>
  <c r="AG231" i="1"/>
  <c r="AF231" i="1"/>
  <c r="AE231" i="1"/>
  <c r="AD231" i="1"/>
  <c r="AC231" i="1"/>
  <c r="AB231" i="1"/>
  <c r="Y231" i="1"/>
  <c r="S231" i="1"/>
  <c r="AJ231" i="1" s="1" a="1"/>
  <c r="AJ231" i="1" s="1"/>
  <c r="AI230" i="1"/>
  <c r="AG230" i="1"/>
  <c r="AF230" i="1"/>
  <c r="AE230" i="1"/>
  <c r="AD230" i="1"/>
  <c r="AC230" i="1"/>
  <c r="AB230" i="1"/>
  <c r="Z230" i="1"/>
  <c r="Y230" i="1"/>
  <c r="U230" i="1"/>
  <c r="V230" i="1" s="1"/>
  <c r="S230" i="1"/>
  <c r="AI229" i="1"/>
  <c r="AG229" i="1"/>
  <c r="AF229" i="1"/>
  <c r="AE229" i="1"/>
  <c r="AD229" i="1"/>
  <c r="AC229" i="1"/>
  <c r="AB229" i="1"/>
  <c r="Y229" i="1"/>
  <c r="S229" i="1"/>
  <c r="AJ229" i="1" s="1" a="1"/>
  <c r="AJ229" i="1" s="1"/>
  <c r="AI228" i="1"/>
  <c r="AG228" i="1"/>
  <c r="AF228" i="1"/>
  <c r="AE228" i="1"/>
  <c r="AD228" i="1"/>
  <c r="AC228" i="1"/>
  <c r="AB228" i="1"/>
  <c r="Y228" i="1"/>
  <c r="S228" i="1"/>
  <c r="AJ228" i="1" s="1" a="1"/>
  <c r="AJ228" i="1" s="1"/>
  <c r="AI227" i="1"/>
  <c r="AG227" i="1"/>
  <c r="AF227" i="1"/>
  <c r="AE227" i="1"/>
  <c r="AD227" i="1"/>
  <c r="AC227" i="1"/>
  <c r="AB227" i="1"/>
  <c r="Y227" i="1"/>
  <c r="S227" i="1"/>
  <c r="AJ227" i="1" s="1" a="1"/>
  <c r="AJ227" i="1" s="1"/>
  <c r="AI226" i="1"/>
  <c r="AG226" i="1"/>
  <c r="AF226" i="1"/>
  <c r="AE226" i="1"/>
  <c r="AD226" i="1"/>
  <c r="AC226" i="1"/>
  <c r="AB226" i="1"/>
  <c r="Z226" i="1"/>
  <c r="Y226" i="1"/>
  <c r="S226" i="1"/>
  <c r="AJ226" i="1" s="1" a="1"/>
  <c r="AJ226" i="1" s="1"/>
  <c r="AI225" i="1"/>
  <c r="AG225" i="1"/>
  <c r="AF225" i="1"/>
  <c r="AE225" i="1"/>
  <c r="AD225" i="1"/>
  <c r="AC225" i="1"/>
  <c r="AB225" i="1"/>
  <c r="Y225" i="1"/>
  <c r="S225" i="1"/>
  <c r="AJ225" i="1" s="1" a="1"/>
  <c r="AJ225" i="1" s="1"/>
  <c r="AI224" i="1"/>
  <c r="AG224" i="1"/>
  <c r="AF224" i="1"/>
  <c r="AE224" i="1"/>
  <c r="AD224" i="1"/>
  <c r="AC224" i="1"/>
  <c r="AB224" i="1"/>
  <c r="Z224" i="1"/>
  <c r="Y224" i="1"/>
  <c r="S224" i="1"/>
  <c r="AI223" i="1"/>
  <c r="AG223" i="1"/>
  <c r="AF223" i="1"/>
  <c r="AE223" i="1"/>
  <c r="AD223" i="1"/>
  <c r="AC223" i="1"/>
  <c r="AB223" i="1"/>
  <c r="Y223" i="1"/>
  <c r="S223" i="1"/>
  <c r="AJ223" i="1" s="1" a="1"/>
  <c r="AJ223" i="1" s="1"/>
  <c r="AI222" i="1"/>
  <c r="AG222" i="1"/>
  <c r="AF222" i="1"/>
  <c r="AE222" i="1"/>
  <c r="AD222" i="1"/>
  <c r="AC222" i="1"/>
  <c r="AB222" i="1"/>
  <c r="Z222" i="1"/>
  <c r="Y222" i="1"/>
  <c r="U222" i="1"/>
  <c r="V222" i="1" s="1"/>
  <c r="S222" i="1"/>
  <c r="AI221" i="1"/>
  <c r="AG221" i="1"/>
  <c r="AF221" i="1"/>
  <c r="AE221" i="1"/>
  <c r="AD221" i="1"/>
  <c r="AC221" i="1"/>
  <c r="AB221" i="1"/>
  <c r="Y221" i="1"/>
  <c r="S221" i="1"/>
  <c r="AJ221" i="1" s="1" a="1"/>
  <c r="AJ221" i="1" s="1"/>
  <c r="AI220" i="1"/>
  <c r="AG220" i="1"/>
  <c r="AF220" i="1"/>
  <c r="AE220" i="1"/>
  <c r="AD220" i="1"/>
  <c r="AC220" i="1"/>
  <c r="AB220" i="1"/>
  <c r="Y220" i="1"/>
  <c r="S220" i="1"/>
  <c r="AJ220" i="1" s="1" a="1"/>
  <c r="AJ220" i="1" s="1"/>
  <c r="AI219" i="1"/>
  <c r="AG219" i="1"/>
  <c r="AF219" i="1"/>
  <c r="AE219" i="1"/>
  <c r="AD219" i="1"/>
  <c r="AC219" i="1"/>
  <c r="AB219" i="1"/>
  <c r="Y219" i="1"/>
  <c r="S219" i="1"/>
  <c r="AJ219" i="1" s="1" a="1"/>
  <c r="AJ219" i="1" s="1"/>
  <c r="AI218" i="1"/>
  <c r="AG218" i="1"/>
  <c r="AF218" i="1"/>
  <c r="AE218" i="1"/>
  <c r="AD218" i="1"/>
  <c r="AC218" i="1"/>
  <c r="AB218" i="1"/>
  <c r="Y218" i="1"/>
  <c r="S218" i="1"/>
  <c r="AJ218" i="1" s="1" a="1"/>
  <c r="AJ218" i="1" s="1"/>
  <c r="AI217" i="1"/>
  <c r="AG217" i="1"/>
  <c r="AF217" i="1"/>
  <c r="AE217" i="1"/>
  <c r="AD217" i="1"/>
  <c r="AC217" i="1"/>
  <c r="AB217" i="1"/>
  <c r="Y217" i="1"/>
  <c r="S217" i="1"/>
  <c r="AJ217" i="1" s="1" a="1"/>
  <c r="AJ217" i="1" s="1"/>
  <c r="AI216" i="1"/>
  <c r="AG216" i="1"/>
  <c r="AF216" i="1"/>
  <c r="AE216" i="1"/>
  <c r="AD216" i="1"/>
  <c r="AC216" i="1"/>
  <c r="AB216" i="1"/>
  <c r="Y216" i="1"/>
  <c r="S216" i="1"/>
  <c r="Z216" i="1" s="1"/>
  <c r="AI215" i="1"/>
  <c r="AG215" i="1"/>
  <c r="AF215" i="1"/>
  <c r="AE215" i="1"/>
  <c r="AD215" i="1"/>
  <c r="AC215" i="1"/>
  <c r="AB215" i="1"/>
  <c r="Y215" i="1"/>
  <c r="S215" i="1"/>
  <c r="AJ215" i="1" s="1" a="1"/>
  <c r="AJ215" i="1" s="1"/>
  <c r="AI214" i="1"/>
  <c r="AG214" i="1"/>
  <c r="AF214" i="1"/>
  <c r="AE214" i="1"/>
  <c r="AD214" i="1"/>
  <c r="AC214" i="1"/>
  <c r="AB214" i="1"/>
  <c r="Y214" i="1"/>
  <c r="U214" i="1"/>
  <c r="V214" i="1" s="1"/>
  <c r="S214" i="1"/>
  <c r="Z214" i="1" s="1"/>
  <c r="AI213" i="1"/>
  <c r="AG213" i="1"/>
  <c r="AF213" i="1"/>
  <c r="AE213" i="1"/>
  <c r="AD213" i="1"/>
  <c r="AC213" i="1"/>
  <c r="AB213" i="1"/>
  <c r="Y213" i="1"/>
  <c r="S213" i="1"/>
  <c r="AJ213" i="1" s="1" a="1"/>
  <c r="AJ213" i="1" s="1"/>
  <c r="AI212" i="1"/>
  <c r="AG212" i="1"/>
  <c r="AF212" i="1"/>
  <c r="AE212" i="1"/>
  <c r="AD212" i="1"/>
  <c r="AC212" i="1"/>
  <c r="AB212" i="1"/>
  <c r="Y212" i="1"/>
  <c r="S212" i="1"/>
  <c r="AJ212" i="1" s="1" a="1"/>
  <c r="AJ212" i="1" s="1"/>
  <c r="AI211" i="1"/>
  <c r="AG211" i="1"/>
  <c r="AF211" i="1"/>
  <c r="AE211" i="1"/>
  <c r="AD211" i="1"/>
  <c r="AC211" i="1"/>
  <c r="AB211" i="1"/>
  <c r="Y211" i="1"/>
  <c r="S211" i="1"/>
  <c r="AJ211" i="1" s="1" a="1"/>
  <c r="AJ211" i="1" s="1"/>
  <c r="AI210" i="1"/>
  <c r="AG210" i="1"/>
  <c r="AF210" i="1"/>
  <c r="AE210" i="1"/>
  <c r="AD210" i="1"/>
  <c r="AC210" i="1"/>
  <c r="AB210" i="1"/>
  <c r="Y210" i="1"/>
  <c r="S210" i="1"/>
  <c r="AJ210" i="1" s="1" a="1"/>
  <c r="AJ210" i="1" s="1"/>
  <c r="AI209" i="1"/>
  <c r="AG209" i="1"/>
  <c r="AF209" i="1"/>
  <c r="AE209" i="1"/>
  <c r="AD209" i="1"/>
  <c r="AC209" i="1"/>
  <c r="AB209" i="1"/>
  <c r="Y209" i="1"/>
  <c r="S209" i="1"/>
  <c r="AJ209" i="1" s="1" a="1"/>
  <c r="AJ209" i="1" s="1"/>
  <c r="AI208" i="1"/>
  <c r="AG208" i="1"/>
  <c r="AF208" i="1"/>
  <c r="AE208" i="1"/>
  <c r="AD208" i="1"/>
  <c r="AC208" i="1"/>
  <c r="AB208" i="1"/>
  <c r="Y208" i="1"/>
  <c r="S208" i="1"/>
  <c r="AI207" i="1"/>
  <c r="AG207" i="1"/>
  <c r="AF207" i="1"/>
  <c r="AE207" i="1"/>
  <c r="AD207" i="1"/>
  <c r="AC207" i="1"/>
  <c r="AB207" i="1"/>
  <c r="Y207" i="1"/>
  <c r="S207" i="1"/>
  <c r="AJ207" i="1" s="1" a="1"/>
  <c r="AJ207" i="1" s="1"/>
  <c r="AI206" i="1"/>
  <c r="AG206" i="1"/>
  <c r="AF206" i="1"/>
  <c r="AE206" i="1"/>
  <c r="AD206" i="1"/>
  <c r="AC206" i="1"/>
  <c r="AB206" i="1"/>
  <c r="Y206" i="1"/>
  <c r="U206" i="1"/>
  <c r="V206" i="1" s="1"/>
  <c r="S206" i="1"/>
  <c r="Z206" i="1" s="1"/>
  <c r="AI205" i="1"/>
  <c r="AH205" i="1"/>
  <c r="AG205" i="1"/>
  <c r="AF205" i="1"/>
  <c r="AE205" i="1"/>
  <c r="AD205" i="1"/>
  <c r="AC205" i="1"/>
  <c r="AB205" i="1"/>
  <c r="Y205" i="1"/>
  <c r="U205" i="1"/>
  <c r="V205" i="1" s="1"/>
  <c r="S205" i="1"/>
  <c r="AJ205" i="1" s="1" a="1"/>
  <c r="AJ205" i="1" s="1"/>
  <c r="AI204" i="1"/>
  <c r="AG204" i="1"/>
  <c r="AF204" i="1"/>
  <c r="AE204" i="1"/>
  <c r="AD204" i="1"/>
  <c r="AC204" i="1"/>
  <c r="AB204" i="1"/>
  <c r="Y204" i="1"/>
  <c r="S204" i="1"/>
  <c r="AI203" i="1"/>
  <c r="AG203" i="1"/>
  <c r="AF203" i="1"/>
  <c r="AE203" i="1"/>
  <c r="AD203" i="1"/>
  <c r="AC203" i="1"/>
  <c r="AB203" i="1"/>
  <c r="Y203" i="1"/>
  <c r="S203" i="1"/>
  <c r="AJ203" i="1" s="1" a="1"/>
  <c r="AJ203" i="1" s="1"/>
  <c r="AI202" i="1"/>
  <c r="AG202" i="1"/>
  <c r="AF202" i="1"/>
  <c r="AE202" i="1"/>
  <c r="AD202" i="1"/>
  <c r="AC202" i="1"/>
  <c r="AB202" i="1"/>
  <c r="Y202" i="1"/>
  <c r="S202" i="1"/>
  <c r="AJ202" i="1" s="1" a="1"/>
  <c r="AJ202" i="1" s="1"/>
  <c r="AI201" i="1"/>
  <c r="AG201" i="1"/>
  <c r="AF201" i="1"/>
  <c r="AE201" i="1"/>
  <c r="AD201" i="1"/>
  <c r="AC201" i="1"/>
  <c r="AB201" i="1"/>
  <c r="Y201" i="1"/>
  <c r="S201" i="1"/>
  <c r="AJ201" i="1" s="1" a="1"/>
  <c r="AJ201" i="1" s="1"/>
  <c r="AI200" i="1"/>
  <c r="AG200" i="1"/>
  <c r="AF200" i="1"/>
  <c r="AE200" i="1"/>
  <c r="AD200" i="1"/>
  <c r="AC200" i="1"/>
  <c r="AB200" i="1"/>
  <c r="Y200" i="1"/>
  <c r="S200" i="1"/>
  <c r="AJ200" i="1" s="1" a="1"/>
  <c r="AJ200" i="1" s="1"/>
  <c r="AI199" i="1"/>
  <c r="AG199" i="1"/>
  <c r="AF199" i="1"/>
  <c r="AE199" i="1"/>
  <c r="AD199" i="1"/>
  <c r="AC199" i="1"/>
  <c r="AB199" i="1"/>
  <c r="Y199" i="1"/>
  <c r="S199" i="1"/>
  <c r="AJ199" i="1" s="1" a="1"/>
  <c r="AJ199" i="1" s="1"/>
  <c r="AI198" i="1"/>
  <c r="AG198" i="1"/>
  <c r="AF198" i="1"/>
  <c r="AE198" i="1"/>
  <c r="AD198" i="1"/>
  <c r="AC198" i="1"/>
  <c r="AB198" i="1"/>
  <c r="Y198" i="1"/>
  <c r="S198" i="1"/>
  <c r="AJ198" i="1" s="1" a="1"/>
  <c r="AJ198" i="1" s="1"/>
  <c r="AI197" i="1"/>
  <c r="AH197" i="1"/>
  <c r="AG197" i="1"/>
  <c r="AF197" i="1"/>
  <c r="AE197" i="1"/>
  <c r="AD197" i="1"/>
  <c r="AC197" i="1"/>
  <c r="AB197" i="1"/>
  <c r="Y197" i="1"/>
  <c r="U197" i="1"/>
  <c r="V197" i="1" s="1"/>
  <c r="S197" i="1"/>
  <c r="AJ197" i="1" s="1" a="1"/>
  <c r="AJ197" i="1" s="1"/>
  <c r="AI196" i="1"/>
  <c r="AG196" i="1"/>
  <c r="AF196" i="1"/>
  <c r="AE196" i="1"/>
  <c r="AD196" i="1"/>
  <c r="AC196" i="1"/>
  <c r="AB196" i="1"/>
  <c r="Y196" i="1"/>
  <c r="S196" i="1"/>
  <c r="AJ196" i="1" s="1" a="1"/>
  <c r="AJ196" i="1" s="1"/>
  <c r="AI195" i="1"/>
  <c r="AH195" i="1"/>
  <c r="AG195" i="1"/>
  <c r="AF195" i="1"/>
  <c r="AE195" i="1"/>
  <c r="AD195" i="1"/>
  <c r="AC195" i="1"/>
  <c r="AB195" i="1"/>
  <c r="Y195" i="1"/>
  <c r="V195" i="1"/>
  <c r="U195" i="1"/>
  <c r="S195" i="1"/>
  <c r="AJ195" i="1" s="1" a="1"/>
  <c r="AJ195" i="1" s="1"/>
  <c r="AI194" i="1"/>
  <c r="AG194" i="1"/>
  <c r="AF194" i="1"/>
  <c r="AE194" i="1"/>
  <c r="AD194" i="1"/>
  <c r="AC194" i="1"/>
  <c r="AB194" i="1"/>
  <c r="Y194" i="1"/>
  <c r="S194" i="1"/>
  <c r="AJ194" i="1" s="1" a="1"/>
  <c r="AJ194" i="1" s="1"/>
  <c r="AI193" i="1"/>
  <c r="AG193" i="1"/>
  <c r="AF193" i="1"/>
  <c r="AE193" i="1"/>
  <c r="AD193" i="1"/>
  <c r="AC193" i="1"/>
  <c r="AB193" i="1"/>
  <c r="Y193" i="1"/>
  <c r="S193" i="1"/>
  <c r="AJ193" i="1" s="1" a="1"/>
  <c r="AJ193" i="1" s="1"/>
  <c r="AI192" i="1"/>
  <c r="AG192" i="1"/>
  <c r="AF192" i="1"/>
  <c r="AE192" i="1"/>
  <c r="AD192" i="1"/>
  <c r="AC192" i="1"/>
  <c r="AB192" i="1"/>
  <c r="Y192" i="1"/>
  <c r="S192" i="1"/>
  <c r="AJ192" i="1" s="1" a="1"/>
  <c r="AJ192" i="1" s="1"/>
  <c r="AI191" i="1"/>
  <c r="AG191" i="1"/>
  <c r="AF191" i="1"/>
  <c r="AE191" i="1"/>
  <c r="AD191" i="1"/>
  <c r="AC191" i="1"/>
  <c r="AB191" i="1"/>
  <c r="Y191" i="1"/>
  <c r="S191" i="1"/>
  <c r="AJ191" i="1" s="1" a="1"/>
  <c r="AJ191" i="1" s="1"/>
  <c r="AI190" i="1"/>
  <c r="AG190" i="1"/>
  <c r="AF190" i="1"/>
  <c r="AE190" i="1"/>
  <c r="AD190" i="1"/>
  <c r="AC190" i="1"/>
  <c r="AB190" i="1"/>
  <c r="Y190" i="1"/>
  <c r="S190" i="1"/>
  <c r="AJ190" i="1" s="1" a="1"/>
  <c r="AJ190" i="1" s="1"/>
  <c r="AI189" i="1"/>
  <c r="AH189" i="1"/>
  <c r="AG189" i="1"/>
  <c r="AF189" i="1"/>
  <c r="AE189" i="1"/>
  <c r="AD189" i="1"/>
  <c r="AC189" i="1"/>
  <c r="AB189" i="1"/>
  <c r="Y189" i="1"/>
  <c r="U189" i="1"/>
  <c r="V189" i="1" s="1"/>
  <c r="S189" i="1"/>
  <c r="AI188" i="1"/>
  <c r="AG188" i="1"/>
  <c r="AF188" i="1"/>
  <c r="AE188" i="1"/>
  <c r="AD188" i="1"/>
  <c r="AC188" i="1"/>
  <c r="AB188" i="1"/>
  <c r="Y188" i="1"/>
  <c r="S188" i="1"/>
  <c r="AI187" i="1"/>
  <c r="AG187" i="1"/>
  <c r="AF187" i="1"/>
  <c r="AE187" i="1"/>
  <c r="AD187" i="1"/>
  <c r="AC187" i="1"/>
  <c r="AB187" i="1"/>
  <c r="Y187" i="1"/>
  <c r="S187" i="1"/>
  <c r="AI186" i="1"/>
  <c r="AG186" i="1"/>
  <c r="AF186" i="1"/>
  <c r="AE186" i="1"/>
  <c r="AD186" i="1"/>
  <c r="AC186" i="1"/>
  <c r="AB186" i="1"/>
  <c r="Z186" i="1"/>
  <c r="Y186" i="1"/>
  <c r="S186" i="1"/>
  <c r="AI185" i="1"/>
  <c r="AH185" i="1"/>
  <c r="AG185" i="1"/>
  <c r="AF185" i="1"/>
  <c r="AE185" i="1"/>
  <c r="AD185" i="1"/>
  <c r="AC185" i="1"/>
  <c r="AB185" i="1"/>
  <c r="Y185" i="1"/>
  <c r="U185" i="1"/>
  <c r="V185" i="1" s="1"/>
  <c r="S185" i="1"/>
  <c r="AI184" i="1"/>
  <c r="AG184" i="1"/>
  <c r="AF184" i="1"/>
  <c r="AE184" i="1"/>
  <c r="AD184" i="1"/>
  <c r="AC184" i="1"/>
  <c r="AB184" i="1"/>
  <c r="Y184" i="1"/>
  <c r="S184" i="1"/>
  <c r="AJ184" i="1" s="1" a="1"/>
  <c r="AJ184" i="1" s="1"/>
  <c r="AI183" i="1"/>
  <c r="AG183" i="1"/>
  <c r="AF183" i="1"/>
  <c r="AE183" i="1"/>
  <c r="AD183" i="1"/>
  <c r="AC183" i="1"/>
  <c r="AB183" i="1"/>
  <c r="Y183" i="1"/>
  <c r="S183" i="1"/>
  <c r="AJ183" i="1" s="1" a="1"/>
  <c r="AJ183" i="1" s="1"/>
  <c r="AI182" i="1"/>
  <c r="AG182" i="1"/>
  <c r="AF182" i="1"/>
  <c r="AE182" i="1"/>
  <c r="AD182" i="1"/>
  <c r="AC182" i="1"/>
  <c r="AB182" i="1"/>
  <c r="Z182" i="1"/>
  <c r="Y182" i="1"/>
  <c r="S182" i="1"/>
  <c r="AI181" i="1"/>
  <c r="AG181" i="1"/>
  <c r="AF181" i="1"/>
  <c r="AE181" i="1"/>
  <c r="AD181" i="1"/>
  <c r="AC181" i="1"/>
  <c r="AB181" i="1"/>
  <c r="Y181" i="1"/>
  <c r="S181" i="1"/>
  <c r="AJ181" i="1" s="1" a="1"/>
  <c r="AJ181" i="1" s="1"/>
  <c r="AI180" i="1"/>
  <c r="AG180" i="1"/>
  <c r="AF180" i="1"/>
  <c r="AE180" i="1"/>
  <c r="AD180" i="1"/>
  <c r="AC180" i="1"/>
  <c r="AB180" i="1"/>
  <c r="Y180" i="1"/>
  <c r="S180" i="1"/>
  <c r="AI179" i="1"/>
  <c r="AG179" i="1"/>
  <c r="AF179" i="1"/>
  <c r="AE179" i="1"/>
  <c r="AD179" i="1"/>
  <c r="AC179" i="1"/>
  <c r="AB179" i="1"/>
  <c r="Y179" i="1"/>
  <c r="S179" i="1"/>
  <c r="AJ179" i="1" s="1" a="1"/>
  <c r="AJ179" i="1" s="1"/>
  <c r="AI178" i="1"/>
  <c r="AG178" i="1"/>
  <c r="AF178" i="1"/>
  <c r="AE178" i="1"/>
  <c r="AD178" i="1"/>
  <c r="AC178" i="1"/>
  <c r="AB178" i="1"/>
  <c r="Z178" i="1"/>
  <c r="Y178" i="1"/>
  <c r="S178" i="1"/>
  <c r="AI177" i="1"/>
  <c r="AG177" i="1"/>
  <c r="AF177" i="1"/>
  <c r="AE177" i="1"/>
  <c r="AD177" i="1"/>
  <c r="AC177" i="1"/>
  <c r="AB177" i="1"/>
  <c r="Y177" i="1"/>
  <c r="S177" i="1"/>
  <c r="AJ177" i="1" s="1" a="1"/>
  <c r="AJ177" i="1" s="1"/>
  <c r="AI176" i="1"/>
  <c r="AG176" i="1"/>
  <c r="AF176" i="1"/>
  <c r="AE176" i="1"/>
  <c r="AD176" i="1"/>
  <c r="AC176" i="1"/>
  <c r="AB176" i="1"/>
  <c r="Z176" i="1"/>
  <c r="Y176" i="1"/>
  <c r="S176" i="1"/>
  <c r="AI175" i="1"/>
  <c r="AG175" i="1"/>
  <c r="AF175" i="1"/>
  <c r="AE175" i="1"/>
  <c r="AD175" i="1"/>
  <c r="AC175" i="1"/>
  <c r="AB175" i="1"/>
  <c r="Y175" i="1"/>
  <c r="S175" i="1"/>
  <c r="AJ175" i="1" s="1" a="1"/>
  <c r="AJ175" i="1" s="1"/>
  <c r="AI174" i="1"/>
  <c r="AG174" i="1"/>
  <c r="AF174" i="1"/>
  <c r="AE174" i="1"/>
  <c r="AD174" i="1"/>
  <c r="AC174" i="1"/>
  <c r="AB174" i="1"/>
  <c r="Z174" i="1"/>
  <c r="Y174" i="1"/>
  <c r="S174" i="1"/>
  <c r="AI173" i="1"/>
  <c r="AG173" i="1"/>
  <c r="AF173" i="1"/>
  <c r="AE173" i="1"/>
  <c r="AD173" i="1"/>
  <c r="AC173" i="1"/>
  <c r="AB173" i="1"/>
  <c r="Y173" i="1"/>
  <c r="S173" i="1"/>
  <c r="AJ173" i="1" s="1" a="1"/>
  <c r="AJ173" i="1" s="1"/>
  <c r="AI172" i="1"/>
  <c r="AG172" i="1"/>
  <c r="AF172" i="1"/>
  <c r="AE172" i="1"/>
  <c r="AD172" i="1"/>
  <c r="AC172" i="1"/>
  <c r="AB172" i="1"/>
  <c r="Y172" i="1"/>
  <c r="S172" i="1"/>
  <c r="AI171" i="1"/>
  <c r="AG171" i="1"/>
  <c r="AF171" i="1"/>
  <c r="AE171" i="1"/>
  <c r="AD171" i="1"/>
  <c r="AC171" i="1"/>
  <c r="AB171" i="1"/>
  <c r="Y171" i="1"/>
  <c r="S171" i="1"/>
  <c r="AJ171" i="1" s="1" a="1"/>
  <c r="AJ171" i="1" s="1"/>
  <c r="AI170" i="1"/>
  <c r="AG170" i="1"/>
  <c r="AF170" i="1"/>
  <c r="AE170" i="1"/>
  <c r="AD170" i="1"/>
  <c r="AC170" i="1"/>
  <c r="AB170" i="1"/>
  <c r="Z170" i="1"/>
  <c r="Y170" i="1"/>
  <c r="S170" i="1"/>
  <c r="AI169" i="1"/>
  <c r="AG169" i="1"/>
  <c r="AF169" i="1"/>
  <c r="AE169" i="1"/>
  <c r="AD169" i="1"/>
  <c r="AC169" i="1"/>
  <c r="AB169" i="1"/>
  <c r="Y169" i="1"/>
  <c r="S169" i="1"/>
  <c r="AJ169" i="1" s="1" a="1"/>
  <c r="AJ169" i="1" s="1"/>
  <c r="AI168" i="1"/>
  <c r="AG168" i="1"/>
  <c r="AF168" i="1"/>
  <c r="AE168" i="1"/>
  <c r="AD168" i="1"/>
  <c r="AC168" i="1"/>
  <c r="AB168" i="1"/>
  <c r="Z168" i="1"/>
  <c r="Y168" i="1"/>
  <c r="S168" i="1"/>
  <c r="AI167" i="1"/>
  <c r="AG167" i="1"/>
  <c r="AF167" i="1"/>
  <c r="AE167" i="1"/>
  <c r="AD167" i="1"/>
  <c r="AC167" i="1"/>
  <c r="AB167" i="1"/>
  <c r="Y167" i="1"/>
  <c r="S167" i="1"/>
  <c r="AJ167" i="1" s="1" a="1"/>
  <c r="AJ167" i="1" s="1"/>
  <c r="AI166" i="1"/>
  <c r="AG166" i="1"/>
  <c r="AF166" i="1"/>
  <c r="AE166" i="1"/>
  <c r="AD166" i="1"/>
  <c r="AC166" i="1"/>
  <c r="AB166" i="1"/>
  <c r="Z166" i="1"/>
  <c r="Y166" i="1"/>
  <c r="S166" i="1"/>
  <c r="AI165" i="1"/>
  <c r="AG165" i="1"/>
  <c r="AF165" i="1"/>
  <c r="AE165" i="1"/>
  <c r="AD165" i="1"/>
  <c r="AC165" i="1"/>
  <c r="AB165" i="1"/>
  <c r="Y165" i="1"/>
  <c r="S165" i="1"/>
  <c r="AJ165" i="1" s="1" a="1"/>
  <c r="AJ165" i="1" s="1"/>
  <c r="AI164" i="1"/>
  <c r="AG164" i="1"/>
  <c r="AF164" i="1"/>
  <c r="AE164" i="1"/>
  <c r="AD164" i="1"/>
  <c r="AC164" i="1"/>
  <c r="AB164" i="1"/>
  <c r="Y164" i="1"/>
  <c r="S164" i="1"/>
  <c r="AI163" i="1"/>
  <c r="AG163" i="1"/>
  <c r="AF163" i="1"/>
  <c r="AE163" i="1"/>
  <c r="AD163" i="1"/>
  <c r="AC163" i="1"/>
  <c r="AB163" i="1"/>
  <c r="Y163" i="1"/>
  <c r="S163" i="1"/>
  <c r="AJ163" i="1" s="1" a="1"/>
  <c r="AJ163" i="1" s="1"/>
  <c r="AI162" i="1"/>
  <c r="AG162" i="1"/>
  <c r="AF162" i="1"/>
  <c r="AE162" i="1"/>
  <c r="AD162" i="1"/>
  <c r="AC162" i="1"/>
  <c r="AB162" i="1"/>
  <c r="Z162" i="1"/>
  <c r="Y162" i="1"/>
  <c r="S162" i="1"/>
  <c r="AI161" i="1"/>
  <c r="AG161" i="1"/>
  <c r="AF161" i="1"/>
  <c r="AE161" i="1"/>
  <c r="AD161" i="1"/>
  <c r="AC161" i="1"/>
  <c r="AB161" i="1"/>
  <c r="Y161" i="1"/>
  <c r="S161" i="1"/>
  <c r="AJ161" i="1" s="1" a="1"/>
  <c r="AJ161" i="1" s="1"/>
  <c r="AI160" i="1"/>
  <c r="AG160" i="1"/>
  <c r="AF160" i="1"/>
  <c r="AE160" i="1"/>
  <c r="AD160" i="1"/>
  <c r="AC160" i="1"/>
  <c r="AB160" i="1"/>
  <c r="Z160" i="1"/>
  <c r="Y160" i="1"/>
  <c r="S160" i="1"/>
  <c r="AI159" i="1"/>
  <c r="AG159" i="1"/>
  <c r="AF159" i="1"/>
  <c r="AE159" i="1"/>
  <c r="AD159" i="1"/>
  <c r="AC159" i="1"/>
  <c r="AB159" i="1"/>
  <c r="Y159" i="1"/>
  <c r="S159" i="1"/>
  <c r="AJ159" i="1" s="1" a="1"/>
  <c r="AJ159" i="1" s="1"/>
  <c r="AI158" i="1"/>
  <c r="AG158" i="1"/>
  <c r="AF158" i="1"/>
  <c r="AE158" i="1"/>
  <c r="AD158" i="1"/>
  <c r="AC158" i="1"/>
  <c r="AB158" i="1"/>
  <c r="Z158" i="1"/>
  <c r="Y158" i="1"/>
  <c r="S158" i="1"/>
  <c r="AI157" i="1"/>
  <c r="AG157" i="1"/>
  <c r="AF157" i="1"/>
  <c r="AE157" i="1"/>
  <c r="AD157" i="1"/>
  <c r="AC157" i="1"/>
  <c r="AB157" i="1"/>
  <c r="Y157" i="1"/>
  <c r="S157" i="1"/>
  <c r="AJ157" i="1" s="1" a="1"/>
  <c r="AJ157" i="1" s="1"/>
  <c r="AI156" i="1"/>
  <c r="AG156" i="1"/>
  <c r="AF156" i="1"/>
  <c r="AE156" i="1"/>
  <c r="AD156" i="1"/>
  <c r="AC156" i="1"/>
  <c r="AB156" i="1"/>
  <c r="Y156" i="1"/>
  <c r="S156" i="1"/>
  <c r="AI155" i="1"/>
  <c r="AG155" i="1"/>
  <c r="AF155" i="1"/>
  <c r="AE155" i="1"/>
  <c r="AD155" i="1"/>
  <c r="AC155" i="1"/>
  <c r="AB155" i="1"/>
  <c r="Y155" i="1"/>
  <c r="S155" i="1"/>
  <c r="AJ155" i="1" s="1" a="1"/>
  <c r="AJ155" i="1" s="1"/>
  <c r="AI154" i="1"/>
  <c r="AG154" i="1"/>
  <c r="AF154" i="1"/>
  <c r="AE154" i="1"/>
  <c r="AD154" i="1"/>
  <c r="AC154" i="1"/>
  <c r="AB154" i="1"/>
  <c r="Z154" i="1"/>
  <c r="Y154" i="1"/>
  <c r="S154" i="1"/>
  <c r="AI153" i="1"/>
  <c r="AG153" i="1"/>
  <c r="AF153" i="1"/>
  <c r="AE153" i="1"/>
  <c r="AD153" i="1"/>
  <c r="AC153" i="1"/>
  <c r="AB153" i="1"/>
  <c r="Y153" i="1"/>
  <c r="S153" i="1"/>
  <c r="AJ153" i="1" s="1" a="1"/>
  <c r="AJ153" i="1" s="1"/>
  <c r="AI152" i="1"/>
  <c r="AG152" i="1"/>
  <c r="AF152" i="1"/>
  <c r="AE152" i="1"/>
  <c r="AD152" i="1"/>
  <c r="AC152" i="1"/>
  <c r="AB152" i="1"/>
  <c r="Z152" i="1"/>
  <c r="Y152" i="1"/>
  <c r="S152" i="1"/>
  <c r="AI151" i="1"/>
  <c r="AG151" i="1"/>
  <c r="AF151" i="1"/>
  <c r="AE151" i="1"/>
  <c r="AD151" i="1"/>
  <c r="AC151" i="1"/>
  <c r="AB151" i="1"/>
  <c r="Y151" i="1"/>
  <c r="S151" i="1"/>
  <c r="AJ151" i="1" s="1" a="1"/>
  <c r="AJ151" i="1" s="1"/>
  <c r="AI150" i="1"/>
  <c r="AG150" i="1"/>
  <c r="AF150" i="1"/>
  <c r="AE150" i="1"/>
  <c r="AD150" i="1"/>
  <c r="AC150" i="1"/>
  <c r="AB150" i="1"/>
  <c r="Z150" i="1"/>
  <c r="Y150" i="1"/>
  <c r="S150" i="1"/>
  <c r="AI149" i="1"/>
  <c r="AG149" i="1"/>
  <c r="AF149" i="1"/>
  <c r="AE149" i="1"/>
  <c r="AD149" i="1"/>
  <c r="AC149" i="1"/>
  <c r="AB149" i="1"/>
  <c r="Y149" i="1"/>
  <c r="S149" i="1"/>
  <c r="AJ149" i="1" s="1" a="1"/>
  <c r="AJ149" i="1" s="1"/>
  <c r="AI148" i="1"/>
  <c r="AG148" i="1"/>
  <c r="AF148" i="1"/>
  <c r="AE148" i="1"/>
  <c r="AD148" i="1"/>
  <c r="AC148" i="1"/>
  <c r="AB148" i="1"/>
  <c r="Y148" i="1"/>
  <c r="S148" i="1"/>
  <c r="AI147" i="1"/>
  <c r="AG147" i="1"/>
  <c r="AF147" i="1"/>
  <c r="AE147" i="1"/>
  <c r="AD147" i="1"/>
  <c r="AC147" i="1"/>
  <c r="AB147" i="1"/>
  <c r="Y147" i="1"/>
  <c r="S147" i="1"/>
  <c r="AJ147" i="1" s="1" a="1"/>
  <c r="AJ147" i="1" s="1"/>
  <c r="AI146" i="1"/>
  <c r="AG146" i="1"/>
  <c r="AF146" i="1"/>
  <c r="AE146" i="1"/>
  <c r="AD146" i="1"/>
  <c r="AC146" i="1"/>
  <c r="AB146" i="1"/>
  <c r="Z146" i="1"/>
  <c r="Y146" i="1"/>
  <c r="S146" i="1"/>
  <c r="AI145" i="1"/>
  <c r="AG145" i="1"/>
  <c r="AF145" i="1"/>
  <c r="AE145" i="1"/>
  <c r="AD145" i="1"/>
  <c r="AC145" i="1"/>
  <c r="AB145" i="1"/>
  <c r="Y145" i="1"/>
  <c r="S145" i="1"/>
  <c r="AJ145" i="1" s="1" a="1"/>
  <c r="AJ145" i="1" s="1"/>
  <c r="AI144" i="1"/>
  <c r="AG144" i="1"/>
  <c r="AF144" i="1"/>
  <c r="AE144" i="1"/>
  <c r="AD144" i="1"/>
  <c r="AC144" i="1"/>
  <c r="AB144" i="1"/>
  <c r="Z144" i="1"/>
  <c r="Y144" i="1"/>
  <c r="S144" i="1"/>
  <c r="AI143" i="1"/>
  <c r="AG143" i="1"/>
  <c r="AF143" i="1"/>
  <c r="AE143" i="1"/>
  <c r="AD143" i="1"/>
  <c r="AC143" i="1"/>
  <c r="AB143" i="1"/>
  <c r="Y143" i="1"/>
  <c r="S143" i="1"/>
  <c r="AJ143" i="1" s="1" a="1"/>
  <c r="AJ143" i="1" s="1"/>
  <c r="AI142" i="1"/>
  <c r="AG142" i="1"/>
  <c r="AF142" i="1"/>
  <c r="AE142" i="1"/>
  <c r="AD142" i="1"/>
  <c r="AC142" i="1"/>
  <c r="AB142" i="1"/>
  <c r="Z142" i="1"/>
  <c r="Y142" i="1"/>
  <c r="S142" i="1"/>
  <c r="AI141" i="1"/>
  <c r="AG141" i="1"/>
  <c r="AF141" i="1"/>
  <c r="AE141" i="1"/>
  <c r="AD141" i="1"/>
  <c r="AC141" i="1"/>
  <c r="AB141" i="1"/>
  <c r="Y141" i="1"/>
  <c r="S141" i="1"/>
  <c r="AJ141" i="1" s="1" a="1"/>
  <c r="AJ141" i="1" s="1"/>
  <c r="AI140" i="1"/>
  <c r="AG140" i="1"/>
  <c r="AF140" i="1"/>
  <c r="AE140" i="1"/>
  <c r="AD140" i="1"/>
  <c r="AC140" i="1"/>
  <c r="AB140" i="1"/>
  <c r="Y140" i="1"/>
  <c r="S140" i="1"/>
  <c r="AI139" i="1"/>
  <c r="AG139" i="1"/>
  <c r="AF139" i="1"/>
  <c r="AE139" i="1"/>
  <c r="AD139" i="1"/>
  <c r="AC139" i="1"/>
  <c r="AB139" i="1"/>
  <c r="Y139" i="1"/>
  <c r="S139" i="1"/>
  <c r="AJ139" i="1" s="1" a="1"/>
  <c r="AJ139" i="1" s="1"/>
  <c r="AI138" i="1"/>
  <c r="AG138" i="1"/>
  <c r="AF138" i="1"/>
  <c r="AE138" i="1"/>
  <c r="AD138" i="1"/>
  <c r="AC138" i="1"/>
  <c r="AB138" i="1"/>
  <c r="Z138" i="1"/>
  <c r="Y138" i="1"/>
  <c r="S138" i="1"/>
  <c r="AI137" i="1"/>
  <c r="AG137" i="1"/>
  <c r="AF137" i="1"/>
  <c r="AE137" i="1"/>
  <c r="AD137" i="1"/>
  <c r="AC137" i="1"/>
  <c r="AB137" i="1"/>
  <c r="Y137" i="1"/>
  <c r="S137" i="1"/>
  <c r="AJ137" i="1" s="1" a="1"/>
  <c r="AJ137" i="1" s="1"/>
  <c r="AI136" i="1"/>
  <c r="AG136" i="1"/>
  <c r="AF136" i="1"/>
  <c r="AE136" i="1"/>
  <c r="AD136" i="1"/>
  <c r="AC136" i="1"/>
  <c r="AB136" i="1"/>
  <c r="Z136" i="1"/>
  <c r="Y136" i="1"/>
  <c r="S136" i="1"/>
  <c r="AI135" i="1"/>
  <c r="AG135" i="1"/>
  <c r="AF135" i="1"/>
  <c r="AE135" i="1"/>
  <c r="AD135" i="1"/>
  <c r="AC135" i="1"/>
  <c r="AB135" i="1"/>
  <c r="Y135" i="1"/>
  <c r="S135" i="1"/>
  <c r="AJ135" i="1" s="1" a="1"/>
  <c r="AJ135" i="1" s="1"/>
  <c r="AI134" i="1"/>
  <c r="AG134" i="1"/>
  <c r="AF134" i="1"/>
  <c r="AE134" i="1"/>
  <c r="AD134" i="1"/>
  <c r="AC134" i="1"/>
  <c r="AB134" i="1"/>
  <c r="Z134" i="1"/>
  <c r="Y134" i="1"/>
  <c r="S134" i="1"/>
  <c r="AI133" i="1"/>
  <c r="AG133" i="1"/>
  <c r="AF133" i="1"/>
  <c r="AE133" i="1"/>
  <c r="AD133" i="1"/>
  <c r="AC133" i="1"/>
  <c r="AB133" i="1"/>
  <c r="Y133" i="1"/>
  <c r="S133" i="1"/>
  <c r="AJ133" i="1" s="1" a="1"/>
  <c r="AJ133" i="1" s="1"/>
  <c r="AI132" i="1"/>
  <c r="AG132" i="1"/>
  <c r="AF132" i="1"/>
  <c r="AE132" i="1"/>
  <c r="AD132" i="1"/>
  <c r="AC132" i="1"/>
  <c r="AB132" i="1"/>
  <c r="Y132" i="1"/>
  <c r="S132" i="1"/>
  <c r="AI131" i="1"/>
  <c r="AG131" i="1"/>
  <c r="AF131" i="1"/>
  <c r="AE131" i="1"/>
  <c r="AD131" i="1"/>
  <c r="AC131" i="1"/>
  <c r="AB131" i="1"/>
  <c r="Y131" i="1"/>
  <c r="S131" i="1"/>
  <c r="AJ131" i="1" s="1" a="1"/>
  <c r="AJ131" i="1" s="1"/>
  <c r="AI130" i="1"/>
  <c r="AG130" i="1"/>
  <c r="AF130" i="1"/>
  <c r="AE130" i="1"/>
  <c r="AD130" i="1"/>
  <c r="AC130" i="1"/>
  <c r="AB130" i="1"/>
  <c r="Z130" i="1"/>
  <c r="Y130" i="1"/>
  <c r="S130" i="1"/>
  <c r="AI129" i="1"/>
  <c r="AG129" i="1"/>
  <c r="AF129" i="1"/>
  <c r="AE129" i="1"/>
  <c r="AD129" i="1"/>
  <c r="AC129" i="1"/>
  <c r="AB129" i="1"/>
  <c r="Y129" i="1"/>
  <c r="S129" i="1"/>
  <c r="AJ129" i="1" s="1" a="1"/>
  <c r="AJ129" i="1" s="1"/>
  <c r="AI128" i="1"/>
  <c r="AG128" i="1"/>
  <c r="AF128" i="1"/>
  <c r="AE128" i="1"/>
  <c r="AD128" i="1"/>
  <c r="AC128" i="1"/>
  <c r="AB128" i="1"/>
  <c r="Z128" i="1"/>
  <c r="Y128" i="1"/>
  <c r="S128" i="1"/>
  <c r="AI127" i="1"/>
  <c r="AG127" i="1"/>
  <c r="AF127" i="1"/>
  <c r="AE127" i="1"/>
  <c r="AD127" i="1"/>
  <c r="AC127" i="1"/>
  <c r="AB127" i="1"/>
  <c r="Y127" i="1"/>
  <c r="S127" i="1"/>
  <c r="AJ127" i="1" s="1" a="1"/>
  <c r="AJ127" i="1" s="1"/>
  <c r="AI126" i="1"/>
  <c r="AG126" i="1"/>
  <c r="AF126" i="1"/>
  <c r="AE126" i="1"/>
  <c r="AD126" i="1"/>
  <c r="AC126" i="1"/>
  <c r="AB126" i="1"/>
  <c r="Z126" i="1"/>
  <c r="Y126" i="1"/>
  <c r="S126" i="1"/>
  <c r="AI125" i="1"/>
  <c r="AG125" i="1"/>
  <c r="AF125" i="1"/>
  <c r="AE125" i="1"/>
  <c r="AD125" i="1"/>
  <c r="AC125" i="1"/>
  <c r="AB125" i="1"/>
  <c r="Y125" i="1"/>
  <c r="S125" i="1"/>
  <c r="AJ125" i="1" s="1" a="1"/>
  <c r="AJ125" i="1" s="1"/>
  <c r="AI124" i="1"/>
  <c r="AG124" i="1"/>
  <c r="AF124" i="1"/>
  <c r="AE124" i="1"/>
  <c r="AD124" i="1"/>
  <c r="AC124" i="1"/>
  <c r="AB124" i="1"/>
  <c r="Y124" i="1"/>
  <c r="S124" i="1"/>
  <c r="AI123" i="1"/>
  <c r="AG123" i="1"/>
  <c r="AF123" i="1"/>
  <c r="AE123" i="1"/>
  <c r="AD123" i="1"/>
  <c r="AC123" i="1"/>
  <c r="AB123" i="1"/>
  <c r="Y123" i="1"/>
  <c r="S123" i="1"/>
  <c r="AJ123" i="1" s="1" a="1"/>
  <c r="AJ123" i="1" s="1"/>
  <c r="AI122" i="1"/>
  <c r="AG122" i="1"/>
  <c r="AF122" i="1"/>
  <c r="AE122" i="1"/>
  <c r="AD122" i="1"/>
  <c r="AC122" i="1"/>
  <c r="AB122" i="1"/>
  <c r="Z122" i="1"/>
  <c r="Y122" i="1"/>
  <c r="S122" i="1"/>
  <c r="AI121" i="1"/>
  <c r="AG121" i="1"/>
  <c r="AF121" i="1"/>
  <c r="AE121" i="1"/>
  <c r="AD121" i="1"/>
  <c r="AC121" i="1"/>
  <c r="AB121" i="1"/>
  <c r="Y121" i="1"/>
  <c r="S121" i="1"/>
  <c r="AJ121" i="1" s="1" a="1"/>
  <c r="AJ121" i="1" s="1"/>
  <c r="AI120" i="1"/>
  <c r="AG120" i="1"/>
  <c r="AF120" i="1"/>
  <c r="AE120" i="1"/>
  <c r="AD120" i="1"/>
  <c r="AC120" i="1"/>
  <c r="AB120" i="1"/>
  <c r="Z120" i="1"/>
  <c r="Y120" i="1"/>
  <c r="S120" i="1"/>
  <c r="AI119" i="1"/>
  <c r="AG119" i="1"/>
  <c r="AF119" i="1"/>
  <c r="AE119" i="1"/>
  <c r="AD119" i="1"/>
  <c r="AC119" i="1"/>
  <c r="AB119" i="1"/>
  <c r="Y119" i="1"/>
  <c r="S119" i="1"/>
  <c r="AJ119" i="1" s="1" a="1"/>
  <c r="AJ119" i="1" s="1"/>
  <c r="AI118" i="1"/>
  <c r="AG118" i="1"/>
  <c r="AF118" i="1"/>
  <c r="AE118" i="1"/>
  <c r="AD118" i="1"/>
  <c r="AC118" i="1"/>
  <c r="AB118" i="1"/>
  <c r="Z118" i="1"/>
  <c r="Y118" i="1"/>
  <c r="S118" i="1"/>
  <c r="AI117" i="1"/>
  <c r="AG117" i="1"/>
  <c r="AF117" i="1"/>
  <c r="AE117" i="1"/>
  <c r="AD117" i="1"/>
  <c r="AC117" i="1"/>
  <c r="AB117" i="1"/>
  <c r="Y117" i="1"/>
  <c r="S117" i="1"/>
  <c r="AJ117" i="1" s="1" a="1"/>
  <c r="AJ117" i="1" s="1"/>
  <c r="AI116" i="1"/>
  <c r="AG116" i="1"/>
  <c r="AF116" i="1"/>
  <c r="AE116" i="1"/>
  <c r="AD116" i="1"/>
  <c r="AC116" i="1"/>
  <c r="AB116" i="1"/>
  <c r="Y116" i="1"/>
  <c r="S116" i="1"/>
  <c r="AI115" i="1"/>
  <c r="AG115" i="1"/>
  <c r="AF115" i="1"/>
  <c r="AE115" i="1"/>
  <c r="AD115" i="1"/>
  <c r="AC115" i="1"/>
  <c r="AB115" i="1"/>
  <c r="Y115" i="1"/>
  <c r="S115" i="1"/>
  <c r="AJ115" i="1" s="1" a="1"/>
  <c r="AJ115" i="1" s="1"/>
  <c r="AI114" i="1"/>
  <c r="AG114" i="1"/>
  <c r="AF114" i="1"/>
  <c r="AE114" i="1"/>
  <c r="AD114" i="1"/>
  <c r="AC114" i="1"/>
  <c r="AB114" i="1"/>
  <c r="Z114" i="1"/>
  <c r="Y114" i="1"/>
  <c r="S114" i="1"/>
  <c r="AI113" i="1"/>
  <c r="AG113" i="1"/>
  <c r="AF113" i="1"/>
  <c r="AE113" i="1"/>
  <c r="AD113" i="1"/>
  <c r="AC113" i="1"/>
  <c r="AB113" i="1"/>
  <c r="Y113" i="1"/>
  <c r="S113" i="1"/>
  <c r="AJ113" i="1" s="1" a="1"/>
  <c r="AJ113" i="1" s="1"/>
  <c r="AI112" i="1"/>
  <c r="AG112" i="1"/>
  <c r="AF112" i="1"/>
  <c r="AE112" i="1"/>
  <c r="AD112" i="1"/>
  <c r="AC112" i="1"/>
  <c r="AB112" i="1"/>
  <c r="Z112" i="1"/>
  <c r="Y112" i="1"/>
  <c r="S112" i="1"/>
  <c r="AI111" i="1"/>
  <c r="AG111" i="1"/>
  <c r="AF111" i="1"/>
  <c r="AE111" i="1"/>
  <c r="AD111" i="1"/>
  <c r="AC111" i="1"/>
  <c r="AB111" i="1"/>
  <c r="Y111" i="1"/>
  <c r="S111" i="1"/>
  <c r="AJ111" i="1" s="1" a="1"/>
  <c r="AJ111" i="1" s="1"/>
  <c r="AI110" i="1"/>
  <c r="AG110" i="1"/>
  <c r="AF110" i="1"/>
  <c r="AE110" i="1"/>
  <c r="AD110" i="1"/>
  <c r="AC110" i="1"/>
  <c r="AB110" i="1"/>
  <c r="Z110" i="1"/>
  <c r="Y110" i="1"/>
  <c r="S110" i="1"/>
  <c r="AI109" i="1"/>
  <c r="AG109" i="1"/>
  <c r="AF109" i="1"/>
  <c r="AE109" i="1"/>
  <c r="AD109" i="1"/>
  <c r="AC109" i="1"/>
  <c r="AB109" i="1"/>
  <c r="Y109" i="1"/>
  <c r="S109" i="1"/>
  <c r="AJ109" i="1" s="1" a="1"/>
  <c r="AJ109" i="1" s="1"/>
  <c r="AI108" i="1"/>
  <c r="AG108" i="1"/>
  <c r="AF108" i="1"/>
  <c r="AE108" i="1"/>
  <c r="AD108" i="1"/>
  <c r="AC108" i="1"/>
  <c r="AB108" i="1"/>
  <c r="Y108" i="1"/>
  <c r="S108" i="1"/>
  <c r="AI107" i="1"/>
  <c r="AG107" i="1"/>
  <c r="AF107" i="1"/>
  <c r="AE107" i="1"/>
  <c r="AD107" i="1"/>
  <c r="AC107" i="1"/>
  <c r="AB107" i="1"/>
  <c r="Y107" i="1"/>
  <c r="S107" i="1"/>
  <c r="AJ107" i="1" s="1" a="1"/>
  <c r="AJ107" i="1" s="1"/>
  <c r="AI106" i="1"/>
  <c r="AG106" i="1"/>
  <c r="AF106" i="1"/>
  <c r="AE106" i="1"/>
  <c r="AD106" i="1"/>
  <c r="AC106" i="1"/>
  <c r="AB106" i="1"/>
  <c r="Z106" i="1"/>
  <c r="Y106" i="1"/>
  <c r="S106" i="1"/>
  <c r="AI105" i="1"/>
  <c r="AG105" i="1"/>
  <c r="AF105" i="1"/>
  <c r="AE105" i="1"/>
  <c r="AD105" i="1"/>
  <c r="AC105" i="1"/>
  <c r="AB105" i="1"/>
  <c r="Y105" i="1"/>
  <c r="S105" i="1"/>
  <c r="AJ105" i="1" s="1" a="1"/>
  <c r="AJ105" i="1" s="1"/>
  <c r="AI104" i="1"/>
  <c r="AG104" i="1"/>
  <c r="AF104" i="1"/>
  <c r="AE104" i="1"/>
  <c r="AD104" i="1"/>
  <c r="AC104" i="1"/>
  <c r="AB104" i="1"/>
  <c r="Z104" i="1"/>
  <c r="Y104" i="1"/>
  <c r="S104" i="1"/>
  <c r="AI103" i="1"/>
  <c r="AG103" i="1"/>
  <c r="AF103" i="1"/>
  <c r="AE103" i="1"/>
  <c r="AD103" i="1"/>
  <c r="AC103" i="1"/>
  <c r="AB103" i="1"/>
  <c r="Y103" i="1"/>
  <c r="S103" i="1"/>
  <c r="AJ103" i="1" s="1" a="1"/>
  <c r="AJ103" i="1" s="1"/>
  <c r="AI102" i="1"/>
  <c r="AG102" i="1"/>
  <c r="AF102" i="1"/>
  <c r="AE102" i="1"/>
  <c r="AD102" i="1"/>
  <c r="AC102" i="1"/>
  <c r="AB102" i="1"/>
  <c r="Z102" i="1"/>
  <c r="Y102" i="1"/>
  <c r="S102" i="1"/>
  <c r="AI101" i="1"/>
  <c r="AG101" i="1"/>
  <c r="AF101" i="1"/>
  <c r="AE101" i="1"/>
  <c r="AD101" i="1"/>
  <c r="AC101" i="1"/>
  <c r="AB101" i="1"/>
  <c r="Y101" i="1"/>
  <c r="S101" i="1"/>
  <c r="AJ101" i="1" s="1" a="1"/>
  <c r="AJ101" i="1" s="1"/>
  <c r="AI100" i="1"/>
  <c r="AG100" i="1"/>
  <c r="AF100" i="1"/>
  <c r="AE100" i="1"/>
  <c r="AD100" i="1"/>
  <c r="AC100" i="1"/>
  <c r="AB100" i="1"/>
  <c r="Y100" i="1"/>
  <c r="S100" i="1"/>
  <c r="AI99" i="1"/>
  <c r="AG99" i="1"/>
  <c r="AF99" i="1"/>
  <c r="AE99" i="1"/>
  <c r="AD99" i="1"/>
  <c r="AC99" i="1"/>
  <c r="AB99" i="1"/>
  <c r="Y99" i="1"/>
  <c r="S99" i="1"/>
  <c r="AJ99" i="1" s="1" a="1"/>
  <c r="AJ99" i="1" s="1"/>
  <c r="AI98" i="1"/>
  <c r="AG98" i="1"/>
  <c r="AF98" i="1"/>
  <c r="AE98" i="1"/>
  <c r="AD98" i="1"/>
  <c r="AC98" i="1"/>
  <c r="AB98" i="1"/>
  <c r="Z98" i="1"/>
  <c r="Y98" i="1"/>
  <c r="S98" i="1"/>
  <c r="AI97" i="1"/>
  <c r="AG97" i="1"/>
  <c r="AF97" i="1"/>
  <c r="AE97" i="1"/>
  <c r="AD97" i="1"/>
  <c r="AC97" i="1"/>
  <c r="AB97" i="1"/>
  <c r="Y97" i="1"/>
  <c r="S97" i="1"/>
  <c r="AJ97" i="1" s="1" a="1"/>
  <c r="AJ97" i="1" s="1"/>
  <c r="AI96" i="1"/>
  <c r="AG96" i="1"/>
  <c r="AF96" i="1"/>
  <c r="AE96" i="1"/>
  <c r="AD96" i="1"/>
  <c r="AC96" i="1"/>
  <c r="AB96" i="1"/>
  <c r="Z96" i="1"/>
  <c r="Y96" i="1"/>
  <c r="S96" i="1"/>
  <c r="AI95" i="1"/>
  <c r="AG95" i="1"/>
  <c r="AF95" i="1"/>
  <c r="AE95" i="1"/>
  <c r="AD95" i="1"/>
  <c r="AC95" i="1"/>
  <c r="AB95" i="1"/>
  <c r="Y95" i="1"/>
  <c r="S95" i="1"/>
  <c r="AJ95" i="1" s="1" a="1"/>
  <c r="AJ95" i="1" s="1"/>
  <c r="AI94" i="1"/>
  <c r="AG94" i="1"/>
  <c r="AF94" i="1"/>
  <c r="AE94" i="1"/>
  <c r="AD94" i="1"/>
  <c r="AC94" i="1"/>
  <c r="AB94" i="1"/>
  <c r="Z94" i="1"/>
  <c r="Y94" i="1"/>
  <c r="S94" i="1"/>
  <c r="AI93" i="1"/>
  <c r="AG93" i="1"/>
  <c r="AF93" i="1"/>
  <c r="AE93" i="1"/>
  <c r="AD93" i="1"/>
  <c r="AC93" i="1"/>
  <c r="AB93" i="1"/>
  <c r="Y93" i="1"/>
  <c r="S93" i="1"/>
  <c r="AJ93" i="1" s="1" a="1"/>
  <c r="AJ93" i="1" s="1"/>
  <c r="AI92" i="1"/>
  <c r="AG92" i="1"/>
  <c r="AF92" i="1"/>
  <c r="AE92" i="1"/>
  <c r="AD92" i="1"/>
  <c r="AC92" i="1"/>
  <c r="AB92" i="1"/>
  <c r="Y92" i="1"/>
  <c r="S92" i="1"/>
  <c r="AI91" i="1"/>
  <c r="AG91" i="1"/>
  <c r="AF91" i="1"/>
  <c r="AE91" i="1"/>
  <c r="AD91" i="1"/>
  <c r="AC91" i="1"/>
  <c r="AB91" i="1"/>
  <c r="Y91" i="1"/>
  <c r="S91" i="1"/>
  <c r="AJ91" i="1" s="1" a="1"/>
  <c r="AJ91" i="1" s="1"/>
  <c r="AI90" i="1"/>
  <c r="AG90" i="1"/>
  <c r="AF90" i="1"/>
  <c r="AE90" i="1"/>
  <c r="AD90" i="1"/>
  <c r="AC90" i="1"/>
  <c r="AB90" i="1"/>
  <c r="Z90" i="1"/>
  <c r="Y90" i="1"/>
  <c r="S90" i="1"/>
  <c r="AI89" i="1"/>
  <c r="AG89" i="1"/>
  <c r="AF89" i="1"/>
  <c r="AE89" i="1"/>
  <c r="AD89" i="1"/>
  <c r="AC89" i="1"/>
  <c r="AB89" i="1"/>
  <c r="Y89" i="1"/>
  <c r="S89" i="1"/>
  <c r="AJ89" i="1" s="1" a="1"/>
  <c r="AJ89" i="1" s="1"/>
  <c r="AI88" i="1"/>
  <c r="AG88" i="1"/>
  <c r="AF88" i="1"/>
  <c r="AE88" i="1"/>
  <c r="AD88" i="1"/>
  <c r="AC88" i="1"/>
  <c r="AB88" i="1"/>
  <c r="Z88" i="1"/>
  <c r="Y88" i="1"/>
  <c r="S88" i="1"/>
  <c r="AI87" i="1"/>
  <c r="AG87" i="1"/>
  <c r="AF87" i="1"/>
  <c r="AE87" i="1"/>
  <c r="AD87" i="1"/>
  <c r="AC87" i="1"/>
  <c r="AB87" i="1"/>
  <c r="Y87" i="1"/>
  <c r="S87" i="1"/>
  <c r="AJ87" i="1" s="1" a="1"/>
  <c r="AJ87" i="1" s="1"/>
  <c r="AI86" i="1"/>
  <c r="AG86" i="1"/>
  <c r="AF86" i="1"/>
  <c r="AE86" i="1"/>
  <c r="AD86" i="1"/>
  <c r="AC86" i="1"/>
  <c r="AB86" i="1"/>
  <c r="Z86" i="1"/>
  <c r="Y86" i="1"/>
  <c r="S86" i="1"/>
  <c r="AI85" i="1"/>
  <c r="AG85" i="1"/>
  <c r="AF85" i="1"/>
  <c r="AE85" i="1"/>
  <c r="AD85" i="1"/>
  <c r="AC85" i="1"/>
  <c r="AB85" i="1"/>
  <c r="Y85" i="1"/>
  <c r="S85" i="1"/>
  <c r="AJ85" i="1" s="1" a="1"/>
  <c r="AJ85" i="1" s="1"/>
  <c r="AI84" i="1"/>
  <c r="AG84" i="1"/>
  <c r="AF84" i="1"/>
  <c r="AE84" i="1"/>
  <c r="AD84" i="1"/>
  <c r="AC84" i="1"/>
  <c r="AB84" i="1"/>
  <c r="Y84" i="1"/>
  <c r="S84" i="1"/>
  <c r="AI83" i="1"/>
  <c r="AG83" i="1"/>
  <c r="AF83" i="1"/>
  <c r="AE83" i="1"/>
  <c r="AD83" i="1"/>
  <c r="AC83" i="1"/>
  <c r="AB83" i="1"/>
  <c r="Y83" i="1"/>
  <c r="S83" i="1"/>
  <c r="AJ83" i="1" s="1" a="1"/>
  <c r="AJ83" i="1" s="1"/>
  <c r="AI82" i="1"/>
  <c r="AG82" i="1"/>
  <c r="AF82" i="1"/>
  <c r="AE82" i="1"/>
  <c r="AD82" i="1"/>
  <c r="AC82" i="1"/>
  <c r="AB82" i="1"/>
  <c r="Z82" i="1"/>
  <c r="Y82" i="1"/>
  <c r="S82" i="1"/>
  <c r="AI81" i="1"/>
  <c r="AG81" i="1"/>
  <c r="AF81" i="1"/>
  <c r="AE81" i="1"/>
  <c r="AD81" i="1"/>
  <c r="AC81" i="1"/>
  <c r="AB81" i="1"/>
  <c r="Y81" i="1"/>
  <c r="S81" i="1"/>
  <c r="AJ81" i="1" s="1" a="1"/>
  <c r="AJ81" i="1" s="1"/>
  <c r="AI80" i="1"/>
  <c r="AG80" i="1"/>
  <c r="AF80" i="1"/>
  <c r="AE80" i="1"/>
  <c r="AD80" i="1"/>
  <c r="AC80" i="1"/>
  <c r="AB80" i="1"/>
  <c r="Z80" i="1"/>
  <c r="Y80" i="1"/>
  <c r="S80" i="1"/>
  <c r="AI79" i="1"/>
  <c r="AG79" i="1"/>
  <c r="AF79" i="1"/>
  <c r="AE79" i="1"/>
  <c r="AD79" i="1"/>
  <c r="AC79" i="1"/>
  <c r="AB79" i="1"/>
  <c r="Y79" i="1"/>
  <c r="S79" i="1"/>
  <c r="AJ79" i="1" s="1" a="1"/>
  <c r="AJ79" i="1" s="1"/>
  <c r="AI78" i="1"/>
  <c r="AG78" i="1"/>
  <c r="AF78" i="1"/>
  <c r="AE78" i="1"/>
  <c r="AD78" i="1"/>
  <c r="AC78" i="1"/>
  <c r="AB78" i="1"/>
  <c r="Z78" i="1"/>
  <c r="Y78" i="1"/>
  <c r="S78" i="1"/>
  <c r="AI77" i="1"/>
  <c r="AG77" i="1"/>
  <c r="AF77" i="1"/>
  <c r="AE77" i="1"/>
  <c r="AD77" i="1"/>
  <c r="AC77" i="1"/>
  <c r="AB77" i="1"/>
  <c r="Y77" i="1"/>
  <c r="S77" i="1"/>
  <c r="AJ77" i="1" s="1" a="1"/>
  <c r="AJ77" i="1" s="1"/>
  <c r="AI76" i="1"/>
  <c r="AG76" i="1"/>
  <c r="AF76" i="1"/>
  <c r="AE76" i="1"/>
  <c r="AD76" i="1"/>
  <c r="AC76" i="1"/>
  <c r="AB76" i="1"/>
  <c r="Y76" i="1"/>
  <c r="S76" i="1"/>
  <c r="AI75" i="1"/>
  <c r="AG75" i="1"/>
  <c r="AF75" i="1"/>
  <c r="AE75" i="1"/>
  <c r="AD75" i="1"/>
  <c r="AC75" i="1"/>
  <c r="AB75" i="1"/>
  <c r="Y75" i="1"/>
  <c r="S75" i="1"/>
  <c r="AJ75" i="1" s="1" a="1"/>
  <c r="AJ75" i="1" s="1"/>
  <c r="AI74" i="1"/>
  <c r="AG74" i="1"/>
  <c r="AF74" i="1"/>
  <c r="AE74" i="1"/>
  <c r="AD74" i="1"/>
  <c r="AC74" i="1"/>
  <c r="AB74" i="1"/>
  <c r="Z74" i="1"/>
  <c r="Y74" i="1"/>
  <c r="S74" i="1"/>
  <c r="AI73" i="1"/>
  <c r="AG73" i="1"/>
  <c r="AF73" i="1"/>
  <c r="AE73" i="1"/>
  <c r="AD73" i="1"/>
  <c r="AC73" i="1"/>
  <c r="AB73" i="1"/>
  <c r="Y73" i="1"/>
  <c r="S73" i="1"/>
  <c r="AJ73" i="1" s="1" a="1"/>
  <c r="AJ73" i="1" s="1"/>
  <c r="AI72" i="1"/>
  <c r="AG72" i="1"/>
  <c r="AF72" i="1"/>
  <c r="AE72" i="1"/>
  <c r="AD72" i="1"/>
  <c r="AC72" i="1"/>
  <c r="AB72" i="1"/>
  <c r="Z72" i="1"/>
  <c r="Y72" i="1"/>
  <c r="S72" i="1"/>
  <c r="AI71" i="1"/>
  <c r="AG71" i="1"/>
  <c r="AF71" i="1"/>
  <c r="AE71" i="1"/>
  <c r="AD71" i="1"/>
  <c r="AC71" i="1"/>
  <c r="AB71" i="1"/>
  <c r="Y71" i="1"/>
  <c r="S71" i="1"/>
  <c r="AJ71" i="1" s="1" a="1"/>
  <c r="AJ71" i="1" s="1"/>
  <c r="AI70" i="1"/>
  <c r="AG70" i="1"/>
  <c r="AF70" i="1"/>
  <c r="AE70" i="1"/>
  <c r="AD70" i="1"/>
  <c r="AC70" i="1"/>
  <c r="AB70" i="1"/>
  <c r="Z70" i="1"/>
  <c r="Y70" i="1"/>
  <c r="S70" i="1"/>
  <c r="AI69" i="1"/>
  <c r="AG69" i="1"/>
  <c r="AF69" i="1"/>
  <c r="AE69" i="1"/>
  <c r="AD69" i="1"/>
  <c r="AC69" i="1"/>
  <c r="AB69" i="1"/>
  <c r="Y69" i="1"/>
  <c r="S69" i="1"/>
  <c r="AJ69" i="1" s="1" a="1"/>
  <c r="AJ69" i="1" s="1"/>
  <c r="AI68" i="1"/>
  <c r="AG68" i="1"/>
  <c r="AF68" i="1"/>
  <c r="AE68" i="1"/>
  <c r="AD68" i="1"/>
  <c r="AC68" i="1"/>
  <c r="AB68" i="1"/>
  <c r="Y68" i="1"/>
  <c r="S68" i="1"/>
  <c r="AI67" i="1"/>
  <c r="AG67" i="1"/>
  <c r="AF67" i="1"/>
  <c r="AE67" i="1"/>
  <c r="AD67" i="1"/>
  <c r="AC67" i="1"/>
  <c r="AB67" i="1"/>
  <c r="Y67" i="1"/>
  <c r="S67" i="1"/>
  <c r="AJ67" i="1" s="1" a="1"/>
  <c r="AJ67" i="1" s="1"/>
  <c r="AI66" i="1"/>
  <c r="AG66" i="1"/>
  <c r="AF66" i="1"/>
  <c r="AE66" i="1"/>
  <c r="AD66" i="1"/>
  <c r="AC66" i="1"/>
  <c r="AB66" i="1"/>
  <c r="Z66" i="1"/>
  <c r="Y66" i="1"/>
  <c r="S66" i="1"/>
  <c r="AI65" i="1"/>
  <c r="AG65" i="1"/>
  <c r="AF65" i="1"/>
  <c r="AE65" i="1"/>
  <c r="AD65" i="1"/>
  <c r="AC65" i="1"/>
  <c r="AB65" i="1"/>
  <c r="Y65" i="1"/>
  <c r="S65" i="1"/>
  <c r="AJ65" i="1" s="1" a="1"/>
  <c r="AJ65" i="1" s="1"/>
  <c r="AI64" i="1"/>
  <c r="AG64" i="1"/>
  <c r="AF64" i="1"/>
  <c r="AE64" i="1"/>
  <c r="AD64" i="1"/>
  <c r="AC64" i="1"/>
  <c r="AB64" i="1"/>
  <c r="Z64" i="1"/>
  <c r="Y64" i="1"/>
  <c r="S64" i="1"/>
  <c r="AI63" i="1"/>
  <c r="AG63" i="1"/>
  <c r="AF63" i="1"/>
  <c r="AE63" i="1"/>
  <c r="AD63" i="1"/>
  <c r="AC63" i="1"/>
  <c r="AB63" i="1"/>
  <c r="Y63" i="1"/>
  <c r="S63" i="1"/>
  <c r="AJ63" i="1" s="1" a="1"/>
  <c r="AJ63" i="1" s="1"/>
  <c r="AI62" i="1"/>
  <c r="AG62" i="1"/>
  <c r="AF62" i="1"/>
  <c r="AE62" i="1"/>
  <c r="AD62" i="1"/>
  <c r="AC62" i="1"/>
  <c r="AB62" i="1"/>
  <c r="Z62" i="1"/>
  <c r="Y62" i="1"/>
  <c r="S62" i="1"/>
  <c r="AI61" i="1"/>
  <c r="AG61" i="1"/>
  <c r="AF61" i="1"/>
  <c r="AE61" i="1"/>
  <c r="AD61" i="1"/>
  <c r="AC61" i="1"/>
  <c r="AB61" i="1"/>
  <c r="Y61" i="1"/>
  <c r="S61" i="1"/>
  <c r="AJ61" i="1" s="1" a="1"/>
  <c r="AJ61" i="1" s="1"/>
  <c r="AI60" i="1"/>
  <c r="AG60" i="1"/>
  <c r="AF60" i="1"/>
  <c r="AE60" i="1"/>
  <c r="AD60" i="1"/>
  <c r="AC60" i="1"/>
  <c r="AB60" i="1"/>
  <c r="Y60" i="1"/>
  <c r="S60" i="1"/>
  <c r="AI59" i="1"/>
  <c r="AG59" i="1"/>
  <c r="AF59" i="1"/>
  <c r="AE59" i="1"/>
  <c r="AD59" i="1"/>
  <c r="AC59" i="1"/>
  <c r="AB59" i="1"/>
  <c r="Y59" i="1"/>
  <c r="S59" i="1"/>
  <c r="AJ59" i="1" s="1" a="1"/>
  <c r="AJ59" i="1" s="1"/>
  <c r="AI58" i="1"/>
  <c r="AG58" i="1"/>
  <c r="AF58" i="1"/>
  <c r="AE58" i="1"/>
  <c r="AD58" i="1"/>
  <c r="AC58" i="1"/>
  <c r="AB58" i="1"/>
  <c r="Z58" i="1"/>
  <c r="Y58" i="1"/>
  <c r="S58" i="1"/>
  <c r="AI57" i="1"/>
  <c r="AG57" i="1"/>
  <c r="AF57" i="1"/>
  <c r="AE57" i="1"/>
  <c r="AD57" i="1"/>
  <c r="AC57" i="1"/>
  <c r="AB57" i="1"/>
  <c r="Y57" i="1"/>
  <c r="S57" i="1"/>
  <c r="AJ57" i="1" s="1" a="1"/>
  <c r="AJ57" i="1" s="1"/>
  <c r="AI56" i="1"/>
  <c r="AG56" i="1"/>
  <c r="AF56" i="1"/>
  <c r="AE56" i="1"/>
  <c r="AD56" i="1"/>
  <c r="AC56" i="1"/>
  <c r="AB56" i="1"/>
  <c r="Z56" i="1"/>
  <c r="Y56" i="1"/>
  <c r="S56" i="1"/>
  <c r="AI55" i="1"/>
  <c r="AG55" i="1"/>
  <c r="AF55" i="1"/>
  <c r="AE55" i="1"/>
  <c r="AD55" i="1"/>
  <c r="AC55" i="1"/>
  <c r="AB55" i="1"/>
  <c r="Y55" i="1"/>
  <c r="S55" i="1"/>
  <c r="AJ55" i="1" s="1" a="1"/>
  <c r="AJ55" i="1" s="1"/>
  <c r="AI54" i="1"/>
  <c r="AG54" i="1"/>
  <c r="AF54" i="1"/>
  <c r="AE54" i="1"/>
  <c r="AD54" i="1"/>
  <c r="AC54" i="1"/>
  <c r="AB54" i="1"/>
  <c r="Z54" i="1"/>
  <c r="Y54" i="1"/>
  <c r="S54" i="1"/>
  <c r="AI53" i="1"/>
  <c r="AG53" i="1"/>
  <c r="AF53" i="1"/>
  <c r="AE53" i="1"/>
  <c r="AD53" i="1"/>
  <c r="AC53" i="1"/>
  <c r="AB53" i="1"/>
  <c r="Y53" i="1"/>
  <c r="S53" i="1"/>
  <c r="AJ53" i="1" s="1" a="1"/>
  <c r="AJ53" i="1" s="1"/>
  <c r="AI52" i="1"/>
  <c r="AG52" i="1"/>
  <c r="AF52" i="1"/>
  <c r="AE52" i="1"/>
  <c r="AD52" i="1"/>
  <c r="AC52" i="1"/>
  <c r="AB52" i="1"/>
  <c r="Y52" i="1"/>
  <c r="S52" i="1"/>
  <c r="AI51" i="1"/>
  <c r="AG51" i="1"/>
  <c r="AF51" i="1"/>
  <c r="AE51" i="1"/>
  <c r="AD51" i="1"/>
  <c r="AC51" i="1"/>
  <c r="AB51" i="1"/>
  <c r="Y51" i="1"/>
  <c r="S51" i="1"/>
  <c r="AJ51" i="1" s="1" a="1"/>
  <c r="AJ51" i="1" s="1"/>
  <c r="AI50" i="1"/>
  <c r="AG50" i="1"/>
  <c r="AF50" i="1"/>
  <c r="AE50" i="1"/>
  <c r="AD50" i="1"/>
  <c r="AC50" i="1"/>
  <c r="AB50" i="1"/>
  <c r="Z50" i="1"/>
  <c r="Y50" i="1"/>
  <c r="S50" i="1"/>
  <c r="AI49" i="1"/>
  <c r="AG49" i="1"/>
  <c r="AF49" i="1"/>
  <c r="AE49" i="1"/>
  <c r="AD49" i="1"/>
  <c r="AC49" i="1"/>
  <c r="AB49" i="1"/>
  <c r="Y49" i="1"/>
  <c r="S49" i="1"/>
  <c r="AJ49" i="1" s="1" a="1"/>
  <c r="AJ49" i="1" s="1"/>
  <c r="AI48" i="1"/>
  <c r="AG48" i="1"/>
  <c r="AF48" i="1"/>
  <c r="AE48" i="1"/>
  <c r="AD48" i="1"/>
  <c r="AC48" i="1"/>
  <c r="AB48" i="1"/>
  <c r="Z48" i="1"/>
  <c r="Y48" i="1"/>
  <c r="S48" i="1"/>
  <c r="AI47" i="1"/>
  <c r="AG47" i="1"/>
  <c r="AF47" i="1"/>
  <c r="AE47" i="1"/>
  <c r="AD47" i="1"/>
  <c r="AC47" i="1"/>
  <c r="AB47" i="1"/>
  <c r="Y47" i="1"/>
  <c r="S47" i="1"/>
  <c r="AJ47" i="1" s="1" a="1"/>
  <c r="AJ47" i="1" s="1"/>
  <c r="AI46" i="1"/>
  <c r="AG46" i="1"/>
  <c r="AF46" i="1"/>
  <c r="AE46" i="1"/>
  <c r="AD46" i="1"/>
  <c r="AC46" i="1"/>
  <c r="AB46" i="1"/>
  <c r="Z46" i="1"/>
  <c r="Y46" i="1"/>
  <c r="S46" i="1"/>
  <c r="AI45" i="1"/>
  <c r="AG45" i="1"/>
  <c r="AF45" i="1"/>
  <c r="AE45" i="1"/>
  <c r="AD45" i="1"/>
  <c r="AC45" i="1"/>
  <c r="AB45" i="1"/>
  <c r="Y45" i="1"/>
  <c r="S45" i="1"/>
  <c r="AJ45" i="1" s="1" a="1"/>
  <c r="AJ45" i="1" s="1"/>
  <c r="AI44" i="1"/>
  <c r="AG44" i="1"/>
  <c r="AF44" i="1"/>
  <c r="AE44" i="1"/>
  <c r="AD44" i="1"/>
  <c r="AC44" i="1"/>
  <c r="AB44" i="1"/>
  <c r="Y44" i="1"/>
  <c r="S44" i="1"/>
  <c r="AI43" i="1"/>
  <c r="AG43" i="1"/>
  <c r="AF43" i="1"/>
  <c r="AE43" i="1"/>
  <c r="AD43" i="1"/>
  <c r="AC43" i="1"/>
  <c r="AB43" i="1"/>
  <c r="Y43" i="1"/>
  <c r="S43" i="1"/>
  <c r="AJ43" i="1" s="1" a="1"/>
  <c r="AJ43" i="1" s="1"/>
  <c r="AI42" i="1"/>
  <c r="AG42" i="1"/>
  <c r="AF42" i="1"/>
  <c r="AE42" i="1"/>
  <c r="AD42" i="1"/>
  <c r="AC42" i="1"/>
  <c r="AB42" i="1"/>
  <c r="Z42" i="1"/>
  <c r="Y42" i="1"/>
  <c r="S42" i="1"/>
  <c r="AI41" i="1"/>
  <c r="AG41" i="1"/>
  <c r="AF41" i="1"/>
  <c r="AE41" i="1"/>
  <c r="AD41" i="1"/>
  <c r="AC41" i="1"/>
  <c r="AB41" i="1"/>
  <c r="Y41" i="1"/>
  <c r="S41" i="1"/>
  <c r="AJ41" i="1" s="1" a="1"/>
  <c r="AJ41" i="1" s="1"/>
  <c r="AI40" i="1"/>
  <c r="AG40" i="1"/>
  <c r="AF40" i="1"/>
  <c r="AE40" i="1"/>
  <c r="AD40" i="1"/>
  <c r="AC40" i="1"/>
  <c r="AB40" i="1"/>
  <c r="Z40" i="1"/>
  <c r="Y40" i="1"/>
  <c r="S40" i="1"/>
  <c r="AI39" i="1"/>
  <c r="AH39" i="1"/>
  <c r="AG39" i="1"/>
  <c r="AF39" i="1"/>
  <c r="AE39" i="1"/>
  <c r="AD39" i="1"/>
  <c r="AC39" i="1"/>
  <c r="AB39" i="1"/>
  <c r="Y39" i="1"/>
  <c r="V39" i="1"/>
  <c r="U39" i="1"/>
  <c r="S39" i="1"/>
  <c r="AJ39" i="1" s="1" a="1"/>
  <c r="AJ39" i="1" s="1"/>
  <c r="AI38" i="1"/>
  <c r="AG38" i="1"/>
  <c r="AF38" i="1"/>
  <c r="AE38" i="1"/>
  <c r="AD38" i="1"/>
  <c r="AC38" i="1"/>
  <c r="AB38" i="1"/>
  <c r="Y38" i="1"/>
  <c r="S38" i="1"/>
  <c r="AI37" i="1"/>
  <c r="AG37" i="1"/>
  <c r="AF37" i="1"/>
  <c r="AE37" i="1"/>
  <c r="AD37" i="1"/>
  <c r="AC37" i="1"/>
  <c r="AB37" i="1"/>
  <c r="Y37" i="1"/>
  <c r="S37" i="1"/>
  <c r="AJ37" i="1" s="1" a="1"/>
  <c r="AJ37" i="1" s="1"/>
  <c r="AI36" i="1"/>
  <c r="AG36" i="1"/>
  <c r="AF36" i="1"/>
  <c r="AE36" i="1"/>
  <c r="AD36" i="1"/>
  <c r="AC36" i="1"/>
  <c r="AB36" i="1"/>
  <c r="Z36" i="1"/>
  <c r="Y36" i="1"/>
  <c r="S36" i="1"/>
  <c r="AI35" i="1"/>
  <c r="AH35" i="1"/>
  <c r="AG35" i="1"/>
  <c r="AF35" i="1"/>
  <c r="AE35" i="1"/>
  <c r="AD35" i="1"/>
  <c r="AC35" i="1"/>
  <c r="AB35" i="1"/>
  <c r="Y35" i="1"/>
  <c r="V35" i="1"/>
  <c r="U35" i="1"/>
  <c r="S35" i="1"/>
  <c r="AI34" i="1"/>
  <c r="AG34" i="1"/>
  <c r="AF34" i="1"/>
  <c r="AE34" i="1"/>
  <c r="AD34" i="1"/>
  <c r="AC34" i="1"/>
  <c r="AB34" i="1"/>
  <c r="Y34" i="1"/>
  <c r="S34" i="1"/>
  <c r="AI33" i="1"/>
  <c r="AG33" i="1"/>
  <c r="AF33" i="1"/>
  <c r="AE33" i="1"/>
  <c r="AD33" i="1"/>
  <c r="AC33" i="1"/>
  <c r="AB33" i="1"/>
  <c r="Y33" i="1"/>
  <c r="S33" i="1"/>
  <c r="AJ33" i="1" s="1" a="1"/>
  <c r="AJ33" i="1" s="1"/>
  <c r="AI32" i="1"/>
  <c r="AG32" i="1"/>
  <c r="AF32" i="1"/>
  <c r="AE32" i="1"/>
  <c r="AD32" i="1"/>
  <c r="AC32" i="1"/>
  <c r="AB32" i="1"/>
  <c r="Y32" i="1"/>
  <c r="S32" i="1"/>
  <c r="AI31" i="1"/>
  <c r="AG31" i="1"/>
  <c r="AF31" i="1"/>
  <c r="AE31" i="1"/>
  <c r="AD31" i="1"/>
  <c r="AC31" i="1"/>
  <c r="AB31" i="1"/>
  <c r="Y31" i="1"/>
  <c r="S31" i="1"/>
  <c r="AJ31" i="1" s="1" a="1"/>
  <c r="AJ31" i="1" s="1"/>
  <c r="AI30" i="1"/>
  <c r="AG30" i="1"/>
  <c r="AF30" i="1"/>
  <c r="AE30" i="1"/>
  <c r="AD30" i="1"/>
  <c r="AC30" i="1"/>
  <c r="AB30" i="1"/>
  <c r="Y30" i="1"/>
  <c r="U30" i="1"/>
  <c r="V30" i="1" s="1"/>
  <c r="S30" i="1"/>
  <c r="Z30" i="1" s="1"/>
  <c r="AI29" i="1"/>
  <c r="AG29" i="1"/>
  <c r="AF29" i="1"/>
  <c r="AE29" i="1"/>
  <c r="AD29" i="1"/>
  <c r="AC29" i="1"/>
  <c r="AB29" i="1"/>
  <c r="Y29" i="1"/>
  <c r="S29" i="1"/>
  <c r="AJ29" i="1" s="1" a="1"/>
  <c r="AJ29" i="1" s="1"/>
  <c r="AI28" i="1"/>
  <c r="AG28" i="1"/>
  <c r="AF28" i="1"/>
  <c r="AE28" i="1"/>
  <c r="AD28" i="1"/>
  <c r="AC28" i="1"/>
  <c r="AB28" i="1"/>
  <c r="Y28" i="1"/>
  <c r="S28" i="1"/>
  <c r="AI27" i="1"/>
  <c r="AG27" i="1"/>
  <c r="AF27" i="1"/>
  <c r="AE27" i="1"/>
  <c r="AD27" i="1"/>
  <c r="AC27" i="1"/>
  <c r="AB27" i="1"/>
  <c r="Y27" i="1"/>
  <c r="S27" i="1"/>
  <c r="AJ27" i="1" s="1" a="1"/>
  <c r="AJ27" i="1" s="1"/>
  <c r="AI26" i="1"/>
  <c r="AG26" i="1"/>
  <c r="AF26" i="1"/>
  <c r="AE26" i="1"/>
  <c r="AD26" i="1"/>
  <c r="AC26" i="1"/>
  <c r="AB26" i="1"/>
  <c r="Y26" i="1"/>
  <c r="S26" i="1"/>
  <c r="AI25" i="1"/>
  <c r="AG25" i="1"/>
  <c r="AF25" i="1"/>
  <c r="AE25" i="1"/>
  <c r="AD25" i="1"/>
  <c r="AC25" i="1"/>
  <c r="AB25" i="1"/>
  <c r="Y25" i="1"/>
  <c r="S25" i="1"/>
  <c r="AJ25" i="1" s="1" a="1"/>
  <c r="AJ25" i="1" s="1"/>
  <c r="AI24" i="1"/>
  <c r="AG24" i="1"/>
  <c r="AF24" i="1"/>
  <c r="AE24" i="1"/>
  <c r="AD24" i="1"/>
  <c r="AC24" i="1"/>
  <c r="AB24" i="1"/>
  <c r="Y24" i="1"/>
  <c r="S24" i="1"/>
  <c r="AI23" i="1"/>
  <c r="AG23" i="1"/>
  <c r="AF23" i="1"/>
  <c r="AE23" i="1"/>
  <c r="AD23" i="1"/>
  <c r="AC23" i="1"/>
  <c r="AB23" i="1"/>
  <c r="Y23" i="1"/>
  <c r="S23" i="1"/>
  <c r="AJ23" i="1" s="1" a="1"/>
  <c r="AJ23" i="1" s="1"/>
  <c r="AI22" i="1"/>
  <c r="AG22" i="1"/>
  <c r="AF22" i="1"/>
  <c r="AE22" i="1"/>
  <c r="AD22" i="1"/>
  <c r="AC22" i="1"/>
  <c r="AB22" i="1"/>
  <c r="Y22" i="1"/>
  <c r="U22" i="1"/>
  <c r="V22" i="1" s="1"/>
  <c r="S22" i="1"/>
  <c r="Z22" i="1" s="1"/>
  <c r="AI21" i="1"/>
  <c r="AG21" i="1"/>
  <c r="AF21" i="1"/>
  <c r="AE21" i="1"/>
  <c r="AD21" i="1"/>
  <c r="AC21" i="1"/>
  <c r="AB21" i="1"/>
  <c r="Y21" i="1"/>
  <c r="S21" i="1"/>
  <c r="AJ21" i="1" s="1" a="1"/>
  <c r="AJ21" i="1" s="1"/>
  <c r="AI20" i="1"/>
  <c r="AG20" i="1"/>
  <c r="AF20" i="1"/>
  <c r="AE20" i="1"/>
  <c r="AD20" i="1"/>
  <c r="AC20" i="1"/>
  <c r="AB20" i="1"/>
  <c r="Y20" i="1"/>
  <c r="S20" i="1"/>
  <c r="AI19" i="1"/>
  <c r="AG19" i="1"/>
  <c r="AF19" i="1"/>
  <c r="AE19" i="1"/>
  <c r="AD19" i="1"/>
  <c r="AC19" i="1"/>
  <c r="AB19" i="1"/>
  <c r="Y19" i="1"/>
  <c r="S19" i="1"/>
  <c r="AJ19" i="1" s="1" a="1"/>
  <c r="AJ19" i="1" s="1"/>
  <c r="AI18" i="1"/>
  <c r="AG18" i="1"/>
  <c r="AF18" i="1"/>
  <c r="AE18" i="1"/>
  <c r="AD18" i="1"/>
  <c r="AC18" i="1"/>
  <c r="AB18" i="1"/>
  <c r="Y18" i="1"/>
  <c r="S18" i="1"/>
  <c r="AI17" i="1"/>
  <c r="AG17" i="1"/>
  <c r="AF17" i="1"/>
  <c r="AE17" i="1"/>
  <c r="AD17" i="1"/>
  <c r="AC17" i="1"/>
  <c r="AB17" i="1"/>
  <c r="Y17" i="1"/>
  <c r="S17" i="1"/>
  <c r="AJ17" i="1" s="1" a="1"/>
  <c r="AJ17" i="1" s="1"/>
  <c r="AI16" i="1"/>
  <c r="AG16" i="1"/>
  <c r="AF16" i="1"/>
  <c r="AE16" i="1"/>
  <c r="AD16" i="1"/>
  <c r="AC16" i="1"/>
  <c r="AB16" i="1"/>
  <c r="Y16" i="1"/>
  <c r="S16" i="1"/>
  <c r="AI15" i="1"/>
  <c r="AG15" i="1"/>
  <c r="AF15" i="1"/>
  <c r="AE15" i="1"/>
  <c r="AD15" i="1"/>
  <c r="AC15" i="1"/>
  <c r="AB15" i="1"/>
  <c r="Y15" i="1"/>
  <c r="S15" i="1"/>
  <c r="AJ15" i="1" s="1" a="1"/>
  <c r="AJ15" i="1" s="1"/>
  <c r="AI14" i="1"/>
  <c r="AG14" i="1"/>
  <c r="AF14" i="1"/>
  <c r="AE14" i="1"/>
  <c r="AD14" i="1"/>
  <c r="AC14" i="1"/>
  <c r="AB14" i="1"/>
  <c r="Y14" i="1"/>
  <c r="U14" i="1"/>
  <c r="V14" i="1" s="1"/>
  <c r="S14" i="1"/>
  <c r="Z14" i="1" s="1"/>
  <c r="AI13" i="1"/>
  <c r="AG13" i="1"/>
  <c r="AF13" i="1"/>
  <c r="AE13" i="1"/>
  <c r="AD13" i="1"/>
  <c r="AC13" i="1"/>
  <c r="AB13" i="1"/>
  <c r="Y13" i="1"/>
  <c r="S13" i="1"/>
  <c r="AJ13" i="1" s="1" a="1"/>
  <c r="AJ13" i="1" s="1"/>
  <c r="AI12" i="1"/>
  <c r="AG12" i="1"/>
  <c r="AF12" i="1"/>
  <c r="AE12" i="1"/>
  <c r="AD12" i="1"/>
  <c r="AC12" i="1"/>
  <c r="AB12" i="1"/>
  <c r="Y12" i="1"/>
  <c r="S12" i="1"/>
  <c r="AI11" i="1"/>
  <c r="AG11" i="1"/>
  <c r="AF11" i="1"/>
  <c r="AE11" i="1"/>
  <c r="AD11" i="1"/>
  <c r="AC11" i="1"/>
  <c r="AB11" i="1"/>
  <c r="Y11" i="1"/>
  <c r="S11" i="1"/>
  <c r="AJ11" i="1" s="1" a="1"/>
  <c r="AJ11" i="1" s="1"/>
  <c r="AI10" i="1"/>
  <c r="AG10" i="1"/>
  <c r="AF10" i="1"/>
  <c r="AE10" i="1"/>
  <c r="AD10" i="1"/>
  <c r="AC10" i="1"/>
  <c r="AB10" i="1"/>
  <c r="Y10" i="1"/>
  <c r="S10" i="1"/>
  <c r="Z10" i="1" s="1"/>
  <c r="AI9" i="1"/>
  <c r="AG9" i="1"/>
  <c r="AF9" i="1"/>
  <c r="AE9" i="1"/>
  <c r="AD9" i="1"/>
  <c r="AC9" i="1"/>
  <c r="AB9" i="1"/>
  <c r="Y9" i="1"/>
  <c r="S9" i="1"/>
  <c r="AJ9" i="1" s="1" a="1"/>
  <c r="AJ9" i="1" s="1"/>
  <c r="AI8" i="1"/>
  <c r="AG8" i="1"/>
  <c r="AF8" i="1"/>
  <c r="AE8" i="1"/>
  <c r="AD8" i="1"/>
  <c r="AC8" i="1"/>
  <c r="AB8" i="1"/>
  <c r="Y8" i="1"/>
  <c r="S8" i="1"/>
  <c r="Z8" i="1" s="1"/>
  <c r="AI7" i="1"/>
  <c r="AG7" i="1"/>
  <c r="AF7" i="1"/>
  <c r="AE7" i="1"/>
  <c r="AD7" i="1"/>
  <c r="AC7" i="1"/>
  <c r="AB7" i="1"/>
  <c r="Y7" i="1"/>
  <c r="S7" i="1"/>
  <c r="AJ7" i="1" s="1" a="1"/>
  <c r="AJ7" i="1" s="1"/>
  <c r="AI6" i="1"/>
  <c r="AG6" i="1"/>
  <c r="AF6" i="1"/>
  <c r="AE6" i="1"/>
  <c r="AD6" i="1"/>
  <c r="AC6" i="1"/>
  <c r="AB6" i="1"/>
  <c r="Y6" i="1"/>
  <c r="U6" i="1"/>
  <c r="V6" i="1" s="1"/>
  <c r="S6" i="1"/>
  <c r="Z6" i="1" s="1"/>
  <c r="AI5" i="1"/>
  <c r="AG5" i="1"/>
  <c r="AF5" i="1"/>
  <c r="AE5" i="1"/>
  <c r="AD5" i="1"/>
  <c r="AC5" i="1"/>
  <c r="AB5" i="1"/>
  <c r="Y5" i="1"/>
  <c r="S5" i="1"/>
  <c r="AJ5" i="1" s="1" a="1"/>
  <c r="AJ5" i="1" s="1"/>
  <c r="AI4" i="1"/>
  <c r="AG4" i="1"/>
  <c r="AF4" i="1"/>
  <c r="AE4" i="1"/>
  <c r="AD4" i="1"/>
  <c r="AC4" i="1"/>
  <c r="AB4" i="1"/>
  <c r="Y4" i="1"/>
  <c r="S4" i="1"/>
  <c r="AI3" i="1"/>
  <c r="AG3" i="1"/>
  <c r="AF3" i="1"/>
  <c r="AE3" i="1"/>
  <c r="AD3" i="1"/>
  <c r="AC3" i="1"/>
  <c r="AB3" i="1"/>
  <c r="Y3" i="1"/>
  <c r="S3" i="1"/>
  <c r="AJ3" i="1" s="1" a="1"/>
  <c r="AJ3" i="1" s="1"/>
  <c r="AI2" i="1"/>
  <c r="AG2" i="1"/>
  <c r="AF2" i="1"/>
  <c r="AE2" i="1"/>
  <c r="AD2" i="1"/>
  <c r="AC2" i="1"/>
  <c r="AB2" i="1"/>
  <c r="Y2" i="1"/>
  <c r="S2" i="1"/>
  <c r="AH4" i="1" l="1"/>
  <c r="AJ4" i="1" a="1"/>
  <c r="AJ4" i="1" s="1"/>
  <c r="AH20" i="1"/>
  <c r="AJ20" i="1" a="1"/>
  <c r="AJ20" i="1" s="1"/>
  <c r="AH32" i="1"/>
  <c r="AJ32" i="1" a="1"/>
  <c r="AJ32" i="1" s="1"/>
  <c r="AH43" i="1"/>
  <c r="AH49" i="1"/>
  <c r="AH63" i="1"/>
  <c r="AH73" i="1"/>
  <c r="AH95" i="1"/>
  <c r="AH103" i="1"/>
  <c r="AH115" i="1"/>
  <c r="AH137" i="1"/>
  <c r="AH139" i="1"/>
  <c r="AH143" i="1"/>
  <c r="AH147" i="1"/>
  <c r="AH151" i="1"/>
  <c r="AH159" i="1"/>
  <c r="AH167" i="1"/>
  <c r="Z187" i="1"/>
  <c r="AJ187" i="1" a="1"/>
  <c r="AJ187" i="1" s="1"/>
  <c r="AH188" i="1"/>
  <c r="AJ188" i="1" a="1"/>
  <c r="AJ188" i="1" s="1"/>
  <c r="AH204" i="1"/>
  <c r="AJ204" i="1" a="1"/>
  <c r="AJ204" i="1" s="1"/>
  <c r="AH208" i="1"/>
  <c r="AJ208" i="1" a="1"/>
  <c r="AJ208" i="1" s="1"/>
  <c r="AH239" i="1"/>
  <c r="AH243" i="1"/>
  <c r="Z317" i="1"/>
  <c r="AJ317" i="1" a="1"/>
  <c r="AJ317" i="1" s="1"/>
  <c r="AH317" i="1"/>
  <c r="Z323" i="1"/>
  <c r="AJ323" i="1" a="1"/>
  <c r="AJ323" i="1" s="1"/>
  <c r="AH323" i="1"/>
  <c r="Z336" i="1"/>
  <c r="AJ336" i="1" a="1"/>
  <c r="AJ336" i="1" s="1"/>
  <c r="U336" i="1"/>
  <c r="V336" i="1" s="1"/>
  <c r="Z348" i="1"/>
  <c r="AJ348" i="1" a="1"/>
  <c r="AJ348" i="1" s="1"/>
  <c r="U348" i="1"/>
  <c r="V348" i="1" s="1"/>
  <c r="Z350" i="1"/>
  <c r="AJ350" i="1" a="1"/>
  <c r="AJ350" i="1" s="1"/>
  <c r="U350" i="1"/>
  <c r="V350" i="1" s="1"/>
  <c r="Z364" i="1"/>
  <c r="AJ364" i="1" a="1"/>
  <c r="AJ364" i="1" s="1"/>
  <c r="U364" i="1"/>
  <c r="V364" i="1" s="1"/>
  <c r="Z366" i="1"/>
  <c r="AJ366" i="1" a="1"/>
  <c r="AJ366" i="1" s="1"/>
  <c r="U366" i="1"/>
  <c r="V366" i="1" s="1"/>
  <c r="AH16" i="1"/>
  <c r="AJ16" i="1" a="1"/>
  <c r="AJ16" i="1" s="1"/>
  <c r="AH18" i="1"/>
  <c r="AJ18" i="1" a="1"/>
  <c r="AJ18" i="1" s="1"/>
  <c r="AH24" i="1"/>
  <c r="AJ24" i="1" a="1"/>
  <c r="AJ24" i="1" s="1"/>
  <c r="AH26" i="1"/>
  <c r="AJ26" i="1" a="1"/>
  <c r="AJ26" i="1" s="1"/>
  <c r="AH38" i="1"/>
  <c r="AJ38" i="1" a="1"/>
  <c r="AJ38" i="1" s="1"/>
  <c r="AH41" i="1"/>
  <c r="AH59" i="1"/>
  <c r="AH65" i="1"/>
  <c r="AH79" i="1"/>
  <c r="AH83" i="1"/>
  <c r="AH87" i="1"/>
  <c r="AH97" i="1"/>
  <c r="AH123" i="1"/>
  <c r="AH145" i="1"/>
  <c r="AH153" i="1"/>
  <c r="AH163" i="1"/>
  <c r="AH169" i="1"/>
  <c r="AH183" i="1"/>
  <c r="AH221" i="1"/>
  <c r="AH284" i="1"/>
  <c r="AJ284" i="1" a="1"/>
  <c r="AJ284" i="1" s="1"/>
  <c r="AH5" i="1"/>
  <c r="AH29" i="1"/>
  <c r="U37" i="1"/>
  <c r="V37" i="1" s="1"/>
  <c r="AH46" i="1"/>
  <c r="AJ46" i="1" a="1"/>
  <c r="AJ46" i="1" s="1"/>
  <c r="AH62" i="1"/>
  <c r="AJ62" i="1" a="1"/>
  <c r="AJ62" i="1" s="1"/>
  <c r="AH70" i="1"/>
  <c r="AJ70" i="1" a="1"/>
  <c r="AJ70" i="1" s="1"/>
  <c r="AH78" i="1"/>
  <c r="AJ78" i="1" a="1"/>
  <c r="AJ78" i="1" s="1"/>
  <c r="AH86" i="1"/>
  <c r="AJ86" i="1" a="1"/>
  <c r="AJ86" i="1" s="1"/>
  <c r="AH94" i="1"/>
  <c r="AJ94" i="1" a="1"/>
  <c r="AJ94" i="1" s="1"/>
  <c r="AH102" i="1"/>
  <c r="AJ102" i="1" a="1"/>
  <c r="AJ102" i="1" s="1"/>
  <c r="AH110" i="1"/>
  <c r="AJ110" i="1" a="1"/>
  <c r="AJ110" i="1" s="1"/>
  <c r="AH118" i="1"/>
  <c r="AJ118" i="1" a="1"/>
  <c r="AJ118" i="1" s="1"/>
  <c r="AH126" i="1"/>
  <c r="AJ126" i="1" a="1"/>
  <c r="AJ126" i="1" s="1"/>
  <c r="AH134" i="1"/>
  <c r="AJ134" i="1" a="1"/>
  <c r="AJ134" i="1" s="1"/>
  <c r="AH142" i="1"/>
  <c r="AJ142" i="1" a="1"/>
  <c r="AJ142" i="1" s="1"/>
  <c r="AH150" i="1"/>
  <c r="AJ150" i="1" a="1"/>
  <c r="AJ150" i="1" s="1"/>
  <c r="AH158" i="1"/>
  <c r="AJ158" i="1" a="1"/>
  <c r="AJ158" i="1" s="1"/>
  <c r="AH166" i="1"/>
  <c r="AJ166" i="1" a="1"/>
  <c r="AJ166" i="1" s="1"/>
  <c r="AH174" i="1"/>
  <c r="AJ174" i="1" a="1"/>
  <c r="AJ174" i="1" s="1"/>
  <c r="AH182" i="1"/>
  <c r="AJ182" i="1" a="1"/>
  <c r="AJ182" i="1" s="1"/>
  <c r="U187" i="1"/>
  <c r="V187" i="1" s="1"/>
  <c r="U188" i="1"/>
  <c r="V188" i="1" s="1"/>
  <c r="U191" i="1"/>
  <c r="V191" i="1" s="1"/>
  <c r="U199" i="1"/>
  <c r="V199" i="1" s="1"/>
  <c r="U204" i="1"/>
  <c r="V204" i="1" s="1"/>
  <c r="AH213" i="1"/>
  <c r="AH219" i="1"/>
  <c r="AH223" i="1"/>
  <c r="AH225" i="1"/>
  <c r="AH227" i="1"/>
  <c r="AH231" i="1"/>
  <c r="AH233" i="1"/>
  <c r="AH238" i="1"/>
  <c r="AJ238" i="1" a="1"/>
  <c r="AJ238" i="1" s="1"/>
  <c r="AH246" i="1"/>
  <c r="AJ246" i="1" a="1"/>
  <c r="AJ246" i="1" s="1"/>
  <c r="AH256" i="1"/>
  <c r="AJ256" i="1" a="1"/>
  <c r="AJ256" i="1" s="1"/>
  <c r="AH264" i="1"/>
  <c r="AJ264" i="1" a="1"/>
  <c r="AJ264" i="1" s="1"/>
  <c r="AH269" i="1"/>
  <c r="Z275" i="1"/>
  <c r="AJ275" i="1" a="1"/>
  <c r="AJ275" i="1" s="1"/>
  <c r="AH276" i="1"/>
  <c r="AJ276" i="1" a="1"/>
  <c r="AJ276" i="1" s="1"/>
  <c r="U284" i="1"/>
  <c r="V284" i="1" s="1"/>
  <c r="AH286" i="1"/>
  <c r="AJ286" i="1" a="1"/>
  <c r="AJ286" i="1" s="1"/>
  <c r="AH288" i="1"/>
  <c r="AJ288" i="1" a="1"/>
  <c r="AJ288" i="1" s="1"/>
  <c r="Z293" i="1"/>
  <c r="AJ293" i="1" a="1"/>
  <c r="AJ293" i="1" s="1"/>
  <c r="AH293" i="1"/>
  <c r="Z301" i="1"/>
  <c r="AJ301" i="1" a="1"/>
  <c r="AJ301" i="1" s="1"/>
  <c r="AH301" i="1"/>
  <c r="Z309" i="1"/>
  <c r="AJ309" i="1" a="1"/>
  <c r="AJ309" i="1" s="1"/>
  <c r="AH309" i="1"/>
  <c r="AH316" i="1"/>
  <c r="AJ316" i="1" a="1"/>
  <c r="AJ316" i="1" s="1"/>
  <c r="Z332" i="1"/>
  <c r="U332" i="1"/>
  <c r="V332" i="1" s="1"/>
  <c r="AJ332" i="1" a="1"/>
  <c r="AJ332" i="1" s="1"/>
  <c r="Z334" i="1"/>
  <c r="AJ334" i="1" a="1"/>
  <c r="AJ334" i="1" s="1"/>
  <c r="U334" i="1"/>
  <c r="V334" i="1" s="1"/>
  <c r="Z344" i="1"/>
  <c r="U344" i="1"/>
  <c r="V344" i="1" s="1"/>
  <c r="AJ344" i="1" a="1"/>
  <c r="AJ344" i="1" s="1"/>
  <c r="Z356" i="1"/>
  <c r="AJ356" i="1" a="1"/>
  <c r="AJ356" i="1" s="1"/>
  <c r="U356" i="1"/>
  <c r="V356" i="1" s="1"/>
  <c r="Z360" i="1"/>
  <c r="AJ360" i="1" a="1"/>
  <c r="AJ360" i="1" s="1"/>
  <c r="U360" i="1"/>
  <c r="V360" i="1" s="1"/>
  <c r="Z372" i="1"/>
  <c r="U372" i="1"/>
  <c r="V372" i="1" s="1"/>
  <c r="AJ372" i="1" a="1"/>
  <c r="AJ372" i="1" s="1"/>
  <c r="AJ392" i="1" a="1"/>
  <c r="AJ392" i="1" s="1"/>
  <c r="AH392" i="1"/>
  <c r="AH2" i="1"/>
  <c r="AN3" i="1"/>
  <c r="AO11" i="1"/>
  <c r="AJ2" i="1" a="1"/>
  <c r="AJ2" i="1" s="1"/>
  <c r="AH28" i="1"/>
  <c r="AJ28" i="1" a="1"/>
  <c r="AJ28" i="1" s="1"/>
  <c r="AH34" i="1"/>
  <c r="AJ34" i="1" a="1"/>
  <c r="AJ34" i="1" s="1"/>
  <c r="AH67" i="1"/>
  <c r="AH75" i="1"/>
  <c r="AH89" i="1"/>
  <c r="AH91" i="1"/>
  <c r="AH99" i="1"/>
  <c r="AH113" i="1"/>
  <c r="AH121" i="1"/>
  <c r="AH127" i="1"/>
  <c r="AH131" i="1"/>
  <c r="AH135" i="1"/>
  <c r="AH177" i="1"/>
  <c r="AH241" i="1"/>
  <c r="AH247" i="1"/>
  <c r="AH249" i="1"/>
  <c r="AH254" i="1"/>
  <c r="AJ254" i="1" a="1"/>
  <c r="AJ254" i="1" s="1"/>
  <c r="AH13" i="1"/>
  <c r="AH21" i="1"/>
  <c r="AH54" i="1"/>
  <c r="AJ54" i="1" a="1"/>
  <c r="AJ54" i="1" s="1"/>
  <c r="Z2" i="1"/>
  <c r="AH3" i="1"/>
  <c r="AH7" i="1"/>
  <c r="AH9" i="1"/>
  <c r="AH11" i="1"/>
  <c r="AH15" i="1"/>
  <c r="Z16" i="1"/>
  <c r="AH17" i="1"/>
  <c r="Z18" i="1"/>
  <c r="AH19" i="1"/>
  <c r="AH23" i="1"/>
  <c r="Z24" i="1"/>
  <c r="AH25" i="1"/>
  <c r="Z26" i="1"/>
  <c r="AH27" i="1"/>
  <c r="AH31" i="1"/>
  <c r="Z32" i="1"/>
  <c r="AH33" i="1"/>
  <c r="Z34" i="1"/>
  <c r="Z35" i="1"/>
  <c r="AJ35" i="1" a="1"/>
  <c r="AJ35" i="1" s="1"/>
  <c r="AH36" i="1"/>
  <c r="AJ36" i="1" a="1"/>
  <c r="AJ36" i="1" s="1"/>
  <c r="AH37" i="1"/>
  <c r="Z38" i="1"/>
  <c r="AH40" i="1"/>
  <c r="AJ40" i="1" a="1"/>
  <c r="AJ40" i="1" s="1"/>
  <c r="AH42" i="1"/>
  <c r="AJ42" i="1" a="1"/>
  <c r="AJ42" i="1" s="1"/>
  <c r="AH44" i="1"/>
  <c r="AJ44" i="1" a="1"/>
  <c r="AJ44" i="1" s="1"/>
  <c r="U46" i="1"/>
  <c r="V46" i="1" s="1"/>
  <c r="AH48" i="1"/>
  <c r="AJ48" i="1" a="1"/>
  <c r="AJ48" i="1" s="1"/>
  <c r="AH50" i="1"/>
  <c r="AJ50" i="1" a="1"/>
  <c r="AJ50" i="1" s="1"/>
  <c r="AH52" i="1"/>
  <c r="AJ52" i="1" a="1"/>
  <c r="AJ52" i="1" s="1"/>
  <c r="U54" i="1"/>
  <c r="V54" i="1" s="1"/>
  <c r="AH56" i="1"/>
  <c r="AJ56" i="1" a="1"/>
  <c r="AJ56" i="1" s="1"/>
  <c r="AH58" i="1"/>
  <c r="AJ58" i="1" a="1"/>
  <c r="AJ58" i="1" s="1"/>
  <c r="AH60" i="1"/>
  <c r="AJ60" i="1" a="1"/>
  <c r="AJ60" i="1" s="1"/>
  <c r="U62" i="1"/>
  <c r="V62" i="1" s="1"/>
  <c r="AH64" i="1"/>
  <c r="AJ64" i="1" a="1"/>
  <c r="AJ64" i="1" s="1"/>
  <c r="AH66" i="1"/>
  <c r="AJ66" i="1" a="1"/>
  <c r="AJ66" i="1" s="1"/>
  <c r="AH68" i="1"/>
  <c r="AJ68" i="1" a="1"/>
  <c r="AJ68" i="1" s="1"/>
  <c r="U70" i="1"/>
  <c r="V70" i="1" s="1"/>
  <c r="AH72" i="1"/>
  <c r="AJ72" i="1" a="1"/>
  <c r="AJ72" i="1" s="1"/>
  <c r="AH74" i="1"/>
  <c r="AJ74" i="1" a="1"/>
  <c r="AJ74" i="1" s="1"/>
  <c r="AH76" i="1"/>
  <c r="AJ76" i="1" a="1"/>
  <c r="AJ76" i="1" s="1"/>
  <c r="U78" i="1"/>
  <c r="V78" i="1" s="1"/>
  <c r="AH80" i="1"/>
  <c r="AJ80" i="1" a="1"/>
  <c r="AJ80" i="1" s="1"/>
  <c r="AH82" i="1"/>
  <c r="AJ82" i="1" a="1"/>
  <c r="AJ82" i="1" s="1"/>
  <c r="AH84" i="1"/>
  <c r="AJ84" i="1" a="1"/>
  <c r="AJ84" i="1" s="1"/>
  <c r="U86" i="1"/>
  <c r="V86" i="1" s="1"/>
  <c r="AH88" i="1"/>
  <c r="AJ88" i="1" a="1"/>
  <c r="AJ88" i="1" s="1"/>
  <c r="AH90" i="1"/>
  <c r="AJ90" i="1" a="1"/>
  <c r="AJ90" i="1" s="1"/>
  <c r="AH92" i="1"/>
  <c r="AJ92" i="1" a="1"/>
  <c r="AJ92" i="1" s="1"/>
  <c r="U94" i="1"/>
  <c r="V94" i="1" s="1"/>
  <c r="AH96" i="1"/>
  <c r="AJ96" i="1" a="1"/>
  <c r="AJ96" i="1" s="1"/>
  <c r="AH98" i="1"/>
  <c r="AJ98" i="1" a="1"/>
  <c r="AJ98" i="1" s="1"/>
  <c r="AH100" i="1"/>
  <c r="AJ100" i="1" a="1"/>
  <c r="AJ100" i="1" s="1"/>
  <c r="U102" i="1"/>
  <c r="V102" i="1" s="1"/>
  <c r="AH104" i="1"/>
  <c r="AJ104" i="1" a="1"/>
  <c r="AJ104" i="1" s="1"/>
  <c r="AH106" i="1"/>
  <c r="AJ106" i="1" a="1"/>
  <c r="AJ106" i="1" s="1"/>
  <c r="AH108" i="1"/>
  <c r="AJ108" i="1" a="1"/>
  <c r="AJ108" i="1" s="1"/>
  <c r="U110" i="1"/>
  <c r="V110" i="1" s="1"/>
  <c r="AH112" i="1"/>
  <c r="AJ112" i="1" a="1"/>
  <c r="AJ112" i="1" s="1"/>
  <c r="AH114" i="1"/>
  <c r="AJ114" i="1" a="1"/>
  <c r="AJ114" i="1" s="1"/>
  <c r="AH116" i="1"/>
  <c r="AJ116" i="1" a="1"/>
  <c r="AJ116" i="1" s="1"/>
  <c r="U118" i="1"/>
  <c r="V118" i="1" s="1"/>
  <c r="AH120" i="1"/>
  <c r="AJ120" i="1" a="1"/>
  <c r="AJ120" i="1" s="1"/>
  <c r="AH122" i="1"/>
  <c r="AJ122" i="1" a="1"/>
  <c r="AJ122" i="1" s="1"/>
  <c r="AH124" i="1"/>
  <c r="AJ124" i="1" a="1"/>
  <c r="AJ124" i="1" s="1"/>
  <c r="U126" i="1"/>
  <c r="V126" i="1" s="1"/>
  <c r="AH128" i="1"/>
  <c r="AJ128" i="1" a="1"/>
  <c r="AJ128" i="1" s="1"/>
  <c r="AH130" i="1"/>
  <c r="AJ130" i="1" a="1"/>
  <c r="AJ130" i="1" s="1"/>
  <c r="AH132" i="1"/>
  <c r="AJ132" i="1" a="1"/>
  <c r="AJ132" i="1" s="1"/>
  <c r="U134" i="1"/>
  <c r="V134" i="1" s="1"/>
  <c r="AH136" i="1"/>
  <c r="AJ136" i="1" a="1"/>
  <c r="AJ136" i="1" s="1"/>
  <c r="AH138" i="1"/>
  <c r="AJ138" i="1" a="1"/>
  <c r="AJ138" i="1" s="1"/>
  <c r="AH140" i="1"/>
  <c r="AJ140" i="1" a="1"/>
  <c r="AJ140" i="1" s="1"/>
  <c r="U142" i="1"/>
  <c r="V142" i="1" s="1"/>
  <c r="AH144" i="1"/>
  <c r="AJ144" i="1" a="1"/>
  <c r="AJ144" i="1" s="1"/>
  <c r="AH146" i="1"/>
  <c r="AJ146" i="1" a="1"/>
  <c r="AJ146" i="1" s="1"/>
  <c r="AH148" i="1"/>
  <c r="AJ148" i="1" a="1"/>
  <c r="AJ148" i="1" s="1"/>
  <c r="U150" i="1"/>
  <c r="V150" i="1" s="1"/>
  <c r="AH152" i="1"/>
  <c r="AJ152" i="1" a="1"/>
  <c r="AJ152" i="1" s="1"/>
  <c r="AH154" i="1"/>
  <c r="AJ154" i="1" a="1"/>
  <c r="AJ154" i="1" s="1"/>
  <c r="AH156" i="1"/>
  <c r="AJ156" i="1" a="1"/>
  <c r="AJ156" i="1" s="1"/>
  <c r="U158" i="1"/>
  <c r="V158" i="1" s="1"/>
  <c r="AH160" i="1"/>
  <c r="AJ160" i="1" a="1"/>
  <c r="AJ160" i="1" s="1"/>
  <c r="AH162" i="1"/>
  <c r="AJ162" i="1" a="1"/>
  <c r="AJ162" i="1" s="1"/>
  <c r="AH164" i="1"/>
  <c r="AJ164" i="1" a="1"/>
  <c r="AJ164" i="1" s="1"/>
  <c r="U166" i="1"/>
  <c r="V166" i="1" s="1"/>
  <c r="AH168" i="1"/>
  <c r="AJ168" i="1" a="1"/>
  <c r="AJ168" i="1" s="1"/>
  <c r="AH170" i="1"/>
  <c r="AJ170" i="1" a="1"/>
  <c r="AJ170" i="1" s="1"/>
  <c r="AH172" i="1"/>
  <c r="AJ172" i="1" a="1"/>
  <c r="AJ172" i="1" s="1"/>
  <c r="U174" i="1"/>
  <c r="V174" i="1" s="1"/>
  <c r="AH176" i="1"/>
  <c r="AJ176" i="1" a="1"/>
  <c r="AJ176" i="1" s="1"/>
  <c r="AH178" i="1"/>
  <c r="AJ178" i="1" a="1"/>
  <c r="AJ178" i="1" s="1"/>
  <c r="AH180" i="1"/>
  <c r="AJ180" i="1" a="1"/>
  <c r="AJ180" i="1" s="1"/>
  <c r="U182" i="1"/>
  <c r="V182" i="1" s="1"/>
  <c r="AH186" i="1"/>
  <c r="AJ186" i="1" a="1"/>
  <c r="AJ186" i="1" s="1"/>
  <c r="AH187" i="1"/>
  <c r="AH191" i="1"/>
  <c r="U193" i="1"/>
  <c r="V193" i="1" s="1"/>
  <c r="AH199" i="1"/>
  <c r="U201" i="1"/>
  <c r="V201" i="1" s="1"/>
  <c r="AH203" i="1"/>
  <c r="AH207" i="1"/>
  <c r="Z208" i="1"/>
  <c r="AH209" i="1"/>
  <c r="Z210" i="1"/>
  <c r="AH211" i="1"/>
  <c r="AH215" i="1"/>
  <c r="AH217" i="1"/>
  <c r="AH222" i="1"/>
  <c r="AJ222" i="1" a="1"/>
  <c r="AJ222" i="1" s="1"/>
  <c r="AH230" i="1"/>
  <c r="AJ230" i="1" a="1"/>
  <c r="AJ230" i="1" s="1"/>
  <c r="U238" i="1"/>
  <c r="V238" i="1" s="1"/>
  <c r="AH240" i="1"/>
  <c r="AJ240" i="1" a="1"/>
  <c r="AJ240" i="1" s="1"/>
  <c r="U246" i="1"/>
  <c r="V246" i="1" s="1"/>
  <c r="AH248" i="1"/>
  <c r="AJ248" i="1" a="1"/>
  <c r="AJ248" i="1" s="1"/>
  <c r="AH253" i="1"/>
  <c r="AH261" i="1"/>
  <c r="AH267" i="1"/>
  <c r="Z271" i="1"/>
  <c r="AJ271" i="1" a="1"/>
  <c r="AJ271" i="1" s="1"/>
  <c r="U275" i="1"/>
  <c r="V275" i="1" s="1"/>
  <c r="Z279" i="1"/>
  <c r="AJ279" i="1" a="1"/>
  <c r="AJ279" i="1" s="1"/>
  <c r="AH283" i="1"/>
  <c r="U286" i="1"/>
  <c r="V286" i="1" s="1"/>
  <c r="U288" i="1"/>
  <c r="V288" i="1" s="1"/>
  <c r="Z289" i="1"/>
  <c r="AH292" i="1"/>
  <c r="AJ292" i="1" a="1"/>
  <c r="AJ292" i="1" s="1"/>
  <c r="AH296" i="1"/>
  <c r="AJ296" i="1" a="1"/>
  <c r="AJ296" i="1" s="1"/>
  <c r="Z297" i="1"/>
  <c r="AH300" i="1"/>
  <c r="AJ300" i="1" a="1"/>
  <c r="AJ300" i="1" s="1"/>
  <c r="AH304" i="1"/>
  <c r="AJ304" i="1" a="1"/>
  <c r="AJ304" i="1" s="1"/>
  <c r="AH308" i="1"/>
  <c r="AJ308" i="1" a="1"/>
  <c r="AJ308" i="1" s="1"/>
  <c r="Z314" i="1"/>
  <c r="U316" i="1"/>
  <c r="V316" i="1" s="1"/>
  <c r="Z324" i="1"/>
  <c r="AJ324" i="1" a="1"/>
  <c r="AJ324" i="1" s="1"/>
  <c r="U324" i="1"/>
  <c r="V324" i="1" s="1"/>
  <c r="Z328" i="1"/>
  <c r="AJ328" i="1" a="1"/>
  <c r="AJ328" i="1" s="1"/>
  <c r="U328" i="1"/>
  <c r="V328" i="1" s="1"/>
  <c r="Z340" i="1"/>
  <c r="U340" i="1"/>
  <c r="V340" i="1" s="1"/>
  <c r="AJ340" i="1" a="1"/>
  <c r="AJ340" i="1" s="1"/>
  <c r="Z342" i="1"/>
  <c r="AJ342" i="1" a="1"/>
  <c r="AJ342" i="1" s="1"/>
  <c r="U342" i="1"/>
  <c r="V342" i="1" s="1"/>
  <c r="Z358" i="1"/>
  <c r="U358" i="1"/>
  <c r="V358" i="1" s="1"/>
  <c r="AJ358" i="1" a="1"/>
  <c r="AJ358" i="1" s="1"/>
  <c r="AH390" i="1"/>
  <c r="AH8" i="1"/>
  <c r="AJ8" i="1" a="1"/>
  <c r="AJ8" i="1" s="1"/>
  <c r="AH10" i="1"/>
  <c r="AJ10" i="1" a="1"/>
  <c r="AJ10" i="1" s="1"/>
  <c r="AH12" i="1"/>
  <c r="AJ12" i="1" a="1"/>
  <c r="AJ12" i="1" s="1"/>
  <c r="AH47" i="1"/>
  <c r="AH51" i="1"/>
  <c r="AH55" i="1"/>
  <c r="AH57" i="1"/>
  <c r="AH71" i="1"/>
  <c r="AH81" i="1"/>
  <c r="AH105" i="1"/>
  <c r="AH107" i="1"/>
  <c r="AH111" i="1"/>
  <c r="AH119" i="1"/>
  <c r="AH129" i="1"/>
  <c r="AH155" i="1"/>
  <c r="AH161" i="1"/>
  <c r="AH171" i="1"/>
  <c r="AH175" i="1"/>
  <c r="AH179" i="1"/>
  <c r="AH216" i="1"/>
  <c r="AJ216" i="1" a="1"/>
  <c r="AJ216" i="1" s="1"/>
  <c r="AH229" i="1"/>
  <c r="AH235" i="1"/>
  <c r="AH262" i="1"/>
  <c r="AJ262" i="1" a="1"/>
  <c r="AJ262" i="1" s="1"/>
  <c r="AH6" i="1"/>
  <c r="AJ6" i="1" a="1"/>
  <c r="AJ6" i="1" s="1"/>
  <c r="AH14" i="1"/>
  <c r="AJ14" i="1" a="1"/>
  <c r="AJ14" i="1" s="1"/>
  <c r="AH22" i="1"/>
  <c r="AJ22" i="1" a="1"/>
  <c r="AJ22" i="1" s="1"/>
  <c r="AH30" i="1"/>
  <c r="AJ30" i="1" a="1"/>
  <c r="AJ30" i="1" s="1"/>
  <c r="AH45" i="1"/>
  <c r="AH53" i="1"/>
  <c r="AH61" i="1"/>
  <c r="AH69" i="1"/>
  <c r="AH77" i="1"/>
  <c r="AH85" i="1"/>
  <c r="AH93" i="1"/>
  <c r="AH101" i="1"/>
  <c r="AH109" i="1"/>
  <c r="AH117" i="1"/>
  <c r="AH125" i="1"/>
  <c r="AH133" i="1"/>
  <c r="AH141" i="1"/>
  <c r="AH149" i="1"/>
  <c r="AH157" i="1"/>
  <c r="AH165" i="1"/>
  <c r="AH173" i="1"/>
  <c r="AH181" i="1"/>
  <c r="Z185" i="1"/>
  <c r="AJ185" i="1" a="1"/>
  <c r="AJ185" i="1" s="1"/>
  <c r="Z188" i="1"/>
  <c r="Z189" i="1"/>
  <c r="AJ189" i="1" a="1"/>
  <c r="AJ189" i="1" s="1"/>
  <c r="AH193" i="1"/>
  <c r="AH201" i="1"/>
  <c r="Z204" i="1"/>
  <c r="AH206" i="1"/>
  <c r="AJ206" i="1" a="1"/>
  <c r="AJ206" i="1" s="1"/>
  <c r="AH214" i="1"/>
  <c r="AJ214" i="1" a="1"/>
  <c r="AJ214" i="1" s="1"/>
  <c r="AH224" i="1"/>
  <c r="AJ224" i="1" a="1"/>
  <c r="AJ224" i="1" s="1"/>
  <c r="AH232" i="1"/>
  <c r="AJ232" i="1" a="1"/>
  <c r="AJ232" i="1" s="1"/>
  <c r="AH237" i="1"/>
  <c r="AH245" i="1"/>
  <c r="AH251" i="1"/>
  <c r="Z254" i="1"/>
  <c r="AH255" i="1"/>
  <c r="Z256" i="1"/>
  <c r="AH257" i="1"/>
  <c r="Z258" i="1"/>
  <c r="AH259" i="1"/>
  <c r="Z262" i="1"/>
  <c r="AH263" i="1"/>
  <c r="Z264" i="1"/>
  <c r="AH265" i="1"/>
  <c r="AH270" i="1"/>
  <c r="AJ270" i="1" a="1"/>
  <c r="AJ270" i="1" s="1"/>
  <c r="Z273" i="1"/>
  <c r="AJ273" i="1" a="1"/>
  <c r="AJ273" i="1" s="1"/>
  <c r="AH274" i="1"/>
  <c r="AJ274" i="1" a="1"/>
  <c r="AJ274" i="1" s="1"/>
  <c r="AH275" i="1"/>
  <c r="Z276" i="1"/>
  <c r="Z277" i="1"/>
  <c r="AJ277" i="1" a="1"/>
  <c r="AJ277" i="1" s="1"/>
  <c r="AH278" i="1"/>
  <c r="AJ278" i="1" a="1"/>
  <c r="AJ278" i="1" s="1"/>
  <c r="Z281" i="1"/>
  <c r="AJ281" i="1" a="1"/>
  <c r="AJ281" i="1" s="1"/>
  <c r="AH282" i="1"/>
  <c r="AJ282" i="1" a="1"/>
  <c r="AJ282" i="1" s="1"/>
  <c r="Z283" i="1"/>
  <c r="Z285" i="1"/>
  <c r="AJ285" i="1" a="1"/>
  <c r="AJ285" i="1" s="1"/>
  <c r="AH285" i="1"/>
  <c r="AH294" i="1"/>
  <c r="AJ294" i="1" a="1"/>
  <c r="AJ294" i="1" s="1"/>
  <c r="AH302" i="1"/>
  <c r="AJ302" i="1" a="1"/>
  <c r="AJ302" i="1" s="1"/>
  <c r="Z306" i="1"/>
  <c r="AH310" i="1"/>
  <c r="AJ310" i="1" a="1"/>
  <c r="AJ310" i="1" s="1"/>
  <c r="Z321" i="1"/>
  <c r="Z326" i="1"/>
  <c r="U326" i="1"/>
  <c r="V326" i="1" s="1"/>
  <c r="AJ326" i="1" a="1"/>
  <c r="AJ326" i="1" s="1"/>
  <c r="Z352" i="1"/>
  <c r="U352" i="1"/>
  <c r="V352" i="1" s="1"/>
  <c r="AJ352" i="1" a="1"/>
  <c r="AJ352" i="1" s="1"/>
  <c r="Z368" i="1"/>
  <c r="AJ368" i="1" a="1"/>
  <c r="AJ368" i="1" s="1"/>
  <c r="U368" i="1"/>
  <c r="V368" i="1" s="1"/>
  <c r="AH383" i="1"/>
  <c r="AJ383" i="1" a="1"/>
  <c r="AJ383" i="1" s="1"/>
  <c r="U383" i="1"/>
  <c r="V383" i="1" s="1"/>
  <c r="AH386" i="1"/>
  <c r="AH388" i="1"/>
  <c r="AH398" i="1"/>
  <c r="AH400" i="1"/>
  <c r="AH404" i="1"/>
  <c r="AH410" i="1"/>
  <c r="AJ498" i="1" a="1"/>
  <c r="AJ498" i="1" s="1"/>
  <c r="AJ487" i="1" a="1"/>
  <c r="AJ487" i="1" s="1"/>
  <c r="AJ479" i="1" a="1"/>
  <c r="AJ479" i="1" s="1"/>
  <c r="AJ474" i="1" a="1"/>
  <c r="AJ474" i="1" s="1"/>
  <c r="AJ466" i="1" a="1"/>
  <c r="AJ466" i="1" s="1"/>
  <c r="AJ455" i="1" a="1"/>
  <c r="AJ455" i="1" s="1"/>
  <c r="AJ451" i="1" a="1"/>
  <c r="AJ451" i="1" s="1"/>
  <c r="AJ448" i="1" a="1"/>
  <c r="AJ448" i="1" s="1"/>
  <c r="AJ431" i="1" a="1"/>
  <c r="AJ431" i="1" s="1"/>
  <c r="AJ425" i="1" a="1"/>
  <c r="AJ425" i="1" s="1"/>
  <c r="AJ419" i="1" a="1"/>
  <c r="AJ419" i="1" s="1"/>
  <c r="AJ378" i="1" a="1"/>
  <c r="AJ378" i="1" s="1"/>
  <c r="AJ346" i="1" a="1"/>
  <c r="AJ346" i="1" s="1"/>
  <c r="Z330" i="1"/>
  <c r="AJ330" i="1" a="1"/>
  <c r="AJ330" i="1" s="1"/>
  <c r="Z341" i="1"/>
  <c r="Z362" i="1"/>
  <c r="AJ362" i="1" a="1"/>
  <c r="AJ362" i="1" s="1"/>
  <c r="AH394" i="1"/>
  <c r="AH396" i="1"/>
  <c r="AH402" i="1"/>
  <c r="U419" i="1"/>
  <c r="V419" i="1" s="1"/>
  <c r="U420" i="1"/>
  <c r="V420" i="1" s="1"/>
  <c r="U421" i="1"/>
  <c r="V421" i="1" s="1"/>
  <c r="AH421" i="1"/>
  <c r="U423" i="1"/>
  <c r="V423" i="1" s="1"/>
  <c r="U424" i="1"/>
  <c r="V424" i="1" s="1"/>
  <c r="U425" i="1"/>
  <c r="V425" i="1" s="1"/>
  <c r="AH425" i="1"/>
  <c r="U427" i="1"/>
  <c r="V427" i="1" s="1"/>
  <c r="U428" i="1"/>
  <c r="V428" i="1" s="1"/>
  <c r="U429" i="1"/>
  <c r="V429" i="1" s="1"/>
  <c r="AH429" i="1"/>
  <c r="U431" i="1"/>
  <c r="V431" i="1" s="1"/>
  <c r="U439" i="1"/>
  <c r="V439" i="1" s="1"/>
  <c r="U447" i="1"/>
  <c r="V447" i="1" s="1"/>
  <c r="U451" i="1"/>
  <c r="V451" i="1" s="1"/>
  <c r="U452" i="1"/>
  <c r="V452" i="1" s="1"/>
  <c r="U455" i="1"/>
  <c r="V455" i="1" s="1"/>
  <c r="U456" i="1"/>
  <c r="V456" i="1" s="1"/>
  <c r="U465" i="1"/>
  <c r="V465" i="1" s="1"/>
  <c r="U466" i="1"/>
  <c r="V466" i="1" s="1"/>
  <c r="U469" i="1"/>
  <c r="V469" i="1" s="1"/>
  <c r="U473" i="1"/>
  <c r="V473" i="1" s="1"/>
  <c r="U474" i="1"/>
  <c r="V474" i="1" s="1"/>
  <c r="U479" i="1"/>
  <c r="V479" i="1" s="1"/>
  <c r="U480" i="1"/>
  <c r="V480" i="1" s="1"/>
  <c r="U487" i="1"/>
  <c r="V487" i="1" s="1"/>
  <c r="U488" i="1"/>
  <c r="V488" i="1" s="1"/>
  <c r="U497" i="1"/>
  <c r="V497" i="1" s="1"/>
  <c r="U498" i="1"/>
  <c r="V498" i="1" s="1"/>
  <c r="AH501" i="1"/>
  <c r="AJ497" i="1" a="1"/>
  <c r="AJ497" i="1" s="1"/>
  <c r="AJ492" i="1" a="1"/>
  <c r="AJ492" i="1" s="1"/>
  <c r="AJ489" i="1" a="1"/>
  <c r="AJ489" i="1" s="1"/>
  <c r="AJ481" i="1" a="1"/>
  <c r="AJ481" i="1" s="1"/>
  <c r="AJ473" i="1" a="1"/>
  <c r="AJ473" i="1" s="1"/>
  <c r="AJ468" i="1" a="1"/>
  <c r="AJ468" i="1" s="1"/>
  <c r="AJ465" i="1" a="1"/>
  <c r="AJ465" i="1" s="1"/>
  <c r="AJ450" i="1" a="1"/>
  <c r="AJ450" i="1" s="1"/>
  <c r="AJ444" i="1" a="1"/>
  <c r="AJ444" i="1" s="1"/>
  <c r="AJ439" i="1" a="1"/>
  <c r="AJ439" i="1" s="1"/>
  <c r="AJ433" i="1" a="1"/>
  <c r="AJ433" i="1" s="1"/>
  <c r="AJ427" i="1" a="1"/>
  <c r="AJ427" i="1" s="1"/>
  <c r="AJ424" i="1" a="1"/>
  <c r="AJ424" i="1" s="1"/>
  <c r="AJ421" i="1" a="1"/>
  <c r="AJ421" i="1" s="1"/>
  <c r="AJ412" i="1" a="1"/>
  <c r="AJ412" i="1" s="1"/>
  <c r="AJ407" i="1" a="1"/>
  <c r="AJ407" i="1" s="1"/>
  <c r="AJ401" i="1" a="1"/>
  <c r="AJ401" i="1" s="1"/>
  <c r="AJ389" i="1" a="1"/>
  <c r="AJ389" i="1" s="1"/>
  <c r="AJ338" i="1" a="1"/>
  <c r="AJ338" i="1" s="1"/>
  <c r="AH382" i="1"/>
  <c r="U385" i="1"/>
  <c r="V385" i="1" s="1"/>
  <c r="U407" i="1"/>
  <c r="V407" i="1" s="1"/>
  <c r="U409" i="1"/>
  <c r="V409" i="1" s="1"/>
  <c r="U415" i="1"/>
  <c r="V415" i="1" s="1"/>
  <c r="U417" i="1"/>
  <c r="V417" i="1" s="1"/>
  <c r="AH419" i="1"/>
  <c r="AH420" i="1"/>
  <c r="AH423" i="1"/>
  <c r="AH424" i="1"/>
  <c r="AH427" i="1"/>
  <c r="AH428" i="1"/>
  <c r="AH431" i="1"/>
  <c r="Z432" i="1"/>
  <c r="U435" i="1"/>
  <c r="V435" i="1" s="1"/>
  <c r="AH439" i="1"/>
  <c r="Z440" i="1"/>
  <c r="U443" i="1"/>
  <c r="V443" i="1" s="1"/>
  <c r="AH447" i="1"/>
  <c r="Z448" i="1"/>
  <c r="AH451" i="1"/>
  <c r="AH455" i="1"/>
  <c r="U459" i="1"/>
  <c r="V459" i="1" s="1"/>
  <c r="U460" i="1"/>
  <c r="V460" i="1" s="1"/>
  <c r="U463" i="1"/>
  <c r="V463" i="1" s="1"/>
  <c r="U464" i="1"/>
  <c r="V464" i="1" s="1"/>
  <c r="AH465" i="1"/>
  <c r="AH469" i="1"/>
  <c r="U471" i="1"/>
  <c r="V471" i="1" s="1"/>
  <c r="U472" i="1"/>
  <c r="V472" i="1" s="1"/>
  <c r="AH473" i="1"/>
  <c r="AH479" i="1"/>
  <c r="U483" i="1"/>
  <c r="V483" i="1" s="1"/>
  <c r="AH487" i="1"/>
  <c r="U491" i="1"/>
  <c r="V491" i="1" s="1"/>
  <c r="U495" i="1"/>
  <c r="V495" i="1" s="1"/>
  <c r="U496" i="1"/>
  <c r="V496" i="1" s="1"/>
  <c r="AH497" i="1"/>
  <c r="AJ499" i="1" a="1"/>
  <c r="AJ499" i="1" s="1"/>
  <c r="AJ491" i="1" a="1"/>
  <c r="AJ491" i="1" s="1"/>
  <c r="AJ483" i="1" a="1"/>
  <c r="AJ483" i="1" s="1"/>
  <c r="AJ475" i="1" a="1"/>
  <c r="AJ475" i="1" s="1"/>
  <c r="AJ467" i="1" a="1"/>
  <c r="AJ467" i="1" s="1"/>
  <c r="AJ458" i="1" a="1"/>
  <c r="AJ458" i="1" s="1"/>
  <c r="AJ456" i="1" a="1"/>
  <c r="AJ456" i="1" s="1"/>
  <c r="AJ447" i="1" a="1"/>
  <c r="AJ447" i="1" s="1"/>
  <c r="AJ441" i="1" a="1"/>
  <c r="AJ441" i="1" s="1"/>
  <c r="AJ435" i="1" a="1"/>
  <c r="AJ435" i="1" s="1"/>
  <c r="AJ432" i="1" a="1"/>
  <c r="AJ432" i="1" s="1"/>
  <c r="AJ429" i="1" a="1"/>
  <c r="AJ429" i="1" s="1"/>
  <c r="AJ420" i="1" a="1"/>
  <c r="AJ420" i="1" s="1"/>
  <c r="AJ415" i="1" a="1"/>
  <c r="AJ415" i="1" s="1"/>
  <c r="AJ409" i="1" a="1"/>
  <c r="AJ409" i="1" s="1"/>
  <c r="AJ406" i="1" a="1"/>
  <c r="AJ406" i="1" s="1"/>
  <c r="AJ374" i="1" a="1"/>
  <c r="AJ374" i="1" s="1"/>
  <c r="AJ371" i="1" a="1"/>
  <c r="AJ371" i="1" s="1"/>
  <c r="AJ355" i="1" a="1"/>
  <c r="AJ355" i="1" s="1"/>
  <c r="AJ349" i="1" a="1"/>
  <c r="AJ349" i="1" s="1"/>
  <c r="AJ320" i="1" a="1"/>
  <c r="AJ320" i="1" s="1"/>
  <c r="AH318" i="1"/>
  <c r="AJ318" i="1" a="1"/>
  <c r="AJ318" i="1" s="1"/>
  <c r="Z333" i="1"/>
  <c r="Z339" i="1"/>
  <c r="Z354" i="1"/>
  <c r="AJ354" i="1" a="1"/>
  <c r="AJ354" i="1" s="1"/>
  <c r="Z365" i="1"/>
  <c r="U374" i="1"/>
  <c r="V374" i="1" s="1"/>
  <c r="U376" i="1"/>
  <c r="V376" i="1" s="1"/>
  <c r="Z382" i="1"/>
  <c r="U391" i="1"/>
  <c r="V391" i="1" s="1"/>
  <c r="U393" i="1"/>
  <c r="V393" i="1" s="1"/>
  <c r="U399" i="1"/>
  <c r="V399" i="1" s="1"/>
  <c r="U401" i="1"/>
  <c r="V401" i="1" s="1"/>
  <c r="AH408" i="1"/>
  <c r="AH414" i="1"/>
  <c r="Z428" i="1"/>
  <c r="U433" i="1"/>
  <c r="V433" i="1" s="1"/>
  <c r="U434" i="1"/>
  <c r="V434" i="1" s="1"/>
  <c r="AH435" i="1"/>
  <c r="U441" i="1"/>
  <c r="V441" i="1" s="1"/>
  <c r="U442" i="1"/>
  <c r="V442" i="1" s="1"/>
  <c r="AH443" i="1"/>
  <c r="U449" i="1"/>
  <c r="V449" i="1" s="1"/>
  <c r="U450" i="1"/>
  <c r="V450" i="1" s="1"/>
  <c r="U453" i="1"/>
  <c r="V453" i="1" s="1"/>
  <c r="Z456" i="1"/>
  <c r="AH459" i="1"/>
  <c r="AH463" i="1"/>
  <c r="U467" i="1"/>
  <c r="V467" i="1" s="1"/>
  <c r="AH471" i="1"/>
  <c r="U475" i="1"/>
  <c r="V475" i="1" s="1"/>
  <c r="Z480" i="1"/>
  <c r="AH483" i="1"/>
  <c r="U485" i="1"/>
  <c r="V485" i="1" s="1"/>
  <c r="Z488" i="1"/>
  <c r="AH491" i="1"/>
  <c r="AH495" i="1"/>
  <c r="U499" i="1"/>
  <c r="V499" i="1" s="1"/>
  <c r="AJ496" i="1" a="1"/>
  <c r="AJ496" i="1" s="1"/>
  <c r="AJ493" i="1" a="1"/>
  <c r="AJ493" i="1" s="1"/>
  <c r="AJ488" i="1" a="1"/>
  <c r="AJ488" i="1" s="1"/>
  <c r="AJ485" i="1" a="1"/>
  <c r="AJ485" i="1" s="1"/>
  <c r="AJ480" i="1" a="1"/>
  <c r="AJ480" i="1" s="1"/>
  <c r="AJ477" i="1" a="1"/>
  <c r="AJ477" i="1" s="1"/>
  <c r="AJ472" i="1" a="1"/>
  <c r="AJ472" i="1" s="1"/>
  <c r="AJ469" i="1" a="1"/>
  <c r="AJ469" i="1" s="1"/>
  <c r="AJ464" i="1" a="1"/>
  <c r="AJ464" i="1" s="1"/>
  <c r="AJ449" i="1" a="1"/>
  <c r="AJ449" i="1" s="1"/>
  <c r="AJ443" i="1" a="1"/>
  <c r="AJ443" i="1" s="1"/>
  <c r="AJ440" i="1" a="1"/>
  <c r="AJ440" i="1" s="1"/>
  <c r="AJ437" i="1" a="1"/>
  <c r="AJ437" i="1" s="1"/>
  <c r="AJ434" i="1" a="1"/>
  <c r="AJ434" i="1" s="1"/>
  <c r="AJ423" i="1" a="1"/>
  <c r="AJ423" i="1" s="1"/>
  <c r="AJ391" i="1" a="1"/>
  <c r="AJ391" i="1" s="1"/>
  <c r="AJ385" i="1" a="1"/>
  <c r="AJ385" i="1" s="1"/>
  <c r="AJ379" i="1" a="1"/>
  <c r="AJ379" i="1" s="1"/>
  <c r="AJ376" i="1" a="1"/>
  <c r="AJ376" i="1" s="1"/>
  <c r="AJ370" i="1" a="1"/>
  <c r="AJ370" i="1" s="1"/>
  <c r="AH192" i="1"/>
  <c r="Z192" i="1"/>
  <c r="AH200" i="1"/>
  <c r="Z200" i="1"/>
  <c r="AH212" i="1"/>
  <c r="Z212" i="1"/>
  <c r="AH228" i="1"/>
  <c r="Z228" i="1"/>
  <c r="AH397" i="1"/>
  <c r="Z397" i="1"/>
  <c r="U397" i="1"/>
  <c r="V397" i="1" s="1"/>
  <c r="U4" i="1"/>
  <c r="V4" i="1" s="1"/>
  <c r="U20" i="1"/>
  <c r="V20" i="1" s="1"/>
  <c r="U44" i="1"/>
  <c r="V44" i="1" s="1"/>
  <c r="U52" i="1"/>
  <c r="V52" i="1" s="1"/>
  <c r="U60" i="1"/>
  <c r="V60" i="1" s="1"/>
  <c r="U76" i="1"/>
  <c r="V76" i="1" s="1"/>
  <c r="U84" i="1"/>
  <c r="V84" i="1" s="1"/>
  <c r="U100" i="1"/>
  <c r="V100" i="1" s="1"/>
  <c r="U132" i="1"/>
  <c r="V132" i="1" s="1"/>
  <c r="U148" i="1"/>
  <c r="V148" i="1" s="1"/>
  <c r="U156" i="1"/>
  <c r="V156" i="1" s="1"/>
  <c r="U164" i="1"/>
  <c r="V164" i="1" s="1"/>
  <c r="U180" i="1"/>
  <c r="V180" i="1" s="1"/>
  <c r="U200" i="1"/>
  <c r="V200" i="1" s="1"/>
  <c r="U228" i="1"/>
  <c r="V228" i="1" s="1"/>
  <c r="AH234" i="1"/>
  <c r="U234" i="1"/>
  <c r="V234" i="1" s="1"/>
  <c r="AH250" i="1"/>
  <c r="U250" i="1"/>
  <c r="V250" i="1" s="1"/>
  <c r="U18" i="1"/>
  <c r="V18" i="1" s="1"/>
  <c r="U26" i="1"/>
  <c r="V26" i="1" s="1"/>
  <c r="U34" i="1"/>
  <c r="V34" i="1" s="1"/>
  <c r="U42" i="1"/>
  <c r="V42" i="1" s="1"/>
  <c r="U50" i="1"/>
  <c r="V50" i="1" s="1"/>
  <c r="U58" i="1"/>
  <c r="V58" i="1" s="1"/>
  <c r="U66" i="1"/>
  <c r="V66" i="1" s="1"/>
  <c r="U74" i="1"/>
  <c r="V74" i="1" s="1"/>
  <c r="U82" i="1"/>
  <c r="V82" i="1" s="1"/>
  <c r="U90" i="1"/>
  <c r="V90" i="1" s="1"/>
  <c r="U98" i="1"/>
  <c r="V98" i="1" s="1"/>
  <c r="U106" i="1"/>
  <c r="V106" i="1" s="1"/>
  <c r="U114" i="1"/>
  <c r="V114" i="1" s="1"/>
  <c r="U122" i="1"/>
  <c r="V122" i="1" s="1"/>
  <c r="U130" i="1"/>
  <c r="V130" i="1" s="1"/>
  <c r="U138" i="1"/>
  <c r="V138" i="1" s="1"/>
  <c r="U146" i="1"/>
  <c r="V146" i="1" s="1"/>
  <c r="U154" i="1"/>
  <c r="V154" i="1" s="1"/>
  <c r="U162" i="1"/>
  <c r="V162" i="1" s="1"/>
  <c r="U170" i="1"/>
  <c r="V170" i="1" s="1"/>
  <c r="U178" i="1"/>
  <c r="V178" i="1" s="1"/>
  <c r="Z184" i="1"/>
  <c r="AH184" i="1"/>
  <c r="AH190" i="1"/>
  <c r="Z190" i="1"/>
  <c r="AH194" i="1"/>
  <c r="Z194" i="1"/>
  <c r="AH198" i="1"/>
  <c r="Z198" i="1"/>
  <c r="AH202" i="1"/>
  <c r="Z202" i="1"/>
  <c r="AH220" i="1"/>
  <c r="Z220" i="1"/>
  <c r="AH236" i="1"/>
  <c r="Z236" i="1"/>
  <c r="AH252" i="1"/>
  <c r="Z252" i="1"/>
  <c r="AH268" i="1"/>
  <c r="Z268" i="1"/>
  <c r="U268" i="1"/>
  <c r="V268" i="1" s="1"/>
  <c r="AH272" i="1"/>
  <c r="Z272" i="1"/>
  <c r="U272" i="1"/>
  <c r="V272" i="1" s="1"/>
  <c r="AH298" i="1"/>
  <c r="U298" i="1"/>
  <c r="V298" i="1" s="1"/>
  <c r="Z298" i="1"/>
  <c r="U313" i="1"/>
  <c r="V313" i="1" s="1"/>
  <c r="AH313" i="1"/>
  <c r="Z313" i="1"/>
  <c r="AH196" i="1"/>
  <c r="Z196" i="1"/>
  <c r="AH244" i="1"/>
  <c r="Z244" i="1"/>
  <c r="AH260" i="1"/>
  <c r="Z260" i="1"/>
  <c r="U295" i="1"/>
  <c r="V295" i="1" s="1"/>
  <c r="Z295" i="1"/>
  <c r="AH295" i="1"/>
  <c r="U12" i="1"/>
  <c r="V12" i="1" s="1"/>
  <c r="U28" i="1"/>
  <c r="V28" i="1" s="1"/>
  <c r="U68" i="1"/>
  <c r="V68" i="1" s="1"/>
  <c r="U92" i="1"/>
  <c r="V92" i="1" s="1"/>
  <c r="U108" i="1"/>
  <c r="V108" i="1" s="1"/>
  <c r="U116" i="1"/>
  <c r="V116" i="1" s="1"/>
  <c r="U124" i="1"/>
  <c r="V124" i="1" s="1"/>
  <c r="U140" i="1"/>
  <c r="V140" i="1" s="1"/>
  <c r="U172" i="1"/>
  <c r="V172" i="1" s="1"/>
  <c r="U192" i="1"/>
  <c r="V192" i="1" s="1"/>
  <c r="U196" i="1"/>
  <c r="V196" i="1" s="1"/>
  <c r="U212" i="1"/>
  <c r="V212" i="1" s="1"/>
  <c r="AH218" i="1"/>
  <c r="U218" i="1"/>
  <c r="V218" i="1" s="1"/>
  <c r="U244" i="1"/>
  <c r="V244" i="1" s="1"/>
  <c r="U260" i="1"/>
  <c r="V260" i="1" s="1"/>
  <c r="AH266" i="1"/>
  <c r="U266" i="1"/>
  <c r="V266" i="1" s="1"/>
  <c r="AH280" i="1"/>
  <c r="Z280" i="1"/>
  <c r="U280" i="1"/>
  <c r="V280" i="1" s="1"/>
  <c r="AH312" i="1"/>
  <c r="Z312" i="1"/>
  <c r="U312" i="1"/>
  <c r="V312" i="1" s="1"/>
  <c r="U2" i="1"/>
  <c r="U10" i="1"/>
  <c r="V10" i="1" s="1"/>
  <c r="Z4" i="1"/>
  <c r="U8" i="1"/>
  <c r="V8" i="1" s="1"/>
  <c r="Z12" i="1"/>
  <c r="U16" i="1"/>
  <c r="V16" i="1" s="1"/>
  <c r="Z20" i="1"/>
  <c r="U24" i="1"/>
  <c r="V24" i="1" s="1"/>
  <c r="Z28" i="1"/>
  <c r="U32" i="1"/>
  <c r="V32" i="1" s="1"/>
  <c r="U36" i="1"/>
  <c r="V36" i="1" s="1"/>
  <c r="U38" i="1"/>
  <c r="V38" i="1" s="1"/>
  <c r="U40" i="1"/>
  <c r="V40" i="1" s="1"/>
  <c r="Z44" i="1"/>
  <c r="U48" i="1"/>
  <c r="V48" i="1" s="1"/>
  <c r="Z52" i="1"/>
  <c r="U56" i="1"/>
  <c r="V56" i="1" s="1"/>
  <c r="Z60" i="1"/>
  <c r="U64" i="1"/>
  <c r="V64" i="1" s="1"/>
  <c r="Z68" i="1"/>
  <c r="U72" i="1"/>
  <c r="V72" i="1" s="1"/>
  <c r="Z76" i="1"/>
  <c r="U80" i="1"/>
  <c r="V80" i="1" s="1"/>
  <c r="Z84" i="1"/>
  <c r="U88" i="1"/>
  <c r="V88" i="1" s="1"/>
  <c r="Z92" i="1"/>
  <c r="U96" i="1"/>
  <c r="V96" i="1" s="1"/>
  <c r="Z100" i="1"/>
  <c r="U104" i="1"/>
  <c r="V104" i="1" s="1"/>
  <c r="Z108" i="1"/>
  <c r="U112" i="1"/>
  <c r="V112" i="1" s="1"/>
  <c r="Z116" i="1"/>
  <c r="U120" i="1"/>
  <c r="V120" i="1" s="1"/>
  <c r="Z124" i="1"/>
  <c r="U128" i="1"/>
  <c r="V128" i="1" s="1"/>
  <c r="Z132" i="1"/>
  <c r="U136" i="1"/>
  <c r="V136" i="1" s="1"/>
  <c r="Z140" i="1"/>
  <c r="U144" i="1"/>
  <c r="V144" i="1" s="1"/>
  <c r="Z148" i="1"/>
  <c r="U152" i="1"/>
  <c r="V152" i="1" s="1"/>
  <c r="Z156" i="1"/>
  <c r="U160" i="1"/>
  <c r="V160" i="1" s="1"/>
  <c r="Z164" i="1"/>
  <c r="U168" i="1"/>
  <c r="V168" i="1" s="1"/>
  <c r="Z172" i="1"/>
  <c r="U176" i="1"/>
  <c r="V176" i="1" s="1"/>
  <c r="Z180" i="1"/>
  <c r="U184" i="1"/>
  <c r="V184" i="1" s="1"/>
  <c r="U190" i="1"/>
  <c r="V190" i="1" s="1"/>
  <c r="U194" i="1"/>
  <c r="V194" i="1" s="1"/>
  <c r="U198" i="1"/>
  <c r="V198" i="1" s="1"/>
  <c r="U202" i="1"/>
  <c r="V202" i="1" s="1"/>
  <c r="AH210" i="1"/>
  <c r="U210" i="1"/>
  <c r="V210" i="1" s="1"/>
  <c r="Z218" i="1"/>
  <c r="U220" i="1"/>
  <c r="V220" i="1" s="1"/>
  <c r="AH226" i="1"/>
  <c r="U226" i="1"/>
  <c r="V226" i="1" s="1"/>
  <c r="Z234" i="1"/>
  <c r="U236" i="1"/>
  <c r="V236" i="1" s="1"/>
  <c r="AH242" i="1"/>
  <c r="U242" i="1"/>
  <c r="V242" i="1" s="1"/>
  <c r="Z250" i="1"/>
  <c r="U252" i="1"/>
  <c r="V252" i="1" s="1"/>
  <c r="AH258" i="1"/>
  <c r="U258" i="1"/>
  <c r="V258" i="1" s="1"/>
  <c r="Z266" i="1"/>
  <c r="U287" i="1"/>
  <c r="V287" i="1" s="1"/>
  <c r="Z287" i="1"/>
  <c r="AH287" i="1"/>
  <c r="AH290" i="1"/>
  <c r="U290" i="1"/>
  <c r="V290" i="1" s="1"/>
  <c r="AH411" i="1"/>
  <c r="U411" i="1"/>
  <c r="V411" i="1" s="1"/>
  <c r="Z411" i="1"/>
  <c r="AH381" i="1"/>
  <c r="U381" i="1"/>
  <c r="V381" i="1" s="1"/>
  <c r="Z381" i="1"/>
  <c r="Z3" i="1"/>
  <c r="Z5" i="1"/>
  <c r="Z7" i="1"/>
  <c r="Z9" i="1"/>
  <c r="Z11" i="1"/>
  <c r="Z13" i="1"/>
  <c r="Z15" i="1"/>
  <c r="Z17" i="1"/>
  <c r="Z19" i="1"/>
  <c r="Z21" i="1"/>
  <c r="Z23" i="1"/>
  <c r="Z25" i="1"/>
  <c r="Z27" i="1"/>
  <c r="Z29" i="1"/>
  <c r="Z31" i="1"/>
  <c r="Z33" i="1"/>
  <c r="Z37" i="1"/>
  <c r="Z39" i="1"/>
  <c r="Z41" i="1"/>
  <c r="Z43" i="1"/>
  <c r="Z45" i="1"/>
  <c r="Z47" i="1"/>
  <c r="Z49" i="1"/>
  <c r="Z51" i="1"/>
  <c r="Z53" i="1"/>
  <c r="Z55" i="1"/>
  <c r="Z57" i="1"/>
  <c r="Z59" i="1"/>
  <c r="Z61" i="1"/>
  <c r="Z63" i="1"/>
  <c r="Z65" i="1"/>
  <c r="Z67" i="1"/>
  <c r="Z69" i="1"/>
  <c r="Z71" i="1"/>
  <c r="Z73" i="1"/>
  <c r="Z75" i="1"/>
  <c r="Z77" i="1"/>
  <c r="Z79" i="1"/>
  <c r="Z81" i="1"/>
  <c r="Z83" i="1"/>
  <c r="Z85" i="1"/>
  <c r="Z87" i="1"/>
  <c r="Z89" i="1"/>
  <c r="Z91" i="1"/>
  <c r="Z93" i="1"/>
  <c r="Z95" i="1"/>
  <c r="Z97" i="1"/>
  <c r="Z99" i="1"/>
  <c r="Z101" i="1"/>
  <c r="Z103" i="1"/>
  <c r="Z105" i="1"/>
  <c r="Z107" i="1"/>
  <c r="Z109" i="1"/>
  <c r="Z111" i="1"/>
  <c r="Z113" i="1"/>
  <c r="Z115" i="1"/>
  <c r="Z117" i="1"/>
  <c r="Z119" i="1"/>
  <c r="Z121" i="1"/>
  <c r="Z123" i="1"/>
  <c r="Z125" i="1"/>
  <c r="Z127" i="1"/>
  <c r="Z129" i="1"/>
  <c r="Z131" i="1"/>
  <c r="Z133" i="1"/>
  <c r="Z135" i="1"/>
  <c r="Z137" i="1"/>
  <c r="Z139" i="1"/>
  <c r="Z141" i="1"/>
  <c r="Z143" i="1"/>
  <c r="Z145" i="1"/>
  <c r="Z147" i="1"/>
  <c r="Z149" i="1"/>
  <c r="Z151" i="1"/>
  <c r="Z153" i="1"/>
  <c r="Z155" i="1"/>
  <c r="Z157" i="1"/>
  <c r="Z159" i="1"/>
  <c r="Z161" i="1"/>
  <c r="Z163" i="1"/>
  <c r="Z165" i="1"/>
  <c r="Z167" i="1"/>
  <c r="Z169" i="1"/>
  <c r="Z171" i="1"/>
  <c r="Z173" i="1"/>
  <c r="Z175" i="1"/>
  <c r="Z177" i="1"/>
  <c r="Z179" i="1"/>
  <c r="Z181" i="1"/>
  <c r="Z183" i="1"/>
  <c r="U274" i="1"/>
  <c r="V274" i="1" s="1"/>
  <c r="U282" i="1"/>
  <c r="V282" i="1" s="1"/>
  <c r="U297" i="1"/>
  <c r="V297" i="1" s="1"/>
  <c r="AH297" i="1"/>
  <c r="U304" i="1"/>
  <c r="V304" i="1" s="1"/>
  <c r="U311" i="1"/>
  <c r="V311" i="1" s="1"/>
  <c r="Z311" i="1"/>
  <c r="AH311" i="1"/>
  <c r="AH314" i="1"/>
  <c r="U314" i="1"/>
  <c r="V314" i="1" s="1"/>
  <c r="U327" i="1"/>
  <c r="V327" i="1" s="1"/>
  <c r="Z327" i="1"/>
  <c r="AH327" i="1"/>
  <c r="U329" i="1"/>
  <c r="V329" i="1" s="1"/>
  <c r="Z329" i="1"/>
  <c r="AH329" i="1"/>
  <c r="U335" i="1"/>
  <c r="V335" i="1" s="1"/>
  <c r="Z335" i="1"/>
  <c r="AH335" i="1"/>
  <c r="U337" i="1"/>
  <c r="V337" i="1" s="1"/>
  <c r="Z337" i="1"/>
  <c r="AH337" i="1"/>
  <c r="U343" i="1"/>
  <c r="V343" i="1" s="1"/>
  <c r="Z343" i="1"/>
  <c r="AH343" i="1"/>
  <c r="U345" i="1"/>
  <c r="V345" i="1" s="1"/>
  <c r="Z345" i="1"/>
  <c r="AH345" i="1"/>
  <c r="U351" i="1"/>
  <c r="V351" i="1" s="1"/>
  <c r="Z351" i="1"/>
  <c r="AH351" i="1"/>
  <c r="U353" i="1"/>
  <c r="V353" i="1" s="1"/>
  <c r="Z353" i="1"/>
  <c r="AH353" i="1"/>
  <c r="U359" i="1"/>
  <c r="V359" i="1" s="1"/>
  <c r="Z359" i="1"/>
  <c r="AH359" i="1"/>
  <c r="U361" i="1"/>
  <c r="V361" i="1" s="1"/>
  <c r="Z361" i="1"/>
  <c r="AH361" i="1"/>
  <c r="U367" i="1"/>
  <c r="V367" i="1" s="1"/>
  <c r="Z367" i="1"/>
  <c r="AH367" i="1"/>
  <c r="U369" i="1"/>
  <c r="V369" i="1" s="1"/>
  <c r="Z369" i="1"/>
  <c r="AH369" i="1"/>
  <c r="U375" i="1"/>
  <c r="V375" i="1" s="1"/>
  <c r="Z375" i="1"/>
  <c r="AH375" i="1"/>
  <c r="U377" i="1"/>
  <c r="V377" i="1" s="1"/>
  <c r="Z377" i="1"/>
  <c r="AH377" i="1"/>
  <c r="AH405" i="1"/>
  <c r="Z405" i="1"/>
  <c r="U405" i="1"/>
  <c r="V405" i="1" s="1"/>
  <c r="AH422" i="1"/>
  <c r="U422" i="1"/>
  <c r="V422" i="1" s="1"/>
  <c r="Z422" i="1"/>
  <c r="AH430" i="1"/>
  <c r="U430" i="1"/>
  <c r="V430" i="1" s="1"/>
  <c r="Z430" i="1"/>
  <c r="AH446" i="1"/>
  <c r="U446" i="1"/>
  <c r="V446" i="1" s="1"/>
  <c r="Z446" i="1"/>
  <c r="AH476" i="1"/>
  <c r="Z476" i="1"/>
  <c r="U476" i="1"/>
  <c r="V476" i="1" s="1"/>
  <c r="AH484" i="1"/>
  <c r="Z484" i="1"/>
  <c r="U484" i="1"/>
  <c r="V484" i="1" s="1"/>
  <c r="U305" i="1"/>
  <c r="V305" i="1" s="1"/>
  <c r="AH305" i="1"/>
  <c r="U319" i="1"/>
  <c r="V319" i="1" s="1"/>
  <c r="Z319" i="1"/>
  <c r="AH319" i="1"/>
  <c r="AH322" i="1"/>
  <c r="U322" i="1"/>
  <c r="V322" i="1" s="1"/>
  <c r="U3" i="1"/>
  <c r="V3" i="1" s="1"/>
  <c r="U5" i="1"/>
  <c r="V5" i="1" s="1"/>
  <c r="U7" i="1"/>
  <c r="V7" i="1" s="1"/>
  <c r="U9" i="1"/>
  <c r="V9" i="1" s="1"/>
  <c r="U11" i="1"/>
  <c r="V11" i="1" s="1"/>
  <c r="U13" i="1"/>
  <c r="V13" i="1" s="1"/>
  <c r="U15" i="1"/>
  <c r="V15" i="1" s="1"/>
  <c r="U17" i="1"/>
  <c r="V17" i="1" s="1"/>
  <c r="U19" i="1"/>
  <c r="V19" i="1" s="1"/>
  <c r="U21" i="1"/>
  <c r="V21" i="1" s="1"/>
  <c r="U23" i="1"/>
  <c r="V23" i="1" s="1"/>
  <c r="U25" i="1"/>
  <c r="V25" i="1" s="1"/>
  <c r="U27" i="1"/>
  <c r="V27" i="1" s="1"/>
  <c r="U29" i="1"/>
  <c r="V29" i="1" s="1"/>
  <c r="U31" i="1"/>
  <c r="V31" i="1" s="1"/>
  <c r="U33" i="1"/>
  <c r="V33" i="1" s="1"/>
  <c r="U41" i="1"/>
  <c r="V41" i="1" s="1"/>
  <c r="U43" i="1"/>
  <c r="V43" i="1" s="1"/>
  <c r="U45" i="1"/>
  <c r="V45" i="1" s="1"/>
  <c r="U47" i="1"/>
  <c r="V47" i="1" s="1"/>
  <c r="U49" i="1"/>
  <c r="V49" i="1" s="1"/>
  <c r="U51" i="1"/>
  <c r="V51" i="1" s="1"/>
  <c r="U53" i="1"/>
  <c r="V53" i="1" s="1"/>
  <c r="U55" i="1"/>
  <c r="V55" i="1" s="1"/>
  <c r="U57" i="1"/>
  <c r="V57" i="1" s="1"/>
  <c r="U59" i="1"/>
  <c r="V59" i="1" s="1"/>
  <c r="U61" i="1"/>
  <c r="V61" i="1" s="1"/>
  <c r="U63" i="1"/>
  <c r="V63" i="1" s="1"/>
  <c r="U65" i="1"/>
  <c r="V65" i="1" s="1"/>
  <c r="U67" i="1"/>
  <c r="V67" i="1" s="1"/>
  <c r="U69" i="1"/>
  <c r="V69" i="1" s="1"/>
  <c r="U71" i="1"/>
  <c r="V71" i="1" s="1"/>
  <c r="U73" i="1"/>
  <c r="V73" i="1" s="1"/>
  <c r="U75" i="1"/>
  <c r="V75" i="1" s="1"/>
  <c r="U77" i="1"/>
  <c r="V77" i="1" s="1"/>
  <c r="U79" i="1"/>
  <c r="V79" i="1" s="1"/>
  <c r="U81" i="1"/>
  <c r="V81" i="1" s="1"/>
  <c r="U83" i="1"/>
  <c r="V83" i="1" s="1"/>
  <c r="U85" i="1"/>
  <c r="V85" i="1" s="1"/>
  <c r="U87" i="1"/>
  <c r="V87" i="1" s="1"/>
  <c r="U89" i="1"/>
  <c r="V89" i="1" s="1"/>
  <c r="U91" i="1"/>
  <c r="V91" i="1" s="1"/>
  <c r="U93" i="1"/>
  <c r="V93" i="1" s="1"/>
  <c r="U95" i="1"/>
  <c r="V95" i="1" s="1"/>
  <c r="U97" i="1"/>
  <c r="V97" i="1" s="1"/>
  <c r="U99" i="1"/>
  <c r="V99" i="1" s="1"/>
  <c r="U101" i="1"/>
  <c r="V101" i="1" s="1"/>
  <c r="U103" i="1"/>
  <c r="V103" i="1" s="1"/>
  <c r="U105" i="1"/>
  <c r="V105" i="1" s="1"/>
  <c r="U107" i="1"/>
  <c r="V107" i="1" s="1"/>
  <c r="U109" i="1"/>
  <c r="V109" i="1" s="1"/>
  <c r="U111" i="1"/>
  <c r="V111" i="1" s="1"/>
  <c r="U113" i="1"/>
  <c r="V113" i="1" s="1"/>
  <c r="U115" i="1"/>
  <c r="V115" i="1" s="1"/>
  <c r="U117" i="1"/>
  <c r="V117" i="1" s="1"/>
  <c r="U119" i="1"/>
  <c r="V119" i="1" s="1"/>
  <c r="U121" i="1"/>
  <c r="V121" i="1" s="1"/>
  <c r="U123" i="1"/>
  <c r="V123" i="1" s="1"/>
  <c r="U125" i="1"/>
  <c r="V125" i="1" s="1"/>
  <c r="U127" i="1"/>
  <c r="V127" i="1" s="1"/>
  <c r="U129" i="1"/>
  <c r="V129" i="1" s="1"/>
  <c r="U131" i="1"/>
  <c r="V131" i="1" s="1"/>
  <c r="U133" i="1"/>
  <c r="V133" i="1" s="1"/>
  <c r="U135" i="1"/>
  <c r="V135" i="1" s="1"/>
  <c r="U137" i="1"/>
  <c r="V137" i="1" s="1"/>
  <c r="U139" i="1"/>
  <c r="V139" i="1" s="1"/>
  <c r="U141" i="1"/>
  <c r="V141" i="1" s="1"/>
  <c r="U143" i="1"/>
  <c r="V143" i="1" s="1"/>
  <c r="U145" i="1"/>
  <c r="V145" i="1" s="1"/>
  <c r="U147" i="1"/>
  <c r="V147" i="1" s="1"/>
  <c r="U149" i="1"/>
  <c r="V149" i="1" s="1"/>
  <c r="U151" i="1"/>
  <c r="V151" i="1" s="1"/>
  <c r="U153" i="1"/>
  <c r="V153" i="1" s="1"/>
  <c r="U155" i="1"/>
  <c r="V155" i="1" s="1"/>
  <c r="U157" i="1"/>
  <c r="V157" i="1" s="1"/>
  <c r="U159" i="1"/>
  <c r="V159" i="1" s="1"/>
  <c r="U161" i="1"/>
  <c r="V161" i="1" s="1"/>
  <c r="U163" i="1"/>
  <c r="V163" i="1" s="1"/>
  <c r="U165" i="1"/>
  <c r="V165" i="1" s="1"/>
  <c r="U167" i="1"/>
  <c r="V167" i="1" s="1"/>
  <c r="U169" i="1"/>
  <c r="V169" i="1" s="1"/>
  <c r="U171" i="1"/>
  <c r="V171" i="1" s="1"/>
  <c r="U173" i="1"/>
  <c r="V173" i="1" s="1"/>
  <c r="U175" i="1"/>
  <c r="V175" i="1" s="1"/>
  <c r="U177" i="1"/>
  <c r="V177" i="1" s="1"/>
  <c r="U179" i="1"/>
  <c r="V179" i="1" s="1"/>
  <c r="U181" i="1"/>
  <c r="V181" i="1" s="1"/>
  <c r="U183" i="1"/>
  <c r="V183" i="1" s="1"/>
  <c r="U186" i="1"/>
  <c r="V186" i="1" s="1"/>
  <c r="U208" i="1"/>
  <c r="V208" i="1" s="1"/>
  <c r="U216" i="1"/>
  <c r="V216" i="1" s="1"/>
  <c r="U224" i="1"/>
  <c r="V224" i="1" s="1"/>
  <c r="U232" i="1"/>
  <c r="V232" i="1" s="1"/>
  <c r="U240" i="1"/>
  <c r="V240" i="1" s="1"/>
  <c r="U248" i="1"/>
  <c r="V248" i="1" s="1"/>
  <c r="U256" i="1"/>
  <c r="V256" i="1" s="1"/>
  <c r="U264" i="1"/>
  <c r="V264" i="1" s="1"/>
  <c r="U276" i="1"/>
  <c r="V276" i="1" s="1"/>
  <c r="U289" i="1"/>
  <c r="V289" i="1" s="1"/>
  <c r="AH289" i="1"/>
  <c r="Z290" i="1"/>
  <c r="U296" i="1"/>
  <c r="V296" i="1" s="1"/>
  <c r="U303" i="1"/>
  <c r="V303" i="1" s="1"/>
  <c r="Z303" i="1"/>
  <c r="AH303" i="1"/>
  <c r="Z305" i="1"/>
  <c r="AH306" i="1"/>
  <c r="U306" i="1"/>
  <c r="V306" i="1" s="1"/>
  <c r="U321" i="1"/>
  <c r="V321" i="1" s="1"/>
  <c r="AH321" i="1"/>
  <c r="Z322" i="1"/>
  <c r="AH403" i="1"/>
  <c r="U403" i="1"/>
  <c r="V403" i="1" s="1"/>
  <c r="Z403" i="1"/>
  <c r="Z191" i="1"/>
  <c r="Z193" i="1"/>
  <c r="Z195" i="1"/>
  <c r="Z197" i="1"/>
  <c r="Z199" i="1"/>
  <c r="Z201" i="1"/>
  <c r="Z203" i="1"/>
  <c r="Z205" i="1"/>
  <c r="Z207" i="1"/>
  <c r="Z209" i="1"/>
  <c r="Z211" i="1"/>
  <c r="Z213" i="1"/>
  <c r="Z215" i="1"/>
  <c r="Z217" i="1"/>
  <c r="Z219" i="1"/>
  <c r="Z221" i="1"/>
  <c r="Z223" i="1"/>
  <c r="Z225" i="1"/>
  <c r="Z227" i="1"/>
  <c r="Z229" i="1"/>
  <c r="Z231" i="1"/>
  <c r="Z233" i="1"/>
  <c r="Z235" i="1"/>
  <c r="Z237" i="1"/>
  <c r="Z239" i="1"/>
  <c r="Z241" i="1"/>
  <c r="Z243" i="1"/>
  <c r="Z245" i="1"/>
  <c r="Z247" i="1"/>
  <c r="Z249" i="1"/>
  <c r="Z251" i="1"/>
  <c r="Z253" i="1"/>
  <c r="Z255" i="1"/>
  <c r="Z257" i="1"/>
  <c r="Z259" i="1"/>
  <c r="Z261" i="1"/>
  <c r="Z263" i="1"/>
  <c r="Z265" i="1"/>
  <c r="Z267" i="1"/>
  <c r="Z269" i="1"/>
  <c r="U283" i="1"/>
  <c r="V283" i="1" s="1"/>
  <c r="Z284" i="1"/>
  <c r="U291" i="1"/>
  <c r="V291" i="1" s="1"/>
  <c r="Z292" i="1"/>
  <c r="U299" i="1"/>
  <c r="V299" i="1" s="1"/>
  <c r="Z300" i="1"/>
  <c r="U307" i="1"/>
  <c r="V307" i="1" s="1"/>
  <c r="Z308" i="1"/>
  <c r="U315" i="1"/>
  <c r="V315" i="1" s="1"/>
  <c r="Z316" i="1"/>
  <c r="U323" i="1"/>
  <c r="V323" i="1" s="1"/>
  <c r="U325" i="1"/>
  <c r="V325" i="1" s="1"/>
  <c r="U333" i="1"/>
  <c r="V333" i="1" s="1"/>
  <c r="U341" i="1"/>
  <c r="V341" i="1" s="1"/>
  <c r="U349" i="1"/>
  <c r="V349" i="1" s="1"/>
  <c r="U357" i="1"/>
  <c r="V357" i="1" s="1"/>
  <c r="U365" i="1"/>
  <c r="V365" i="1" s="1"/>
  <c r="U373" i="1"/>
  <c r="V373" i="1" s="1"/>
  <c r="U380" i="1"/>
  <c r="V380" i="1" s="1"/>
  <c r="AH380" i="1"/>
  <c r="AH387" i="1"/>
  <c r="U387" i="1"/>
  <c r="V387" i="1" s="1"/>
  <c r="AH413" i="1"/>
  <c r="Z413" i="1"/>
  <c r="AH452" i="1"/>
  <c r="Z452" i="1"/>
  <c r="U203" i="1"/>
  <c r="V203" i="1" s="1"/>
  <c r="U207" i="1"/>
  <c r="V207" i="1" s="1"/>
  <c r="U209" i="1"/>
  <c r="V209" i="1" s="1"/>
  <c r="U211" i="1"/>
  <c r="V211" i="1" s="1"/>
  <c r="U213" i="1"/>
  <c r="V213" i="1" s="1"/>
  <c r="U215" i="1"/>
  <c r="V215" i="1" s="1"/>
  <c r="U217" i="1"/>
  <c r="V217" i="1" s="1"/>
  <c r="U219" i="1"/>
  <c r="V219" i="1" s="1"/>
  <c r="U221" i="1"/>
  <c r="V221" i="1" s="1"/>
  <c r="U223" i="1"/>
  <c r="V223" i="1" s="1"/>
  <c r="U225" i="1"/>
  <c r="V225" i="1" s="1"/>
  <c r="U227" i="1"/>
  <c r="V227" i="1" s="1"/>
  <c r="U229" i="1"/>
  <c r="V229" i="1" s="1"/>
  <c r="U231" i="1"/>
  <c r="V231" i="1" s="1"/>
  <c r="U233" i="1"/>
  <c r="V233" i="1" s="1"/>
  <c r="U235" i="1"/>
  <c r="V235" i="1" s="1"/>
  <c r="U237" i="1"/>
  <c r="V237" i="1" s="1"/>
  <c r="U239" i="1"/>
  <c r="V239" i="1" s="1"/>
  <c r="U241" i="1"/>
  <c r="V241" i="1" s="1"/>
  <c r="U243" i="1"/>
  <c r="V243" i="1" s="1"/>
  <c r="U245" i="1"/>
  <c r="V245" i="1" s="1"/>
  <c r="U247" i="1"/>
  <c r="V247" i="1" s="1"/>
  <c r="U249" i="1"/>
  <c r="V249" i="1" s="1"/>
  <c r="U251" i="1"/>
  <c r="V251" i="1" s="1"/>
  <c r="U253" i="1"/>
  <c r="V253" i="1" s="1"/>
  <c r="U255" i="1"/>
  <c r="V255" i="1" s="1"/>
  <c r="U257" i="1"/>
  <c r="V257" i="1" s="1"/>
  <c r="U259" i="1"/>
  <c r="V259" i="1" s="1"/>
  <c r="U261" i="1"/>
  <c r="V261" i="1" s="1"/>
  <c r="U263" i="1"/>
  <c r="V263" i="1" s="1"/>
  <c r="U265" i="1"/>
  <c r="V265" i="1" s="1"/>
  <c r="U267" i="1"/>
  <c r="V267" i="1" s="1"/>
  <c r="U269" i="1"/>
  <c r="V269" i="1" s="1"/>
  <c r="U285" i="1"/>
  <c r="V285" i="1" s="1"/>
  <c r="Z286" i="1"/>
  <c r="U293" i="1"/>
  <c r="V293" i="1" s="1"/>
  <c r="Z294" i="1"/>
  <c r="U301" i="1"/>
  <c r="V301" i="1" s="1"/>
  <c r="Z302" i="1"/>
  <c r="U309" i="1"/>
  <c r="V309" i="1" s="1"/>
  <c r="Z310" i="1"/>
  <c r="U317" i="1"/>
  <c r="V317" i="1" s="1"/>
  <c r="Z318" i="1"/>
  <c r="U331" i="1"/>
  <c r="V331" i="1" s="1"/>
  <c r="U339" i="1"/>
  <c r="V339" i="1" s="1"/>
  <c r="U347" i="1"/>
  <c r="V347" i="1" s="1"/>
  <c r="U355" i="1"/>
  <c r="V355" i="1" s="1"/>
  <c r="U363" i="1"/>
  <c r="V363" i="1" s="1"/>
  <c r="U371" i="1"/>
  <c r="V371" i="1" s="1"/>
  <c r="AH389" i="1"/>
  <c r="Z389" i="1"/>
  <c r="AH395" i="1"/>
  <c r="U395" i="1"/>
  <c r="V395" i="1" s="1"/>
  <c r="AH418" i="1"/>
  <c r="U418" i="1"/>
  <c r="V418" i="1" s="1"/>
  <c r="Z418" i="1"/>
  <c r="AH426" i="1"/>
  <c r="U426" i="1"/>
  <c r="V426" i="1" s="1"/>
  <c r="Z426" i="1"/>
  <c r="AH438" i="1"/>
  <c r="U438" i="1"/>
  <c r="V438" i="1" s="1"/>
  <c r="Z438" i="1"/>
  <c r="AH470" i="1"/>
  <c r="U470" i="1"/>
  <c r="V470" i="1" s="1"/>
  <c r="Z470" i="1"/>
  <c r="AH478" i="1"/>
  <c r="U478" i="1"/>
  <c r="V478" i="1" s="1"/>
  <c r="Z478" i="1"/>
  <c r="AH324" i="1"/>
  <c r="AH326" i="1"/>
  <c r="AH328" i="1"/>
  <c r="AH330" i="1"/>
  <c r="AH332" i="1"/>
  <c r="AH334" i="1"/>
  <c r="AH336" i="1"/>
  <c r="AH338" i="1"/>
  <c r="AH340" i="1"/>
  <c r="AH342" i="1"/>
  <c r="AH344" i="1"/>
  <c r="AH346" i="1"/>
  <c r="AH348" i="1"/>
  <c r="AH350" i="1"/>
  <c r="AH352" i="1"/>
  <c r="AH354" i="1"/>
  <c r="AH356" i="1"/>
  <c r="AH358" i="1"/>
  <c r="AH360" i="1"/>
  <c r="AH362" i="1"/>
  <c r="AH364" i="1"/>
  <c r="AH366" i="1"/>
  <c r="AH368" i="1"/>
  <c r="AH370" i="1"/>
  <c r="AH372" i="1"/>
  <c r="AH374" i="1"/>
  <c r="AH376" i="1"/>
  <c r="AH378" i="1"/>
  <c r="U382" i="1"/>
  <c r="V382" i="1" s="1"/>
  <c r="Z383" i="1"/>
  <c r="Z391" i="1"/>
  <c r="Z399" i="1"/>
  <c r="Z407" i="1"/>
  <c r="Z415" i="1"/>
  <c r="Z417" i="1"/>
  <c r="AH417" i="1"/>
  <c r="AH436" i="1"/>
  <c r="Z436" i="1"/>
  <c r="AH444" i="1"/>
  <c r="Z444" i="1"/>
  <c r="AH462" i="1"/>
  <c r="U462" i="1"/>
  <c r="V462" i="1" s="1"/>
  <c r="AH468" i="1"/>
  <c r="Z468" i="1"/>
  <c r="AH494" i="1"/>
  <c r="U494" i="1"/>
  <c r="V494" i="1" s="1"/>
  <c r="AH500" i="1"/>
  <c r="Z500" i="1"/>
  <c r="Z378" i="1"/>
  <c r="AH454" i="1"/>
  <c r="U454" i="1"/>
  <c r="V454" i="1" s="1"/>
  <c r="AH460" i="1"/>
  <c r="Z460" i="1"/>
  <c r="AH486" i="1"/>
  <c r="U486" i="1"/>
  <c r="V486" i="1" s="1"/>
  <c r="AH492" i="1"/>
  <c r="Z492" i="1"/>
  <c r="U500" i="1"/>
  <c r="V500" i="1" s="1"/>
  <c r="Z384" i="1"/>
  <c r="Z386" i="1"/>
  <c r="Z388" i="1"/>
  <c r="Z390" i="1"/>
  <c r="Z392" i="1"/>
  <c r="Z394" i="1"/>
  <c r="Z396" i="1"/>
  <c r="Z398" i="1"/>
  <c r="Z400" i="1"/>
  <c r="Z402" i="1"/>
  <c r="Z404" i="1"/>
  <c r="Z406" i="1"/>
  <c r="Z408" i="1"/>
  <c r="Z410" i="1"/>
  <c r="Z412" i="1"/>
  <c r="Z414" i="1"/>
  <c r="Z416" i="1"/>
  <c r="Z450" i="1"/>
  <c r="Z458" i="1"/>
  <c r="Z466" i="1"/>
  <c r="Z474" i="1"/>
  <c r="Z482" i="1"/>
  <c r="Z490" i="1"/>
  <c r="Z498" i="1"/>
  <c r="U384" i="1"/>
  <c r="V384" i="1" s="1"/>
  <c r="U386" i="1"/>
  <c r="V386" i="1" s="1"/>
  <c r="U388" i="1"/>
  <c r="V388" i="1" s="1"/>
  <c r="U390" i="1"/>
  <c r="V390" i="1" s="1"/>
  <c r="U392" i="1"/>
  <c r="V392" i="1" s="1"/>
  <c r="U394" i="1"/>
  <c r="V394" i="1" s="1"/>
  <c r="U396" i="1"/>
  <c r="V396" i="1" s="1"/>
  <c r="U398" i="1"/>
  <c r="V398" i="1" s="1"/>
  <c r="U400" i="1"/>
  <c r="V400" i="1" s="1"/>
  <c r="U402" i="1"/>
  <c r="V402" i="1" s="1"/>
  <c r="U404" i="1"/>
  <c r="V404" i="1" s="1"/>
  <c r="U406" i="1"/>
  <c r="V406" i="1" s="1"/>
  <c r="U408" i="1"/>
  <c r="V408" i="1" s="1"/>
  <c r="U410" i="1"/>
  <c r="V410" i="1" s="1"/>
  <c r="U412" i="1"/>
  <c r="V412" i="1" s="1"/>
  <c r="U414" i="1"/>
  <c r="V414" i="1" s="1"/>
  <c r="U416" i="1"/>
  <c r="V416" i="1" s="1"/>
  <c r="U432" i="1"/>
  <c r="V432" i="1" s="1"/>
  <c r="U440" i="1"/>
  <c r="V440" i="1" s="1"/>
  <c r="U448" i="1"/>
  <c r="V448" i="1" s="1"/>
  <c r="Z501" i="1"/>
  <c r="V2" i="1" l="1"/>
  <c r="AN5" i="1"/>
  <c r="AO17"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<sst xmlns="http://schemas.openxmlformats.org/spreadsheetml/2006/main" count="7198" uniqueCount="1321">
  <si>
    <t>Order ID</t>
  </si>
  <si>
    <t>Order Date</t>
  </si>
  <si>
    <t>Delivery Date</t>
  </si>
  <si>
    <t>Customer ID</t>
  </si>
  <si>
    <t>Customer Name</t>
  </si>
  <si>
    <t>Gender</t>
  </si>
  <si>
    <t>Age</t>
  </si>
  <si>
    <t>City</t>
  </si>
  <si>
    <t>State</t>
  </si>
  <si>
    <t>Region</t>
  </si>
  <si>
    <t>Product ID</t>
  </si>
  <si>
    <t>Product Name</t>
  </si>
  <si>
    <t>Category</t>
  </si>
  <si>
    <t>Sub Category</t>
  </si>
  <si>
    <t>Brand</t>
  </si>
  <si>
    <t>Qty</t>
  </si>
  <si>
    <t>Unit Price</t>
  </si>
  <si>
    <t>Discount %</t>
  </si>
  <si>
    <t>Sales Amount</t>
  </si>
  <si>
    <t>Cost Price</t>
  </si>
  <si>
    <t>Profit</t>
  </si>
  <si>
    <t>Profit %</t>
  </si>
  <si>
    <t>Payment Mode</t>
  </si>
  <si>
    <t>Order Status</t>
  </si>
  <si>
    <t>Delivery Days</t>
  </si>
  <si>
    <t>Customer Type</t>
  </si>
  <si>
    <t>Rating</t>
  </si>
  <si>
    <t>Rating Category</t>
  </si>
  <si>
    <t>Month</t>
  </si>
  <si>
    <t>Quarter</t>
  </si>
  <si>
    <t>Year</t>
  </si>
  <si>
    <t>Weekday</t>
  </si>
  <si>
    <t>Age Group</t>
  </si>
  <si>
    <t>Order Size</t>
  </si>
  <si>
    <t>Discount Category</t>
  </si>
  <si>
    <t>Customer Segment</t>
  </si>
  <si>
    <t>ORD1001</t>
  </si>
  <si>
    <t>CUST001</t>
  </si>
  <si>
    <t>Rahul Patel</t>
  </si>
  <si>
    <t>Male</t>
  </si>
  <si>
    <t>Ahmedabad</t>
  </si>
  <si>
    <t>Gujarat</t>
  </si>
  <si>
    <t>West</t>
  </si>
  <si>
    <t>P101</t>
  </si>
  <si>
    <t>Samsung Galaxy A55</t>
  </si>
  <si>
    <t>Electronics</t>
  </si>
  <si>
    <t>Mobile</t>
  </si>
  <si>
    <t>Samsung</t>
  </si>
  <si>
    <t>UPI</t>
  </si>
  <si>
    <t>Delivered</t>
  </si>
  <si>
    <t>ORD1002</t>
  </si>
  <si>
    <t>CUST002</t>
  </si>
  <si>
    <t>Female</t>
  </si>
  <si>
    <t>Surat</t>
  </si>
  <si>
    <t>P102</t>
  </si>
  <si>
    <t>Apple</t>
  </si>
  <si>
    <t>Credit Card</t>
  </si>
  <si>
    <t>ORD1003</t>
  </si>
  <si>
    <t>CUST003</t>
  </si>
  <si>
    <t>Amit Kumar</t>
  </si>
  <si>
    <t>Mumbai</t>
  </si>
  <si>
    <t>Maharashtra</t>
  </si>
  <si>
    <t>P103</t>
  </si>
  <si>
    <t>Laptop</t>
  </si>
  <si>
    <t>HP</t>
  </si>
  <si>
    <t>Debit Card</t>
  </si>
  <si>
    <t>ORD1004</t>
  </si>
  <si>
    <t>CUST004</t>
  </si>
  <si>
    <t>Delhi</t>
  </si>
  <si>
    <t>North</t>
  </si>
  <si>
    <t>P104</t>
  </si>
  <si>
    <t>Dell Inspiron</t>
  </si>
  <si>
    <t>Dell</t>
  </si>
  <si>
    <t>Net Banking</t>
  </si>
  <si>
    <t>Pending</t>
  </si>
  <si>
    <t>ORD1005</t>
  </si>
  <si>
    <t>CUST005</t>
  </si>
  <si>
    <t>Karan Mehta</t>
  </si>
  <si>
    <t>Bengaluru</t>
  </si>
  <si>
    <t>Karnataka</t>
  </si>
  <si>
    <t>South</t>
  </si>
  <si>
    <t>P105</t>
  </si>
  <si>
    <t>LG Smart TV</t>
  </si>
  <si>
    <t>Television</t>
  </si>
  <si>
    <t>LG</t>
  </si>
  <si>
    <t>ORD1006</t>
  </si>
  <si>
    <t>CUST006</t>
  </si>
  <si>
    <t>Sneha Joshi</t>
  </si>
  <si>
    <t>Hyderabad</t>
  </si>
  <si>
    <t>Telangana</t>
  </si>
  <si>
    <t>P106</t>
  </si>
  <si>
    <t>Headphones</t>
  </si>
  <si>
    <t>Wallet</t>
  </si>
  <si>
    <t>ORD1007</t>
  </si>
  <si>
    <t>CUST007</t>
  </si>
  <si>
    <t>Vivek Singh</t>
  </si>
  <si>
    <t>P107</t>
  </si>
  <si>
    <t>Fashion</t>
  </si>
  <si>
    <t>Shoes</t>
  </si>
  <si>
    <t>Nike</t>
  </si>
  <si>
    <t>Cash on Delivery</t>
  </si>
  <si>
    <t>Cancelled</t>
  </si>
  <si>
    <t>ORD1008</t>
  </si>
  <si>
    <t>CUST008</t>
  </si>
  <si>
    <t>Anjali Desai</t>
  </si>
  <si>
    <t>P108</t>
  </si>
  <si>
    <t>Returned</t>
  </si>
  <si>
    <t>ORD1009</t>
  </si>
  <si>
    <t>CUST009</t>
  </si>
  <si>
    <t>Rohan Gupta</t>
  </si>
  <si>
    <t>Chennai</t>
  </si>
  <si>
    <t>Tamil Nadu</t>
  </si>
  <si>
    <t>Prestige Mixer</t>
  </si>
  <si>
    <t>Home &amp; Kitchen</t>
  </si>
  <si>
    <t>Mixer</t>
  </si>
  <si>
    <t>Prestige</t>
  </si>
  <si>
    <t>ORD1010</t>
  </si>
  <si>
    <t>CUST010</t>
  </si>
  <si>
    <t>Pooja Sharma</t>
  </si>
  <si>
    <t>Kolkata</t>
  </si>
  <si>
    <t>West Bengal</t>
  </si>
  <si>
    <t>East</t>
  </si>
  <si>
    <t>Boat Earbuds</t>
  </si>
  <si>
    <t>Boat</t>
  </si>
  <si>
    <t>ORD1011</t>
  </si>
  <si>
    <t>ORD1012</t>
  </si>
  <si>
    <t>ORD1013</t>
  </si>
  <si>
    <t>ORD1014</t>
  </si>
  <si>
    <t>ORD1015</t>
  </si>
  <si>
    <t>ORD1016</t>
  </si>
  <si>
    <t>ORD1017</t>
  </si>
  <si>
    <t>ORD1018</t>
  </si>
  <si>
    <t>ORD1019</t>
  </si>
  <si>
    <t>ORD1020</t>
  </si>
  <si>
    <t>ORD1021</t>
  </si>
  <si>
    <t>ORD1022</t>
  </si>
  <si>
    <t>CUST011</t>
  </si>
  <si>
    <t>Arjun Sharma</t>
  </si>
  <si>
    <t>CUST012</t>
  </si>
  <si>
    <t>Meera Joshi</t>
  </si>
  <si>
    <t>CUST013</t>
  </si>
  <si>
    <t>Sagar Patel</t>
  </si>
  <si>
    <t>CUST014</t>
  </si>
  <si>
    <t>CUST015</t>
  </si>
  <si>
    <t>Mohit Verma</t>
  </si>
  <si>
    <t>CUST016</t>
  </si>
  <si>
    <t>Nisha Patel</t>
  </si>
  <si>
    <t>CUST017</t>
  </si>
  <si>
    <t>Kunal Shah</t>
  </si>
  <si>
    <t>CUST018</t>
  </si>
  <si>
    <t>CUST019</t>
  </si>
  <si>
    <t>Rakesh Mehta</t>
  </si>
  <si>
    <t>CUST020</t>
  </si>
  <si>
    <t>CUST021</t>
  </si>
  <si>
    <t>CUST022</t>
  </si>
  <si>
    <t>ORD1023</t>
  </si>
  <si>
    <t>CUST023</t>
  </si>
  <si>
    <t>ORD1024</t>
  </si>
  <si>
    <t>CUST024</t>
  </si>
  <si>
    <t>Komal Shah</t>
  </si>
  <si>
    <t>ORD1025</t>
  </si>
  <si>
    <t>CUST025</t>
  </si>
  <si>
    <t>Rakesh Verma</t>
  </si>
  <si>
    <t>HP Pavilion</t>
  </si>
  <si>
    <t>Meera Gupta</t>
  </si>
  <si>
    <t>Meera Kumar</t>
  </si>
  <si>
    <t>Nike Shoes</t>
  </si>
  <si>
    <t>Neha Kumar</t>
  </si>
  <si>
    <t>Amit Singh</t>
  </si>
  <si>
    <t>Sneha Kumar</t>
  </si>
  <si>
    <t>Komal Patel</t>
  </si>
  <si>
    <t>Sneha Patel</t>
  </si>
  <si>
    <t>Aisha Mehta</t>
  </si>
  <si>
    <t>iPhone 16</t>
  </si>
  <si>
    <t>Mohit Sharma</t>
  </si>
  <si>
    <t>Rohan Desai</t>
  </si>
  <si>
    <t>Rakesh Gupta</t>
  </si>
  <si>
    <t>Mohit Singh</t>
  </si>
  <si>
    <t>Mohit Mehta</t>
  </si>
  <si>
    <t>Kunal Patel</t>
  </si>
  <si>
    <t>Riya Desai</t>
  </si>
  <si>
    <t>Karan Shah</t>
  </si>
  <si>
    <t>Riya Joshi</t>
  </si>
  <si>
    <t>Meera Patel</t>
  </si>
  <si>
    <t>Sagar Kumar</t>
  </si>
  <si>
    <t>Rakesh Shah</t>
  </si>
  <si>
    <t>ORD1026</t>
  </si>
  <si>
    <t>CUST026</t>
  </si>
  <si>
    <t>Nisha Kumar</t>
  </si>
  <si>
    <t>ORD1027</t>
  </si>
  <si>
    <t>CUST027</t>
  </si>
  <si>
    <t>Karan Gupta</t>
  </si>
  <si>
    <t>ORD1028</t>
  </si>
  <si>
    <t>CUST028</t>
  </si>
  <si>
    <t>Meera Shah</t>
  </si>
  <si>
    <t>ORD1029</t>
  </si>
  <si>
    <t>CUST029</t>
  </si>
  <si>
    <t>ORD1030</t>
  </si>
  <si>
    <t>CUST030</t>
  </si>
  <si>
    <t>Neha Gupta</t>
  </si>
  <si>
    <t>ORD1031</t>
  </si>
  <si>
    <t>CUST031</t>
  </si>
  <si>
    <t>ORD1032</t>
  </si>
  <si>
    <t>CUST032</t>
  </si>
  <si>
    <t>ORD1033</t>
  </si>
  <si>
    <t>CUST033</t>
  </si>
  <si>
    <t>Meera Verma</t>
  </si>
  <si>
    <t>ORD1034</t>
  </si>
  <si>
    <t>CUST034</t>
  </si>
  <si>
    <t>Pooja Verma</t>
  </si>
  <si>
    <t>ORD1035</t>
  </si>
  <si>
    <t>CUST035</t>
  </si>
  <si>
    <t>Rakesh Sharma</t>
  </si>
  <si>
    <t>ORD1036</t>
  </si>
  <si>
    <t>CUST036</t>
  </si>
  <si>
    <t>Pooja Gupta</t>
  </si>
  <si>
    <t>ORD1037</t>
  </si>
  <si>
    <t>CUST037</t>
  </si>
  <si>
    <t>Anjali Sharma</t>
  </si>
  <si>
    <t>ORD1038</t>
  </si>
  <si>
    <t>CUST038</t>
  </si>
  <si>
    <t>Pooja Shah</t>
  </si>
  <si>
    <t>ORD1039</t>
  </si>
  <si>
    <t>CUST039</t>
  </si>
  <si>
    <t>Aisha Shah</t>
  </si>
  <si>
    <t>ORD1040</t>
  </si>
  <si>
    <t>CUST040</t>
  </si>
  <si>
    <t>Mohit Gupta</t>
  </si>
  <si>
    <t>ORD1041</t>
  </si>
  <si>
    <t>CUST041</t>
  </si>
  <si>
    <t>Komal Verma</t>
  </si>
  <si>
    <t>ORD1042</t>
  </si>
  <si>
    <t>CUST042</t>
  </si>
  <si>
    <t>Aisha Singh</t>
  </si>
  <si>
    <t>ORD1043</t>
  </si>
  <si>
    <t>CUST043</t>
  </si>
  <si>
    <t>Meera Singh</t>
  </si>
  <si>
    <t>ORD1044</t>
  </si>
  <si>
    <t>CUST044</t>
  </si>
  <si>
    <t>Rohan Singh</t>
  </si>
  <si>
    <t>ORD1045</t>
  </si>
  <si>
    <t>CUST045</t>
  </si>
  <si>
    <t>Meera Mehta</t>
  </si>
  <si>
    <t>ORD1046</t>
  </si>
  <si>
    <t>CUST046</t>
  </si>
  <si>
    <t>Karan Joshi</t>
  </si>
  <si>
    <t>ORD1047</t>
  </si>
  <si>
    <t>CUST047</t>
  </si>
  <si>
    <t>Arjun Shah</t>
  </si>
  <si>
    <t>ORD1048</t>
  </si>
  <si>
    <t>CUST048</t>
  </si>
  <si>
    <t>Sagar Gupta</t>
  </si>
  <si>
    <t>ORD1049</t>
  </si>
  <si>
    <t>CUST049</t>
  </si>
  <si>
    <t>Rohan Mehta</t>
  </si>
  <si>
    <t>ORD1050</t>
  </si>
  <si>
    <t>CUST050</t>
  </si>
  <si>
    <t>Priya Singh</t>
  </si>
  <si>
    <t>ORD1051</t>
  </si>
  <si>
    <t>CUST051</t>
  </si>
  <si>
    <t>Karan Singh</t>
  </si>
  <si>
    <t>ORD1052</t>
  </si>
  <si>
    <t>CUST052</t>
  </si>
  <si>
    <t>Aisha Sharma</t>
  </si>
  <si>
    <t>ORD1053</t>
  </si>
  <si>
    <t>CUST053</t>
  </si>
  <si>
    <t>Priya Desai</t>
  </si>
  <si>
    <t>ORD1054</t>
  </si>
  <si>
    <t>CUST054</t>
  </si>
  <si>
    <t>Karan Sharma</t>
  </si>
  <si>
    <t>ORD1055</t>
  </si>
  <si>
    <t>CUST055</t>
  </si>
  <si>
    <t>Amit Desai</t>
  </si>
  <si>
    <t>ORD1056</t>
  </si>
  <si>
    <t>CUST056</t>
  </si>
  <si>
    <t>Pooja Patel</t>
  </si>
  <si>
    <t>ORD1057</t>
  </si>
  <si>
    <t>CUST057</t>
  </si>
  <si>
    <t>Priya Gupta</t>
  </si>
  <si>
    <t>ORD1058</t>
  </si>
  <si>
    <t>CUST058</t>
  </si>
  <si>
    <t>ORD1059</t>
  </si>
  <si>
    <t>CUST059</t>
  </si>
  <si>
    <t>Rakesh Kumar</t>
  </si>
  <si>
    <t>ORD1060</t>
  </si>
  <si>
    <t>CUST060</t>
  </si>
  <si>
    <t>Riya Shah</t>
  </si>
  <si>
    <t>ORD1061</t>
  </si>
  <si>
    <t>CUST061</t>
  </si>
  <si>
    <t>Pooja Desai</t>
  </si>
  <si>
    <t>ORD1062</t>
  </si>
  <si>
    <t>CUST062</t>
  </si>
  <si>
    <t>ORD1063</t>
  </si>
  <si>
    <t>CUST063</t>
  </si>
  <si>
    <t>Pooja Mehta</t>
  </si>
  <si>
    <t>ORD1064</t>
  </si>
  <si>
    <t>CUST064</t>
  </si>
  <si>
    <t>Neha Mehta</t>
  </si>
  <si>
    <t>ORD1065</t>
  </si>
  <si>
    <t>CUST065</t>
  </si>
  <si>
    <t>ORD1066</t>
  </si>
  <si>
    <t>CUST066</t>
  </si>
  <si>
    <t>ORD1067</t>
  </si>
  <si>
    <t>CUST067</t>
  </si>
  <si>
    <t>ORD1068</t>
  </si>
  <si>
    <t>CUST068</t>
  </si>
  <si>
    <t>Pooja Joshi</t>
  </si>
  <si>
    <t>ORD1069</t>
  </si>
  <si>
    <t>CUST069</t>
  </si>
  <si>
    <t>ORD1070</t>
  </si>
  <si>
    <t>CUST070</t>
  </si>
  <si>
    <t>Sagar Singh</t>
  </si>
  <si>
    <t>ORD1071</t>
  </si>
  <si>
    <t>CUST071</t>
  </si>
  <si>
    <t>Sagar Mehta</t>
  </si>
  <si>
    <t>ORD1072</t>
  </si>
  <si>
    <t>CUST072</t>
  </si>
  <si>
    <t>Neha Desai</t>
  </si>
  <si>
    <t>ORD1073</t>
  </si>
  <si>
    <t>CUST073</t>
  </si>
  <si>
    <t>Sneha Sharma</t>
  </si>
  <si>
    <t>ORD1074</t>
  </si>
  <si>
    <t>CUST074</t>
  </si>
  <si>
    <t>ORD1075</t>
  </si>
  <si>
    <t>CUST075</t>
  </si>
  <si>
    <t>Rahul Singh</t>
  </si>
  <si>
    <t>ORD1076</t>
  </si>
  <si>
    <t>CUST076</t>
  </si>
  <si>
    <t>ORD1077</t>
  </si>
  <si>
    <t>CUST077</t>
  </si>
  <si>
    <t>Nisha Gupta</t>
  </si>
  <si>
    <t>ORD1078</t>
  </si>
  <si>
    <t>CUST078</t>
  </si>
  <si>
    <t>Neha Patel</t>
  </si>
  <si>
    <t>ORD1079</t>
  </si>
  <si>
    <t>CUST079</t>
  </si>
  <si>
    <t>ORD1080</t>
  </si>
  <si>
    <t>CUST080</t>
  </si>
  <si>
    <t>Rohan Verma</t>
  </si>
  <si>
    <t>ORD1081</t>
  </si>
  <si>
    <t>CUST081</t>
  </si>
  <si>
    <t>Anjali Gupta</t>
  </si>
  <si>
    <t>ORD1082</t>
  </si>
  <si>
    <t>CUST082</t>
  </si>
  <si>
    <t>Kunal Verma</t>
  </si>
  <si>
    <t>ORD1083</t>
  </si>
  <si>
    <t>CUST083</t>
  </si>
  <si>
    <t>Vivek Shah</t>
  </si>
  <si>
    <t>ORD1084</t>
  </si>
  <si>
    <t>CUST084</t>
  </si>
  <si>
    <t>Vivek Verma</t>
  </si>
  <si>
    <t>ORD1085</t>
  </si>
  <si>
    <t>CUST085</t>
  </si>
  <si>
    <t>Meera Sharma</t>
  </si>
  <si>
    <t>ORD1086</t>
  </si>
  <si>
    <t>CUST086</t>
  </si>
  <si>
    <t>Aisha Desai</t>
  </si>
  <si>
    <t>ORD1087</t>
  </si>
  <si>
    <t>CUST087</t>
  </si>
  <si>
    <t>Amit Joshi</t>
  </si>
  <si>
    <t>ORD1088</t>
  </si>
  <si>
    <t>CUST088</t>
  </si>
  <si>
    <t>Priya Patel</t>
  </si>
  <si>
    <t>ORD1089</t>
  </si>
  <si>
    <t>CUST089</t>
  </si>
  <si>
    <t>Nisha Mehta</t>
  </si>
  <si>
    <t>ORD1090</t>
  </si>
  <si>
    <t>CUST090</t>
  </si>
  <si>
    <t>Komal Singh</t>
  </si>
  <si>
    <t>ORD1091</t>
  </si>
  <si>
    <t>CUST091</t>
  </si>
  <si>
    <t>Anjali Mehta</t>
  </si>
  <si>
    <t>ORD1092</t>
  </si>
  <si>
    <t>CUST092</t>
  </si>
  <si>
    <t>Mohit Patel</t>
  </si>
  <si>
    <t>ORD1093</t>
  </si>
  <si>
    <t>CUST093</t>
  </si>
  <si>
    <t>Aisha Patel</t>
  </si>
  <si>
    <t>ORD1094</t>
  </si>
  <si>
    <t>CUST094</t>
  </si>
  <si>
    <t>Sneha Mehta</t>
  </si>
  <si>
    <t>ORD1095</t>
  </si>
  <si>
    <t>CUST095</t>
  </si>
  <si>
    <t>ORD1096</t>
  </si>
  <si>
    <t>CUST096</t>
  </si>
  <si>
    <t>Amit Verma</t>
  </si>
  <si>
    <t>ORD1097</t>
  </si>
  <si>
    <t>CUST097</t>
  </si>
  <si>
    <t>Rahul Kumar</t>
  </si>
  <si>
    <t>ORD1098</t>
  </si>
  <si>
    <t>CUST098</t>
  </si>
  <si>
    <t>ORD1099</t>
  </si>
  <si>
    <t>CUST099</t>
  </si>
  <si>
    <t>Rahul Shah</t>
  </si>
  <si>
    <t>ORD1100</t>
  </si>
  <si>
    <t>CUST100</t>
  </si>
  <si>
    <t>ORD1101</t>
  </si>
  <si>
    <t>CUST101</t>
  </si>
  <si>
    <t>ORD1102</t>
  </si>
  <si>
    <t>CUST102</t>
  </si>
  <si>
    <t>ORD1103</t>
  </si>
  <si>
    <t>CUST103</t>
  </si>
  <si>
    <t>Rahul Verma</t>
  </si>
  <si>
    <t>ORD1104</t>
  </si>
  <si>
    <t>CUST104</t>
  </si>
  <si>
    <t>Nisha Joshi</t>
  </si>
  <si>
    <t>ORD1105</t>
  </si>
  <si>
    <t>CUST105</t>
  </si>
  <si>
    <t>ORD1106</t>
  </si>
  <si>
    <t>CUST106</t>
  </si>
  <si>
    <t>ORD1107</t>
  </si>
  <si>
    <t>CUST107</t>
  </si>
  <si>
    <t>Amit Gupta</t>
  </si>
  <si>
    <t>ORD1108</t>
  </si>
  <si>
    <t>CUST108</t>
  </si>
  <si>
    <t>ORD1109</t>
  </si>
  <si>
    <t>CUST109</t>
  </si>
  <si>
    <t>ORD1110</t>
  </si>
  <si>
    <t>CUST110</t>
  </si>
  <si>
    <t>ORD1111</t>
  </si>
  <si>
    <t>CUST111</t>
  </si>
  <si>
    <t>Rahul Gupta</t>
  </si>
  <si>
    <t>ORD1112</t>
  </si>
  <si>
    <t>CUST112</t>
  </si>
  <si>
    <t>ORD1113</t>
  </si>
  <si>
    <t>CUST113</t>
  </si>
  <si>
    <t>ORD1114</t>
  </si>
  <si>
    <t>CUST114</t>
  </si>
  <si>
    <t>ORD1115</t>
  </si>
  <si>
    <t>CUST115</t>
  </si>
  <si>
    <t>ORD1116</t>
  </si>
  <si>
    <t>CUST116</t>
  </si>
  <si>
    <t>Arjun Patel</t>
  </si>
  <si>
    <t>ORD1117</t>
  </si>
  <si>
    <t>CUST117</t>
  </si>
  <si>
    <t>ORD1118</t>
  </si>
  <si>
    <t>CUST118</t>
  </si>
  <si>
    <t>ORD1119</t>
  </si>
  <si>
    <t>CUST119</t>
  </si>
  <si>
    <t>ORD1120</t>
  </si>
  <si>
    <t>CUST120</t>
  </si>
  <si>
    <t>Riya Patel</t>
  </si>
  <si>
    <t>ORD1121</t>
  </si>
  <si>
    <t>CUST121</t>
  </si>
  <si>
    <t>ORD1122</t>
  </si>
  <si>
    <t>CUST122</t>
  </si>
  <si>
    <t>ORD1123</t>
  </si>
  <si>
    <t>CUST123</t>
  </si>
  <si>
    <t>Sagar Shah</t>
  </si>
  <si>
    <t>ORD1124</t>
  </si>
  <si>
    <t>CUST124</t>
  </si>
  <si>
    <t>Amit Patel</t>
  </si>
  <si>
    <t>ORD1125</t>
  </si>
  <si>
    <t>CUST125</t>
  </si>
  <si>
    <t>ORD1126</t>
  </si>
  <si>
    <t>CUST126</t>
  </si>
  <si>
    <t>ORD1127</t>
  </si>
  <si>
    <t>CUST127</t>
  </si>
  <si>
    <t>ORD1128</t>
  </si>
  <si>
    <t>CUST128</t>
  </si>
  <si>
    <t>Riya Kumar</t>
  </si>
  <si>
    <t>ORD1129</t>
  </si>
  <si>
    <t>CUST129</t>
  </si>
  <si>
    <t>Rahul Joshi</t>
  </si>
  <si>
    <t>ORD1130</t>
  </si>
  <si>
    <t>CUST130</t>
  </si>
  <si>
    <t>Sneha Desai</t>
  </si>
  <si>
    <t>ORD1131</t>
  </si>
  <si>
    <t>CUST131</t>
  </si>
  <si>
    <t>Riya Gupta</t>
  </si>
  <si>
    <t>ORD1132</t>
  </si>
  <si>
    <t>CUST132</t>
  </si>
  <si>
    <t>ORD1133</t>
  </si>
  <si>
    <t>CUST133</t>
  </si>
  <si>
    <t>Priya Verma</t>
  </si>
  <si>
    <t>ORD1134</t>
  </si>
  <si>
    <t>CUST134</t>
  </si>
  <si>
    <t>ORD1135</t>
  </si>
  <si>
    <t>CUST135</t>
  </si>
  <si>
    <t>ORD1136</t>
  </si>
  <si>
    <t>CUST136</t>
  </si>
  <si>
    <t>ORD1137</t>
  </si>
  <si>
    <t>CUST137</t>
  </si>
  <si>
    <t>Anjali Singh</t>
  </si>
  <si>
    <t>ORD1138</t>
  </si>
  <si>
    <t>CUST138</t>
  </si>
  <si>
    <t>ORD1139</t>
  </si>
  <si>
    <t>CUST139</t>
  </si>
  <si>
    <t>Komal Joshi</t>
  </si>
  <si>
    <t>ORD1140</t>
  </si>
  <si>
    <t>CUST140</t>
  </si>
  <si>
    <t>ORD1141</t>
  </si>
  <si>
    <t>CUST141</t>
  </si>
  <si>
    <t>ORD1142</t>
  </si>
  <si>
    <t>CUST142</t>
  </si>
  <si>
    <t>Rohan Kumar</t>
  </si>
  <si>
    <t>ORD1143</t>
  </si>
  <si>
    <t>CUST143</t>
  </si>
  <si>
    <t>Amit Sharma</t>
  </si>
  <si>
    <t>ORD1144</t>
  </si>
  <si>
    <t>CUST144</t>
  </si>
  <si>
    <t>ORD1145</t>
  </si>
  <si>
    <t>CUST145</t>
  </si>
  <si>
    <t>Arjun Kumar</t>
  </si>
  <si>
    <t>ORD1146</t>
  </si>
  <si>
    <t>CUST146</t>
  </si>
  <si>
    <t>Vivek Sharma</t>
  </si>
  <si>
    <t>ORD1147</t>
  </si>
  <si>
    <t>CUST147</t>
  </si>
  <si>
    <t>Priya Sharma</t>
  </si>
  <si>
    <t>ORD1148</t>
  </si>
  <si>
    <t>CUST148</t>
  </si>
  <si>
    <t>ORD1149</t>
  </si>
  <si>
    <t>CUST149</t>
  </si>
  <si>
    <t>ORD1150</t>
  </si>
  <si>
    <t>CUST150</t>
  </si>
  <si>
    <t>ORD1151</t>
  </si>
  <si>
    <t>CUST151</t>
  </si>
  <si>
    <t>ORD1152</t>
  </si>
  <si>
    <t>CUST152</t>
  </si>
  <si>
    <t>Sneha Shah</t>
  </si>
  <si>
    <t>ORD1153</t>
  </si>
  <si>
    <t>CUST153</t>
  </si>
  <si>
    <t>ORD1154</t>
  </si>
  <si>
    <t>CUST154</t>
  </si>
  <si>
    <t>ORD1155</t>
  </si>
  <si>
    <t>CUST155</t>
  </si>
  <si>
    <t>ORD1156</t>
  </si>
  <si>
    <t>CUST156</t>
  </si>
  <si>
    <t>ORD1157</t>
  </si>
  <si>
    <t>CUST157</t>
  </si>
  <si>
    <t>ORD1158</t>
  </si>
  <si>
    <t>CUST158</t>
  </si>
  <si>
    <t>Neha Joshi</t>
  </si>
  <si>
    <t>ORD1159</t>
  </si>
  <si>
    <t>CUST159</t>
  </si>
  <si>
    <t>ORD1160</t>
  </si>
  <si>
    <t>CUST160</t>
  </si>
  <si>
    <t>ORD1161</t>
  </si>
  <si>
    <t>CUST161</t>
  </si>
  <si>
    <t>ORD1162</t>
  </si>
  <si>
    <t>CUST162</t>
  </si>
  <si>
    <t>ORD1163</t>
  </si>
  <si>
    <t>CUST163</t>
  </si>
  <si>
    <t>ORD1164</t>
  </si>
  <si>
    <t>CUST164</t>
  </si>
  <si>
    <t>Anjali Verma</t>
  </si>
  <si>
    <t>ORD1165</t>
  </si>
  <si>
    <t>CUST165</t>
  </si>
  <si>
    <t>Amit Mehta</t>
  </si>
  <si>
    <t>ORD1166</t>
  </si>
  <si>
    <t>CUST166</t>
  </si>
  <si>
    <t>ORD1167</t>
  </si>
  <si>
    <t>CUST167</t>
  </si>
  <si>
    <t>ORD1168</t>
  </si>
  <si>
    <t>CUST168</t>
  </si>
  <si>
    <t>ORD1169</t>
  </si>
  <si>
    <t>CUST169</t>
  </si>
  <si>
    <t>ORD1170</t>
  </si>
  <si>
    <t>CUST170</t>
  </si>
  <si>
    <t>ORD1171</t>
  </si>
  <si>
    <t>CUST171</t>
  </si>
  <si>
    <t>Arjun Verma</t>
  </si>
  <si>
    <t>ORD1172</t>
  </si>
  <si>
    <t>CUST172</t>
  </si>
  <si>
    <t>Nisha Desai</t>
  </si>
  <si>
    <t>ORD1173</t>
  </si>
  <si>
    <t>CUST173</t>
  </si>
  <si>
    <t>ORD1174</t>
  </si>
  <si>
    <t>CUST174</t>
  </si>
  <si>
    <t>Rahul Desai</t>
  </si>
  <si>
    <t>ORD1175</t>
  </si>
  <si>
    <t>CUST175</t>
  </si>
  <si>
    <t>ORD1176</t>
  </si>
  <si>
    <t>CUST176</t>
  </si>
  <si>
    <t>ORD1177</t>
  </si>
  <si>
    <t>CUST177</t>
  </si>
  <si>
    <t>Sneha Gupta</t>
  </si>
  <si>
    <t>ORD1178</t>
  </si>
  <si>
    <t>CUST178</t>
  </si>
  <si>
    <t>ORD1179</t>
  </si>
  <si>
    <t>CUST179</t>
  </si>
  <si>
    <t>ORD1180</t>
  </si>
  <si>
    <t>CUST180</t>
  </si>
  <si>
    <t>Neha Sharma</t>
  </si>
  <si>
    <t>ORD1181</t>
  </si>
  <si>
    <t>CUST181</t>
  </si>
  <si>
    <t>ORD1182</t>
  </si>
  <si>
    <t>CUST182</t>
  </si>
  <si>
    <t>ORD1183</t>
  </si>
  <si>
    <t>CUST183</t>
  </si>
  <si>
    <t>Nisha Sharma</t>
  </si>
  <si>
    <t>ORD1184</t>
  </si>
  <si>
    <t>CUST184</t>
  </si>
  <si>
    <t>ORD1185</t>
  </si>
  <si>
    <t>CUST185</t>
  </si>
  <si>
    <t>Rakesh Joshi</t>
  </si>
  <si>
    <t>ORD1186</t>
  </si>
  <si>
    <t>CUST186</t>
  </si>
  <si>
    <t>ORD1187</t>
  </si>
  <si>
    <t>CUST187</t>
  </si>
  <si>
    <t>ORD1188</t>
  </si>
  <si>
    <t>CUST188</t>
  </si>
  <si>
    <t>ORD1189</t>
  </si>
  <si>
    <t>CUST189</t>
  </si>
  <si>
    <t>ORD1190</t>
  </si>
  <si>
    <t>CUST190</t>
  </si>
  <si>
    <t>ORD1191</t>
  </si>
  <si>
    <t>CUST191</t>
  </si>
  <si>
    <t>ORD1192</t>
  </si>
  <si>
    <t>CUST192</t>
  </si>
  <si>
    <t>ORD1193</t>
  </si>
  <si>
    <t>CUST193</t>
  </si>
  <si>
    <t>Mohit Joshi</t>
  </si>
  <si>
    <t>ORD1194</t>
  </si>
  <si>
    <t>CUST194</t>
  </si>
  <si>
    <t>ORD1195</t>
  </si>
  <si>
    <t>CUST195</t>
  </si>
  <si>
    <t>ORD1196</t>
  </si>
  <si>
    <t>CUST196</t>
  </si>
  <si>
    <t>ORD1197</t>
  </si>
  <si>
    <t>CUST197</t>
  </si>
  <si>
    <t>ORD1198</t>
  </si>
  <si>
    <t>CUST198</t>
  </si>
  <si>
    <t>Vivek Desai</t>
  </si>
  <si>
    <t>ORD1199</t>
  </si>
  <si>
    <t>CUST199</t>
  </si>
  <si>
    <t>ORD1200</t>
  </si>
  <si>
    <t>CUST200</t>
  </si>
  <si>
    <t>ORD1201</t>
  </si>
  <si>
    <t>CUST201</t>
  </si>
  <si>
    <t>ORD1202</t>
  </si>
  <si>
    <t>CUST202</t>
  </si>
  <si>
    <t>ORD1203</t>
  </si>
  <si>
    <t>CUST203</t>
  </si>
  <si>
    <t>ORD1204</t>
  </si>
  <si>
    <t>CUST204</t>
  </si>
  <si>
    <t>ORD1205</t>
  </si>
  <si>
    <t>CUST205</t>
  </si>
  <si>
    <t>Nisha Shah</t>
  </si>
  <si>
    <t>ORD1206</t>
  </si>
  <si>
    <t>CUST206</t>
  </si>
  <si>
    <t>Kunal Sharma</t>
  </si>
  <si>
    <t>ORD1207</t>
  </si>
  <si>
    <t>CUST207</t>
  </si>
  <si>
    <t>ORD1208</t>
  </si>
  <si>
    <t>CUST208</t>
  </si>
  <si>
    <t>ORD1209</t>
  </si>
  <si>
    <t>CUST209</t>
  </si>
  <si>
    <t>ORD1210</t>
  </si>
  <si>
    <t>CUST210</t>
  </si>
  <si>
    <t>ORD1211</t>
  </si>
  <si>
    <t>CUST211</t>
  </si>
  <si>
    <t>Aisha Verma</t>
  </si>
  <si>
    <t>ORD1212</t>
  </si>
  <si>
    <t>CUST212</t>
  </si>
  <si>
    <t>ORD1213</t>
  </si>
  <si>
    <t>CUST213</t>
  </si>
  <si>
    <t>Komal Desai</t>
  </si>
  <si>
    <t>ORD1214</t>
  </si>
  <si>
    <t>CUST214</t>
  </si>
  <si>
    <t>ORD1215</t>
  </si>
  <si>
    <t>CUST215</t>
  </si>
  <si>
    <t>Karan Kumar</t>
  </si>
  <si>
    <t>ORD1216</t>
  </si>
  <si>
    <t>CUST216</t>
  </si>
  <si>
    <t>ORD1217</t>
  </si>
  <si>
    <t>CUST217</t>
  </si>
  <si>
    <t>Arjun Mehta</t>
  </si>
  <si>
    <t>ORD1218</t>
  </si>
  <si>
    <t>CUST218</t>
  </si>
  <si>
    <t>Arjun Joshi</t>
  </si>
  <si>
    <t>ORD1219</t>
  </si>
  <si>
    <t>CUST219</t>
  </si>
  <si>
    <t>ORD1220</t>
  </si>
  <si>
    <t>CUST220</t>
  </si>
  <si>
    <t>Rohan Sharma</t>
  </si>
  <si>
    <t>ORD1221</t>
  </si>
  <si>
    <t>CUST221</t>
  </si>
  <si>
    <t>ORD1222</t>
  </si>
  <si>
    <t>CUST222</t>
  </si>
  <si>
    <t>ORD1223</t>
  </si>
  <si>
    <t>CUST223</t>
  </si>
  <si>
    <t>ORD1224</t>
  </si>
  <si>
    <t>CUST224</t>
  </si>
  <si>
    <t>ORD1225</t>
  </si>
  <si>
    <t>CUST225</t>
  </si>
  <si>
    <t>ORD1226</t>
  </si>
  <si>
    <t>CUST226</t>
  </si>
  <si>
    <t>ORD1227</t>
  </si>
  <si>
    <t>CUST227</t>
  </si>
  <si>
    <t>ORD1228</t>
  </si>
  <si>
    <t>CUST228</t>
  </si>
  <si>
    <t>Karan Desai</t>
  </si>
  <si>
    <t>ORD1229</t>
  </si>
  <si>
    <t>CUST229</t>
  </si>
  <si>
    <t>Aisha Gupta</t>
  </si>
  <si>
    <t>ORD1230</t>
  </si>
  <si>
    <t>CUST230</t>
  </si>
  <si>
    <t>Komal Kumar</t>
  </si>
  <si>
    <t>ORD1231</t>
  </si>
  <si>
    <t>CUST231</t>
  </si>
  <si>
    <t>Rakesh Singh</t>
  </si>
  <si>
    <t>ORD1232</t>
  </si>
  <si>
    <t>CUST232</t>
  </si>
  <si>
    <t>ORD1233</t>
  </si>
  <si>
    <t>CUST233</t>
  </si>
  <si>
    <t>ORD1234</t>
  </si>
  <si>
    <t>CUST234</t>
  </si>
  <si>
    <t>Rahul Mehta</t>
  </si>
  <si>
    <t>ORD1235</t>
  </si>
  <si>
    <t>CUST235</t>
  </si>
  <si>
    <t>ORD1236</t>
  </si>
  <si>
    <t>CUST236</t>
  </si>
  <si>
    <t>ORD1237</t>
  </si>
  <si>
    <t>CUST237</t>
  </si>
  <si>
    <t>Sagar Verma</t>
  </si>
  <si>
    <t>ORD1238</t>
  </si>
  <si>
    <t>CUST238</t>
  </si>
  <si>
    <t>Vivek Patel</t>
  </si>
  <si>
    <t>ORD1239</t>
  </si>
  <si>
    <t>CUST239</t>
  </si>
  <si>
    <t>Vivek Joshi</t>
  </si>
  <si>
    <t>ORD1240</t>
  </si>
  <si>
    <t>CUST240</t>
  </si>
  <si>
    <t>ORD1241</t>
  </si>
  <si>
    <t>CUST241</t>
  </si>
  <si>
    <t>ORD1242</t>
  </si>
  <si>
    <t>CUST242</t>
  </si>
  <si>
    <t>ORD1243</t>
  </si>
  <si>
    <t>CUST243</t>
  </si>
  <si>
    <t>ORD1244</t>
  </si>
  <si>
    <t>CUST244</t>
  </si>
  <si>
    <t>ORD1245</t>
  </si>
  <si>
    <t>CUST245</t>
  </si>
  <si>
    <t>ORD1246</t>
  </si>
  <si>
    <t>CUST246</t>
  </si>
  <si>
    <t>ORD1247</t>
  </si>
  <si>
    <t>CUST247</t>
  </si>
  <si>
    <t>ORD1248</t>
  </si>
  <si>
    <t>CUST248</t>
  </si>
  <si>
    <t>Priya Kumar</t>
  </si>
  <si>
    <t>ORD1249</t>
  </si>
  <si>
    <t>CUST249</t>
  </si>
  <si>
    <t>ORD1250</t>
  </si>
  <si>
    <t>CUST250</t>
  </si>
  <si>
    <t>ORD1251</t>
  </si>
  <si>
    <t>CUST251</t>
  </si>
  <si>
    <t>ORD1252</t>
  </si>
  <si>
    <t>CUST252</t>
  </si>
  <si>
    <t>ORD1253</t>
  </si>
  <si>
    <t>CUST253</t>
  </si>
  <si>
    <t>ORD1254</t>
  </si>
  <si>
    <t>CUST254</t>
  </si>
  <si>
    <t>ORD1255</t>
  </si>
  <si>
    <t>CUST255</t>
  </si>
  <si>
    <t>ORD1256</t>
  </si>
  <si>
    <t>CUST256</t>
  </si>
  <si>
    <t>ORD1257</t>
  </si>
  <si>
    <t>CUST257</t>
  </si>
  <si>
    <t>ORD1258</t>
  </si>
  <si>
    <t>CUST258</t>
  </si>
  <si>
    <t>ORD1259</t>
  </si>
  <si>
    <t>CUST259</t>
  </si>
  <si>
    <t>ORD1260</t>
  </si>
  <si>
    <t>CUST260</t>
  </si>
  <si>
    <t>ORD1261</t>
  </si>
  <si>
    <t>CUST261</t>
  </si>
  <si>
    <t>ORD1262</t>
  </si>
  <si>
    <t>CUST262</t>
  </si>
  <si>
    <t>ORD1263</t>
  </si>
  <si>
    <t>CUST263</t>
  </si>
  <si>
    <t>ORD1264</t>
  </si>
  <si>
    <t>CUST264</t>
  </si>
  <si>
    <t>ORD1265</t>
  </si>
  <si>
    <t>CUST265</t>
  </si>
  <si>
    <t>ORD1266</t>
  </si>
  <si>
    <t>CUST266</t>
  </si>
  <si>
    <t>ORD1267</t>
  </si>
  <si>
    <t>CUST267</t>
  </si>
  <si>
    <t>ORD1268</t>
  </si>
  <si>
    <t>CUST268</t>
  </si>
  <si>
    <t>ORD1269</t>
  </si>
  <si>
    <t>CUST269</t>
  </si>
  <si>
    <t>Vivek Gupta</t>
  </si>
  <si>
    <t>ORD1270</t>
  </si>
  <si>
    <t>CUST270</t>
  </si>
  <si>
    <t>ORD1271</t>
  </si>
  <si>
    <t>CUST271</t>
  </si>
  <si>
    <t>Kunal Singh</t>
  </si>
  <si>
    <t>ORD1272</t>
  </si>
  <si>
    <t>CUST272</t>
  </si>
  <si>
    <t>Komal Sharma</t>
  </si>
  <si>
    <t>ORD1273</t>
  </si>
  <si>
    <t>CUST273</t>
  </si>
  <si>
    <t>ORD1274</t>
  </si>
  <si>
    <t>CUST274</t>
  </si>
  <si>
    <t>ORD1275</t>
  </si>
  <si>
    <t>CUST275</t>
  </si>
  <si>
    <t>ORD1276</t>
  </si>
  <si>
    <t>CUST276</t>
  </si>
  <si>
    <t>ORD1277</t>
  </si>
  <si>
    <t>CUST277</t>
  </si>
  <si>
    <t>Rohan Shah</t>
  </si>
  <si>
    <t>ORD1278</t>
  </si>
  <si>
    <t>CUST278</t>
  </si>
  <si>
    <t>Rakesh Patel</t>
  </si>
  <si>
    <t>ORD1279</t>
  </si>
  <si>
    <t>CUST279</t>
  </si>
  <si>
    <t>ORD1280</t>
  </si>
  <si>
    <t>CUST280</t>
  </si>
  <si>
    <t>ORD1281</t>
  </si>
  <si>
    <t>CUST281</t>
  </si>
  <si>
    <t>ORD1282</t>
  </si>
  <si>
    <t>CUST282</t>
  </si>
  <si>
    <t>ORD1283</t>
  </si>
  <si>
    <t>CUST283</t>
  </si>
  <si>
    <t>ORD1284</t>
  </si>
  <si>
    <t>CUST284</t>
  </si>
  <si>
    <t>ORD1285</t>
  </si>
  <si>
    <t>CUST285</t>
  </si>
  <si>
    <t>ORD1286</t>
  </si>
  <si>
    <t>CUST286</t>
  </si>
  <si>
    <t>ORD1287</t>
  </si>
  <si>
    <t>CUST287</t>
  </si>
  <si>
    <t>ORD1288</t>
  </si>
  <si>
    <t>CUST288</t>
  </si>
  <si>
    <t>ORD1289</t>
  </si>
  <si>
    <t>CUST289</t>
  </si>
  <si>
    <t>ORD1290</t>
  </si>
  <si>
    <t>CUST290</t>
  </si>
  <si>
    <t>ORD1291</t>
  </si>
  <si>
    <t>CUST291</t>
  </si>
  <si>
    <t>Neha Singh</t>
  </si>
  <si>
    <t>ORD1292</t>
  </si>
  <si>
    <t>CUST292</t>
  </si>
  <si>
    <t>Mohit Shah</t>
  </si>
  <si>
    <t>ORD1293</t>
  </si>
  <si>
    <t>CUST293</t>
  </si>
  <si>
    <t>ORD1294</t>
  </si>
  <si>
    <t>CUST294</t>
  </si>
  <si>
    <t>ORD1295</t>
  </si>
  <si>
    <t>CUST295</t>
  </si>
  <si>
    <t>ORD1296</t>
  </si>
  <si>
    <t>CUST296</t>
  </si>
  <si>
    <t>Priya Mehta</t>
  </si>
  <si>
    <t>ORD1297</t>
  </si>
  <si>
    <t>CUST297</t>
  </si>
  <si>
    <t>Meera Desai</t>
  </si>
  <si>
    <t>ORD1298</t>
  </si>
  <si>
    <t>CUST298</t>
  </si>
  <si>
    <t>ORD1299</t>
  </si>
  <si>
    <t>CUST299</t>
  </si>
  <si>
    <t>ORD1300</t>
  </si>
  <si>
    <t>CUST300</t>
  </si>
  <si>
    <t>Riya Singh</t>
  </si>
  <si>
    <t>ORD1301</t>
  </si>
  <si>
    <t>CUST301</t>
  </si>
  <si>
    <t>ORD1302</t>
  </si>
  <si>
    <t>CUST302</t>
  </si>
  <si>
    <t>ORD1303</t>
  </si>
  <si>
    <t>CUST303</t>
  </si>
  <si>
    <t>Arjun Singh</t>
  </si>
  <si>
    <t>ORD1304</t>
  </si>
  <si>
    <t>CUST304</t>
  </si>
  <si>
    <t>ORD1305</t>
  </si>
  <si>
    <t>CUST305</t>
  </si>
  <si>
    <t>ORD1306</t>
  </si>
  <si>
    <t>CUST306</t>
  </si>
  <si>
    <t>ORD1307</t>
  </si>
  <si>
    <t>CUST307</t>
  </si>
  <si>
    <t>ORD1308</t>
  </si>
  <si>
    <t>CUST308</t>
  </si>
  <si>
    <t>ORD1309</t>
  </si>
  <si>
    <t>CUST309</t>
  </si>
  <si>
    <t>Priya Joshi</t>
  </si>
  <si>
    <t>ORD1310</t>
  </si>
  <si>
    <t>CUST310</t>
  </si>
  <si>
    <t>ORD1311</t>
  </si>
  <si>
    <t>CUST311</t>
  </si>
  <si>
    <t>Rohan Patel</t>
  </si>
  <si>
    <t>ORD1312</t>
  </si>
  <si>
    <t>CUST312</t>
  </si>
  <si>
    <t>Komal Gupta</t>
  </si>
  <si>
    <t>ORD1313</t>
  </si>
  <si>
    <t>CUST313</t>
  </si>
  <si>
    <t>ORD1314</t>
  </si>
  <si>
    <t>CUST314</t>
  </si>
  <si>
    <t>Anjali Kumar</t>
  </si>
  <si>
    <t>ORD1315</t>
  </si>
  <si>
    <t>CUST315</t>
  </si>
  <si>
    <t>ORD1316</t>
  </si>
  <si>
    <t>CUST316</t>
  </si>
  <si>
    <t>ORD1317</t>
  </si>
  <si>
    <t>CUST317</t>
  </si>
  <si>
    <t>ORD1318</t>
  </si>
  <si>
    <t>CUST318</t>
  </si>
  <si>
    <t>Neha Shah</t>
  </si>
  <si>
    <t>ORD1319</t>
  </si>
  <si>
    <t>CUST319</t>
  </si>
  <si>
    <t>Sneha Singh</t>
  </si>
  <si>
    <t>ORD1320</t>
  </si>
  <si>
    <t>CUST320</t>
  </si>
  <si>
    <t>Rahul Sharma</t>
  </si>
  <si>
    <t>ORD1321</t>
  </si>
  <si>
    <t>CUST321</t>
  </si>
  <si>
    <t>ORD1322</t>
  </si>
  <si>
    <t>CUST322</t>
  </si>
  <si>
    <t>ORD1323</t>
  </si>
  <si>
    <t>CUST323</t>
  </si>
  <si>
    <t>ORD1324</t>
  </si>
  <si>
    <t>CUST324</t>
  </si>
  <si>
    <t>ORD1325</t>
  </si>
  <si>
    <t>CUST325</t>
  </si>
  <si>
    <t>ORD1326</t>
  </si>
  <si>
    <t>CUST326</t>
  </si>
  <si>
    <t>Rakesh Desai</t>
  </si>
  <si>
    <t>ORD1327</t>
  </si>
  <si>
    <t>CUST327</t>
  </si>
  <si>
    <t>ORD1328</t>
  </si>
  <si>
    <t>CUST328</t>
  </si>
  <si>
    <t>ORD1329</t>
  </si>
  <si>
    <t>CUST329</t>
  </si>
  <si>
    <t>ORD1330</t>
  </si>
  <si>
    <t>CUST330</t>
  </si>
  <si>
    <t>ORD1331</t>
  </si>
  <si>
    <t>CUST331</t>
  </si>
  <si>
    <t>ORD1332</t>
  </si>
  <si>
    <t>CUST332</t>
  </si>
  <si>
    <t>Vivek Mehta</t>
  </si>
  <si>
    <t>ORD1333</t>
  </si>
  <si>
    <t>CUST333</t>
  </si>
  <si>
    <t>Sneha Verma</t>
  </si>
  <si>
    <t>ORD1334</t>
  </si>
  <si>
    <t>CUST334</t>
  </si>
  <si>
    <t>ORD1335</t>
  </si>
  <si>
    <t>CUST335</t>
  </si>
  <si>
    <t>ORD1336</t>
  </si>
  <si>
    <t>CUST336</t>
  </si>
  <si>
    <t>ORD1337</t>
  </si>
  <si>
    <t>CUST337</t>
  </si>
  <si>
    <t>ORD1338</t>
  </si>
  <si>
    <t>CUST338</t>
  </si>
  <si>
    <t>ORD1339</t>
  </si>
  <si>
    <t>CUST339</t>
  </si>
  <si>
    <t>ORD1340</t>
  </si>
  <si>
    <t>CUST340</t>
  </si>
  <si>
    <t>ORD1341</t>
  </si>
  <si>
    <t>CUST341</t>
  </si>
  <si>
    <t>ORD1342</t>
  </si>
  <si>
    <t>CUST342</t>
  </si>
  <si>
    <t>Kunal Joshi</t>
  </si>
  <si>
    <t>ORD1343</t>
  </si>
  <si>
    <t>CUST343</t>
  </si>
  <si>
    <t>ORD1344</t>
  </si>
  <si>
    <t>CUST344</t>
  </si>
  <si>
    <t>ORD1345</t>
  </si>
  <si>
    <t>CUST345</t>
  </si>
  <si>
    <t>Pooja Kumar</t>
  </si>
  <si>
    <t>ORD1346</t>
  </si>
  <si>
    <t>CUST346</t>
  </si>
  <si>
    <t>ORD1347</t>
  </si>
  <si>
    <t>CUST347</t>
  </si>
  <si>
    <t>ORD1348</t>
  </si>
  <si>
    <t>CUST348</t>
  </si>
  <si>
    <t>ORD1349</t>
  </si>
  <si>
    <t>CUST349</t>
  </si>
  <si>
    <t>ORD1350</t>
  </si>
  <si>
    <t>CUST350</t>
  </si>
  <si>
    <t>ORD1351</t>
  </si>
  <si>
    <t>CUST351</t>
  </si>
  <si>
    <t>ORD1352</t>
  </si>
  <si>
    <t>CUST352</t>
  </si>
  <si>
    <t>ORD1353</t>
  </si>
  <si>
    <t>CUST353</t>
  </si>
  <si>
    <t>ORD1354</t>
  </si>
  <si>
    <t>CUST354</t>
  </si>
  <si>
    <t>Aisha Joshi</t>
  </si>
  <si>
    <t>ORD1355</t>
  </si>
  <si>
    <t>CUST355</t>
  </si>
  <si>
    <t>ORD1356</t>
  </si>
  <si>
    <t>CUST356</t>
  </si>
  <si>
    <t>ORD1357</t>
  </si>
  <si>
    <t>CUST357</t>
  </si>
  <si>
    <t>ORD1358</t>
  </si>
  <si>
    <t>CUST358</t>
  </si>
  <si>
    <t>ORD1359</t>
  </si>
  <si>
    <t>CUST359</t>
  </si>
  <si>
    <t>ORD1360</t>
  </si>
  <si>
    <t>CUST360</t>
  </si>
  <si>
    <t>ORD1361</t>
  </si>
  <si>
    <t>CUST361</t>
  </si>
  <si>
    <t>ORD1362</t>
  </si>
  <si>
    <t>CUST362</t>
  </si>
  <si>
    <t>ORD1363</t>
  </si>
  <si>
    <t>CUST363</t>
  </si>
  <si>
    <t>ORD1364</t>
  </si>
  <si>
    <t>CUST364</t>
  </si>
  <si>
    <t>Anjali Joshi</t>
  </si>
  <si>
    <t>ORD1365</t>
  </si>
  <si>
    <t>CUST365</t>
  </si>
  <si>
    <t>ORD1366</t>
  </si>
  <si>
    <t>CUST366</t>
  </si>
  <si>
    <t>ORD1367</t>
  </si>
  <si>
    <t>CUST367</t>
  </si>
  <si>
    <t>Mohit Desai</t>
  </si>
  <si>
    <t>ORD1368</t>
  </si>
  <si>
    <t>CUST368</t>
  </si>
  <si>
    <t>ORD1369</t>
  </si>
  <si>
    <t>CUST369</t>
  </si>
  <si>
    <t>ORD1370</t>
  </si>
  <si>
    <t>CUST370</t>
  </si>
  <si>
    <t>ORD1371</t>
  </si>
  <si>
    <t>CUST371</t>
  </si>
  <si>
    <t>ORD1372</t>
  </si>
  <si>
    <t>CUST372</t>
  </si>
  <si>
    <t>Arjun Desai</t>
  </si>
  <si>
    <t>ORD1373</t>
  </si>
  <si>
    <t>CUST373</t>
  </si>
  <si>
    <t>ORD1374</t>
  </si>
  <si>
    <t>CUST374</t>
  </si>
  <si>
    <t>ORD1375</t>
  </si>
  <si>
    <t>CUST375</t>
  </si>
  <si>
    <t>ORD1376</t>
  </si>
  <si>
    <t>CUST376</t>
  </si>
  <si>
    <t>ORD1377</t>
  </si>
  <si>
    <t>CUST377</t>
  </si>
  <si>
    <t>ORD1378</t>
  </si>
  <si>
    <t>CUST378</t>
  </si>
  <si>
    <t>ORD1379</t>
  </si>
  <si>
    <t>CUST379</t>
  </si>
  <si>
    <t>ORD1380</t>
  </si>
  <si>
    <t>CUST380</t>
  </si>
  <si>
    <t>ORD1381</t>
  </si>
  <si>
    <t>CUST381</t>
  </si>
  <si>
    <t>ORD1382</t>
  </si>
  <si>
    <t>CUST382</t>
  </si>
  <si>
    <t>ORD1383</t>
  </si>
  <si>
    <t>CUST383</t>
  </si>
  <si>
    <t>ORD1384</t>
  </si>
  <si>
    <t>CUST384</t>
  </si>
  <si>
    <t>ORD1385</t>
  </si>
  <si>
    <t>CUST385</t>
  </si>
  <si>
    <t>Amit Shah</t>
  </si>
  <si>
    <t>ORD1386</t>
  </si>
  <si>
    <t>CUST386</t>
  </si>
  <si>
    <t>ORD1387</t>
  </si>
  <si>
    <t>CUST387</t>
  </si>
  <si>
    <t>ORD1388</t>
  </si>
  <si>
    <t>CUST388</t>
  </si>
  <si>
    <t>ORD1389</t>
  </si>
  <si>
    <t>CUST389</t>
  </si>
  <si>
    <t>ORD1390</t>
  </si>
  <si>
    <t>CUST390</t>
  </si>
  <si>
    <t>ORD1391</t>
  </si>
  <si>
    <t>CUST391</t>
  </si>
  <si>
    <t>ORD1392</t>
  </si>
  <si>
    <t>CUST392</t>
  </si>
  <si>
    <t>Komal Mehta</t>
  </si>
  <si>
    <t>ORD1393</t>
  </si>
  <si>
    <t>CUST393</t>
  </si>
  <si>
    <t>ORD1394</t>
  </si>
  <si>
    <t>CUST394</t>
  </si>
  <si>
    <t>ORD1395</t>
  </si>
  <si>
    <t>CUST395</t>
  </si>
  <si>
    <t>ORD1396</t>
  </si>
  <si>
    <t>CUST396</t>
  </si>
  <si>
    <t>ORD1397</t>
  </si>
  <si>
    <t>CUST397</t>
  </si>
  <si>
    <t>ORD1398</t>
  </si>
  <si>
    <t>CUST398</t>
  </si>
  <si>
    <t>ORD1399</t>
  </si>
  <si>
    <t>CUST399</t>
  </si>
  <si>
    <t>ORD1400</t>
  </si>
  <si>
    <t>CUST400</t>
  </si>
  <si>
    <t>ORD1401</t>
  </si>
  <si>
    <t>CUST401</t>
  </si>
  <si>
    <t>ORD1402</t>
  </si>
  <si>
    <t>CUST402</t>
  </si>
  <si>
    <t>ORD1403</t>
  </si>
  <si>
    <t>CUST403</t>
  </si>
  <si>
    <t>ORD1404</t>
  </si>
  <si>
    <t>CUST404</t>
  </si>
  <si>
    <t>ORD1405</t>
  </si>
  <si>
    <t>CUST405</t>
  </si>
  <si>
    <t>ORD1406</t>
  </si>
  <si>
    <t>CUST406</t>
  </si>
  <si>
    <t>Rohan Joshi</t>
  </si>
  <si>
    <t>ORD1407</t>
  </si>
  <si>
    <t>CUST407</t>
  </si>
  <si>
    <t>ORD1408</t>
  </si>
  <si>
    <t>CUST408</t>
  </si>
  <si>
    <t>ORD1409</t>
  </si>
  <si>
    <t>CUST409</t>
  </si>
  <si>
    <t>ORD1410</t>
  </si>
  <si>
    <t>CUST410</t>
  </si>
  <si>
    <t>ORD1411</t>
  </si>
  <si>
    <t>CUST411</t>
  </si>
  <si>
    <t>ORD1412</t>
  </si>
  <si>
    <t>CUST412</t>
  </si>
  <si>
    <t>ORD1413</t>
  </si>
  <si>
    <t>CUST413</t>
  </si>
  <si>
    <t>ORD1414</t>
  </si>
  <si>
    <t>CUST414</t>
  </si>
  <si>
    <t>ORD1415</t>
  </si>
  <si>
    <t>CUST415</t>
  </si>
  <si>
    <t>ORD1416</t>
  </si>
  <si>
    <t>CUST416</t>
  </si>
  <si>
    <t>ORD1417</t>
  </si>
  <si>
    <t>CUST417</t>
  </si>
  <si>
    <t>ORD1418</t>
  </si>
  <si>
    <t>CUST418</t>
  </si>
  <si>
    <t>ORD1419</t>
  </si>
  <si>
    <t>CUST419</t>
  </si>
  <si>
    <t>ORD1420</t>
  </si>
  <si>
    <t>CUST420</t>
  </si>
  <si>
    <t>ORD1421</t>
  </si>
  <si>
    <t>CUST421</t>
  </si>
  <si>
    <t>ORD1422</t>
  </si>
  <si>
    <t>CUST422</t>
  </si>
  <si>
    <t>Sagar Desai</t>
  </si>
  <si>
    <t>ORD1423</t>
  </si>
  <si>
    <t>CUST423</t>
  </si>
  <si>
    <t>ORD1424</t>
  </si>
  <si>
    <t>CUST424</t>
  </si>
  <si>
    <t>ORD1425</t>
  </si>
  <si>
    <t>CUST425</t>
  </si>
  <si>
    <t>ORD1426</t>
  </si>
  <si>
    <t>CUST426</t>
  </si>
  <si>
    <t>ORD1427</t>
  </si>
  <si>
    <t>CUST427</t>
  </si>
  <si>
    <t>ORD1428</t>
  </si>
  <si>
    <t>CUST428</t>
  </si>
  <si>
    <t>Riya Verma</t>
  </si>
  <si>
    <t>ORD1429</t>
  </si>
  <si>
    <t>CUST429</t>
  </si>
  <si>
    <t>Nisha Verma</t>
  </si>
  <si>
    <t>ORD1430</t>
  </si>
  <si>
    <t>CUST430</t>
  </si>
  <si>
    <t>ORD1431</t>
  </si>
  <si>
    <t>CUST431</t>
  </si>
  <si>
    <t>ORD1432</t>
  </si>
  <si>
    <t>CUST432</t>
  </si>
  <si>
    <t>ORD1433</t>
  </si>
  <si>
    <t>CUST433</t>
  </si>
  <si>
    <t>ORD1434</t>
  </si>
  <si>
    <t>CUST434</t>
  </si>
  <si>
    <t>ORD1435</t>
  </si>
  <si>
    <t>CUST435</t>
  </si>
  <si>
    <t>ORD1436</t>
  </si>
  <si>
    <t>CUST436</t>
  </si>
  <si>
    <t>Anjali Patel</t>
  </si>
  <si>
    <t>ORD1437</t>
  </si>
  <si>
    <t>CUST437</t>
  </si>
  <si>
    <t>ORD1438</t>
  </si>
  <si>
    <t>CUST438</t>
  </si>
  <si>
    <t>ORD1439</t>
  </si>
  <si>
    <t>CUST439</t>
  </si>
  <si>
    <t>ORD1440</t>
  </si>
  <si>
    <t>CUST440</t>
  </si>
  <si>
    <t>ORD1441</t>
  </si>
  <si>
    <t>CUST441</t>
  </si>
  <si>
    <t>ORD1442</t>
  </si>
  <si>
    <t>CUST442</t>
  </si>
  <si>
    <t>ORD1443</t>
  </si>
  <si>
    <t>CUST443</t>
  </si>
  <si>
    <t>ORD1444</t>
  </si>
  <si>
    <t>CUST444</t>
  </si>
  <si>
    <t>ORD1445</t>
  </si>
  <si>
    <t>CUST445</t>
  </si>
  <si>
    <t>ORD1446</t>
  </si>
  <si>
    <t>CUST446</t>
  </si>
  <si>
    <t>ORD1447</t>
  </si>
  <si>
    <t>CUST447</t>
  </si>
  <si>
    <t>ORD1448</t>
  </si>
  <si>
    <t>CUST448</t>
  </si>
  <si>
    <t>ORD1449</t>
  </si>
  <si>
    <t>CUST449</t>
  </si>
  <si>
    <t>ORD1450</t>
  </si>
  <si>
    <t>CUST450</t>
  </si>
  <si>
    <t>ORD1451</t>
  </si>
  <si>
    <t>CUST451</t>
  </si>
  <si>
    <t>ORD1452</t>
  </si>
  <si>
    <t>CUST452</t>
  </si>
  <si>
    <t>ORD1453</t>
  </si>
  <si>
    <t>CUST453</t>
  </si>
  <si>
    <t>ORD1454</t>
  </si>
  <si>
    <t>CUST454</t>
  </si>
  <si>
    <t>ORD1455</t>
  </si>
  <si>
    <t>CUST455</t>
  </si>
  <si>
    <t>ORD1456</t>
  </si>
  <si>
    <t>CUST456</t>
  </si>
  <si>
    <t>ORD1457</t>
  </si>
  <si>
    <t>CUST457</t>
  </si>
  <si>
    <t>ORD1458</t>
  </si>
  <si>
    <t>CUST458</t>
  </si>
  <si>
    <t>ORD1459</t>
  </si>
  <si>
    <t>CUST459</t>
  </si>
  <si>
    <t>ORD1460</t>
  </si>
  <si>
    <t>CUST460</t>
  </si>
  <si>
    <t>ORD1461</t>
  </si>
  <si>
    <t>CUST461</t>
  </si>
  <si>
    <t>ORD1462</t>
  </si>
  <si>
    <t>CUST462</t>
  </si>
  <si>
    <t>ORD1463</t>
  </si>
  <si>
    <t>CUST463</t>
  </si>
  <si>
    <t>ORD1464</t>
  </si>
  <si>
    <t>CUST464</t>
  </si>
  <si>
    <t>ORD1465</t>
  </si>
  <si>
    <t>CUST465</t>
  </si>
  <si>
    <t>ORD1466</t>
  </si>
  <si>
    <t>CUST466</t>
  </si>
  <si>
    <t>ORD1467</t>
  </si>
  <si>
    <t>CUST467</t>
  </si>
  <si>
    <t>ORD1468</t>
  </si>
  <si>
    <t>CUST468</t>
  </si>
  <si>
    <t>ORD1469</t>
  </si>
  <si>
    <t>CUST469</t>
  </si>
  <si>
    <t>ORD1470</t>
  </si>
  <si>
    <t>CUST470</t>
  </si>
  <si>
    <t>ORD1471</t>
  </si>
  <si>
    <t>CUST471</t>
  </si>
  <si>
    <t>ORD1472</t>
  </si>
  <si>
    <t>CUST472</t>
  </si>
  <si>
    <t>ORD1473</t>
  </si>
  <si>
    <t>CUST473</t>
  </si>
  <si>
    <t>ORD1474</t>
  </si>
  <si>
    <t>CUST474</t>
  </si>
  <si>
    <t>ORD1475</t>
  </si>
  <si>
    <t>CUST475</t>
  </si>
  <si>
    <t>ORD1476</t>
  </si>
  <si>
    <t>CUST476</t>
  </si>
  <si>
    <t>ORD1477</t>
  </si>
  <si>
    <t>CUST477</t>
  </si>
  <si>
    <t>ORD1478</t>
  </si>
  <si>
    <t>CUST478</t>
  </si>
  <si>
    <t>ORD1479</t>
  </si>
  <si>
    <t>CUST479</t>
  </si>
  <si>
    <t>ORD1480</t>
  </si>
  <si>
    <t>CUST480</t>
  </si>
  <si>
    <t>ORD1481</t>
  </si>
  <si>
    <t>CUST481</t>
  </si>
  <si>
    <t>ORD1482</t>
  </si>
  <si>
    <t>CUST482</t>
  </si>
  <si>
    <t>ORD1483</t>
  </si>
  <si>
    <t>CUST483</t>
  </si>
  <si>
    <t>ORD1484</t>
  </si>
  <si>
    <t>CUST484</t>
  </si>
  <si>
    <t>Kunal Kumar</t>
  </si>
  <si>
    <t>ORD1485</t>
  </si>
  <si>
    <t>CUST485</t>
  </si>
  <si>
    <t>ORD1486</t>
  </si>
  <si>
    <t>CUST486</t>
  </si>
  <si>
    <t>ORD1487</t>
  </si>
  <si>
    <t>CUST487</t>
  </si>
  <si>
    <t>ORD1488</t>
  </si>
  <si>
    <t>CUST488</t>
  </si>
  <si>
    <t>Karan Verma</t>
  </si>
  <si>
    <t>ORD1489</t>
  </si>
  <si>
    <t>CUST489</t>
  </si>
  <si>
    <t>ORD1490</t>
  </si>
  <si>
    <t>CUST490</t>
  </si>
  <si>
    <t>ORD1491</t>
  </si>
  <si>
    <t>CUST491</t>
  </si>
  <si>
    <t>ORD1492</t>
  </si>
  <si>
    <t>CUST492</t>
  </si>
  <si>
    <t>ORD1493</t>
  </si>
  <si>
    <t>CUST493</t>
  </si>
  <si>
    <t>ORD1494</t>
  </si>
  <si>
    <t>CUST494</t>
  </si>
  <si>
    <t>ORD1495</t>
  </si>
  <si>
    <t>CUST495</t>
  </si>
  <si>
    <t>ORD1496</t>
  </si>
  <si>
    <t>CUST496</t>
  </si>
  <si>
    <t>ORD1497</t>
  </si>
  <si>
    <t>CUST497</t>
  </si>
  <si>
    <t>ORD1498</t>
  </si>
  <si>
    <t>CUST498</t>
  </si>
  <si>
    <t>ORD1499</t>
  </si>
  <si>
    <t>CUST499</t>
  </si>
  <si>
    <t>ORD1500</t>
  </si>
  <si>
    <t>CUST500</t>
  </si>
  <si>
    <t>total sale</t>
  </si>
  <si>
    <t>total prof.</t>
  </si>
  <si>
    <t>total ord.</t>
  </si>
  <si>
    <t>total cust.</t>
  </si>
  <si>
    <t>AVG order value</t>
  </si>
  <si>
    <t>AVG Rating</t>
  </si>
  <si>
    <t>Total QUAN sold</t>
  </si>
  <si>
    <t>Prof. margin</t>
  </si>
  <si>
    <t>Row Labels</t>
  </si>
  <si>
    <t>Grand Total</t>
  </si>
  <si>
    <t>Sum of Sales Amount</t>
  </si>
  <si>
    <t>Sum of Profit</t>
  </si>
  <si>
    <t>January</t>
  </si>
  <si>
    <t>February</t>
  </si>
  <si>
    <t>March</t>
  </si>
  <si>
    <t>April</t>
  </si>
  <si>
    <t>May</t>
  </si>
  <si>
    <t>June</t>
  </si>
  <si>
    <t>July</t>
  </si>
  <si>
    <t>August</t>
  </si>
  <si>
    <t>September</t>
  </si>
  <si>
    <t>October</t>
  </si>
  <si>
    <t>November</t>
  </si>
  <si>
    <t>December</t>
  </si>
  <si>
    <t>Count of Order ID</t>
  </si>
  <si>
    <t>Premium</t>
  </si>
  <si>
    <t>Regular</t>
  </si>
  <si>
    <t>Total Sales</t>
  </si>
  <si>
    <t>Total Profit</t>
  </si>
  <si>
    <t>Orders</t>
  </si>
  <si>
    <t>Customers</t>
  </si>
  <si>
    <t>Sold Quantity</t>
  </si>
  <si>
    <t>E-Commerce Sales Performance Dashboard – 2026</t>
  </si>
  <si>
    <t>s</t>
  </si>
  <si>
    <t>Profit Margin %</t>
  </si>
  <si>
    <t>Delivered Order %</t>
  </si>
  <si>
    <t>Delivered %</t>
  </si>
  <si>
    <t>Average of Rating</t>
  </si>
  <si>
    <t>Sum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</si>
</sst>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quot;₹&quot;\ #,##0.00"/>
  </numFmts>
  <fonts count="9" x14ac:knownFonts="1">
    <font>
      <sz val="11"/>
      <color theme="1"/>
      <name val="Calibri"/>
      <family val="2"/>
      <scheme val="minor"/>
    </font>
    <font>
      <b/>
      <sz val="11"/>
      <color theme="1"/>
      <name val="Calibri"/>
      <family val="2"/>
      <scheme val="minor"/>
    </font>
    <font>
      <sz val="8"/>
      <name val="Calibri"/>
      <family val="2"/>
      <scheme val="minor"/>
    </font>
    <font>
      <sz val="11"/>
      <color theme="1"/>
      <name val="Calibri"/>
      <family val="2"/>
      <scheme val="minor"/>
    </font>
    <font>
      <b/>
      <sz val="11"/>
      <name val="Calibri"/>
    </font>
    <font>
      <b/>
      <sz val="11"/>
      <name val="Calibri"/>
      <family val="2"/>
    </font>
    <font>
      <b/>
      <sz val="28"/>
      <color theme="0"/>
      <name val="Calibri"/>
      <family val="2"/>
      <scheme val="minor"/>
    </font>
    <font>
      <b/>
      <sz val="18"/>
      <color theme="0"/>
      <name val="Calibri"/>
      <family val="2"/>
      <scheme val="minor"/>
    </font>
    <font>
      <b/>
      <sz val="24"/>
      <color theme="0"/>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8" tint="0.39997558519241921"/>
        <bgColor indexed="64"/>
      </patternFill>
    </fill>
  </fills>
  <borders count="1">
    <border>
      <left/>
      <right/>
      <top/>
      <bottom/>
      <diagonal/>
    </border>
  </borders>
  <cellStyleXfs count="2">
    <xf numFmtId="0" fontId="0" fillId="0" borderId="0"/>
    <xf numFmtId="44" fontId="3" fillId="0" borderId="0" applyFont="0" applyFill="0" applyBorder="0" applyAlignment="0" applyProtection="0"/>
  </cellStyleXfs>
  <cellXfs count="42">
    <xf numFmtId="0" fontId="0" fillId="0" borderId="0" xfId="0"/>
    <xf numFmtId="0" fontId="0" fillId="0" borderId="0" xfId="0" applyAlignment="1">
      <alignment horizontal="center"/>
    </xf>
    <xf numFmtId="0" fontId="4" fillId="0" borderId="0" xfId="0" applyFont="1" applyAlignment="1">
      <alignment horizontal="center" vertical="center"/>
    </xf>
    <xf numFmtId="0" fontId="0" fillId="0" borderId="0" xfId="0" applyAlignment="1">
      <alignment horizontal="center" vertical="center"/>
    </xf>
    <xf numFmtId="0" fontId="5" fillId="0" borderId="0" xfId="0" applyFont="1" applyAlignment="1">
      <alignment horizontal="center" vertical="center"/>
    </xf>
    <xf numFmtId="10" fontId="4" fillId="0" borderId="0" xfId="0" applyNumberFormat="1" applyFont="1" applyAlignment="1">
      <alignment horizontal="center" vertical="center"/>
    </xf>
    <xf numFmtId="10" fontId="0" fillId="0" borderId="0" xfId="0" applyNumberFormat="1" applyAlignment="1">
      <alignment horizontal="center" vertical="center"/>
    </xf>
    <xf numFmtId="10" fontId="0" fillId="0" borderId="0" xfId="0" applyNumberFormat="1" applyAlignment="1">
      <alignment horizontal="center"/>
    </xf>
    <xf numFmtId="164" fontId="4" fillId="0" borderId="0" xfId="0" applyNumberFormat="1" applyFont="1" applyAlignment="1">
      <alignment horizontal="center" vertical="center"/>
    </xf>
    <xf numFmtId="164" fontId="0" fillId="0" borderId="0" xfId="0" applyNumberFormat="1" applyAlignment="1">
      <alignment horizontal="center" vertical="center"/>
    </xf>
    <xf numFmtId="164" fontId="0" fillId="0" borderId="0" xfId="0" applyNumberFormat="1" applyAlignment="1">
      <alignment horizontal="center"/>
    </xf>
    <xf numFmtId="44" fontId="4" fillId="0" borderId="0" xfId="1" applyFont="1" applyAlignment="1">
      <alignment horizontal="center" vertical="center"/>
    </xf>
    <xf numFmtId="44" fontId="0" fillId="0" borderId="0" xfId="1" applyFont="1" applyAlignment="1">
      <alignment horizontal="center" vertical="center"/>
    </xf>
    <xf numFmtId="44" fontId="0" fillId="0" borderId="0" xfId="1" applyFont="1" applyAlignment="1">
      <alignment horizontal="center"/>
    </xf>
    <xf numFmtId="14" fontId="4" fillId="0" borderId="0" xfId="0" applyNumberFormat="1" applyFont="1" applyAlignment="1">
      <alignment horizontal="center" vertical="center"/>
    </xf>
    <xf numFmtId="14" fontId="0" fillId="0" borderId="0" xfId="0" applyNumberFormat="1" applyAlignment="1">
      <alignment horizontal="center" vertical="center"/>
    </xf>
    <xf numFmtId="14" fontId="0" fillId="0" borderId="0" xfId="0" applyNumberFormat="1" applyAlignment="1">
      <alignment horizontal="center"/>
    </xf>
    <xf numFmtId="44" fontId="0" fillId="0" borderId="0" xfId="0" applyNumberFormat="1"/>
    <xf numFmtId="164" fontId="0" fillId="0" borderId="0" xfId="0" applyNumberFormat="1"/>
    <xf numFmtId="0" fontId="1" fillId="0" borderId="0" xfId="0" applyFont="1"/>
    <xf numFmtId="0" fontId="1" fillId="0" borderId="0" xfId="0" applyFont="1" applyAlignment="1">
      <alignment horizontal="center"/>
    </xf>
    <xf numFmtId="164" fontId="1" fillId="0" borderId="0" xfId="0" applyNumberFormat="1" applyFont="1" applyAlignment="1">
      <alignment horizontal="center"/>
    </xf>
    <xf numFmtId="44" fontId="1" fillId="0" borderId="0" xfId="0" applyNumberFormat="1" applyFont="1" applyAlignment="1">
      <alignment horizontal="center"/>
    </xf>
    <xf numFmtId="2" fontId="1" fillId="0" borderId="0" xfId="0" applyNumberFormat="1" applyFont="1" applyAlignment="1">
      <alignment horizontal="center"/>
    </xf>
    <xf numFmtId="0" fontId="0" fillId="0" borderId="0" xfId="0" applyAlignment="1">
      <alignment horizontal="left"/>
    </xf>
    <xf numFmtId="10" fontId="1" fillId="0" borderId="0" xfId="1" applyNumberFormat="1" applyFont="1" applyAlignment="1">
      <alignment horizontal="center"/>
    </xf>
    <xf numFmtId="10" fontId="5" fillId="0" borderId="0" xfId="0" applyNumberFormat="1" applyFont="1" applyAlignment="1">
      <alignment horizontal="center" vertical="center"/>
    </xf>
    <xf numFmtId="0" fontId="0" fillId="0" borderId="0" xfId="0" pivotButton="1"/>
    <xf numFmtId="0" fontId="0" fillId="0" borderId="0" xfId="0" applyAlignment="1">
      <alignment vertical="center"/>
    </xf>
    <xf numFmtId="0" fontId="7" fillId="3" borderId="0" xfId="0" applyFont="1" applyFill="1" applyAlignment="1">
      <alignment horizontal="center" vertical="center"/>
    </xf>
    <xf numFmtId="0" fontId="7" fillId="3" borderId="0" xfId="0" applyFont="1" applyFill="1" applyAlignment="1">
      <alignment horizontal="center"/>
    </xf>
    <xf numFmtId="0" fontId="6" fillId="2" borderId="0" xfId="0" applyFont="1" applyFill="1" applyAlignment="1">
      <alignment horizontal="center" vertical="center"/>
    </xf>
    <xf numFmtId="164" fontId="7" fillId="3" borderId="0" xfId="1" applyNumberFormat="1" applyFont="1" applyFill="1" applyAlignment="1">
      <alignment horizontal="center" vertical="center"/>
    </xf>
    <xf numFmtId="164" fontId="7" fillId="3" borderId="0" xfId="0" applyNumberFormat="1" applyFont="1" applyFill="1" applyAlignment="1">
      <alignment horizontal="center" vertical="center"/>
    </xf>
    <xf numFmtId="0" fontId="7" fillId="0" borderId="0" xfId="0" applyFont="1" applyFill="1" applyAlignment="1"/>
    <xf numFmtId="0" fontId="7" fillId="0" borderId="0" xfId="0" applyFont="1" applyFill="1" applyAlignment="1">
      <alignment vertical="center"/>
    </xf>
    <xf numFmtId="10" fontId="0" fillId="0" borderId="0" xfId="0" applyNumberFormat="1"/>
    <xf numFmtId="10" fontId="7" fillId="3" borderId="0" xfId="0" applyNumberFormat="1" applyFont="1" applyFill="1" applyAlignment="1">
      <alignment horizontal="center" vertical="center"/>
    </xf>
    <xf numFmtId="0" fontId="0" fillId="0" borderId="0" xfId="0" applyNumberFormat="1"/>
    <xf numFmtId="2" fontId="0" fillId="0" borderId="0" xfId="0" applyNumberFormat="1"/>
    <xf numFmtId="0" fontId="8" fillId="0" borderId="0" xfId="0" applyFont="1" applyFill="1" applyAlignment="1">
      <alignment vertical="top" wrapText="1"/>
    </xf>
    <xf numFmtId="0" fontId="8" fillId="0" borderId="0" xfId="0" applyFont="1" applyFill="1" applyAlignment="1">
      <alignment vertical="top"/>
    </xf>
  </cellXfs>
  <cellStyles count="2">
    <cellStyle name="Currency" xfId="1" builtinId="4"/>
    <cellStyle name="Normal" xfId="0" builtinId="0"/>
  </cellStyles>
  <dxfs count="44">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1/relationships/timelineCache" Target="timelineCaches/timelineCache1.xml"/><Relationship Id="rId18"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5.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Category Wise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table'!$F$3</c:f>
              <c:strCache>
                <c:ptCount val="1"/>
                <c:pt idx="0">
                  <c:v>Total</c:v>
                </c:pt>
              </c:strCache>
            </c:strRef>
          </c:tx>
          <c:spPr>
            <a:solidFill>
              <a:schemeClr val="accent1"/>
            </a:solidFill>
            <a:ln>
              <a:noFill/>
            </a:ln>
            <a:effectLst/>
          </c:spPr>
          <c:invertIfNegative val="0"/>
          <c:cat>
            <c:strRef>
              <c:f>'Pivot table'!$E$4:$E$7</c:f>
              <c:strCache>
                <c:ptCount val="3"/>
                <c:pt idx="0">
                  <c:v>Electronics</c:v>
                </c:pt>
                <c:pt idx="1">
                  <c:v>Fashion</c:v>
                </c:pt>
                <c:pt idx="2">
                  <c:v>Home &amp; Kitchen</c:v>
                </c:pt>
              </c:strCache>
            </c:strRef>
          </c:cat>
          <c:val>
            <c:numRef>
              <c:f>'Pivot table'!$F$4:$F$7</c:f>
              <c:numCache>
                <c:formatCode>"₹"\ #,##0.00</c:formatCode>
                <c:ptCount val="3"/>
                <c:pt idx="0">
                  <c:v>2888654</c:v>
                </c:pt>
                <c:pt idx="1">
                  <c:v>151875</c:v>
                </c:pt>
                <c:pt idx="2">
                  <c:v>133880</c:v>
                </c:pt>
              </c:numCache>
            </c:numRef>
          </c:val>
          <c:extLst>
            <c:ext xmlns:c16="http://schemas.microsoft.com/office/drawing/2014/chart" uri="{C3380CC4-5D6E-409C-BE32-E72D297353CC}">
              <c16:uniqueId val="{00000000-455D-4649-A26C-A2DB28CE9818}"/>
            </c:ext>
          </c:extLst>
        </c:ser>
        <c:dLbls>
          <c:showLegendKey val="0"/>
          <c:showVal val="0"/>
          <c:showCatName val="0"/>
          <c:showSerName val="0"/>
          <c:showPercent val="0"/>
          <c:showBubbleSize val="0"/>
        </c:dLbls>
        <c:gapWidth val="182"/>
        <c:axId val="1864279856"/>
        <c:axId val="1211894176"/>
      </c:barChart>
      <c:catAx>
        <c:axId val="1864279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894176"/>
        <c:crosses val="autoZero"/>
        <c:auto val="1"/>
        <c:lblAlgn val="ctr"/>
        <c:lblOffset val="100"/>
        <c:noMultiLvlLbl val="0"/>
      </c:catAx>
      <c:valAx>
        <c:axId val="121189417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279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table'!$I$3</c:f>
              <c:strCache>
                <c:ptCount val="1"/>
                <c:pt idx="0">
                  <c:v>Total</c:v>
                </c:pt>
              </c:strCache>
            </c:strRef>
          </c:tx>
          <c:spPr>
            <a:ln w="28575" cap="rnd">
              <a:solidFill>
                <a:schemeClr val="accent1"/>
              </a:solidFill>
              <a:round/>
            </a:ln>
            <a:effectLst/>
          </c:spPr>
          <c:marker>
            <c:symbol val="none"/>
          </c:marker>
          <c:cat>
            <c:strRef>
              <c:f>'Pivot table'!$H$4:$H$16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table'!$I$4:$I$16</c:f>
              <c:numCache>
                <c:formatCode>_("₹"* #,##0.00_);_("₹"* \(#,##0.00\);_("₹"* "-"??_);_(@_)</c:formatCode>
                <c:ptCount val="12"/>
                <c:pt idx="0">
                  <c:v>5246698</c:v>
                </c:pt>
                <c:pt idx="1">
                  <c:v>2424597</c:v>
                </c:pt>
                <c:pt idx="2">
                  <c:v>4059235</c:v>
                </c:pt>
                <c:pt idx="3">
                  <c:v>2721255</c:v>
                </c:pt>
                <c:pt idx="4">
                  <c:v>4632246</c:v>
                </c:pt>
                <c:pt idx="5">
                  <c:v>3013811</c:v>
                </c:pt>
                <c:pt idx="6">
                  <c:v>3559245</c:v>
                </c:pt>
                <c:pt idx="7">
                  <c:v>3630152</c:v>
                </c:pt>
                <c:pt idx="8">
                  <c:v>4558724</c:v>
                </c:pt>
                <c:pt idx="9">
                  <c:v>4139846</c:v>
                </c:pt>
                <c:pt idx="10">
                  <c:v>3714252</c:v>
                </c:pt>
                <c:pt idx="11">
                  <c:v>3492948</c:v>
                </c:pt>
              </c:numCache>
            </c:numRef>
          </c:val>
          <c:smooth val="0"/>
          <c:extLst>
            <c:ext xmlns:c16="http://schemas.microsoft.com/office/drawing/2014/chart" uri="{C3380CC4-5D6E-409C-BE32-E72D297353CC}">
              <c16:uniqueId val="{00000000-28C2-4871-B65C-B39BAC7D23AF}"/>
            </c:ext>
          </c:extLst>
        </c:ser>
        <c:dLbls>
          <c:showLegendKey val="0"/>
          <c:showVal val="0"/>
          <c:showCatName val="0"/>
          <c:showSerName val="0"/>
          <c:showPercent val="0"/>
          <c:showBubbleSize val="0"/>
        </c:dLbls>
        <c:smooth val="0"/>
        <c:axId val="1589963568"/>
        <c:axId val="1211877856"/>
      </c:lineChart>
      <c:catAx>
        <c:axId val="158996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877856"/>
        <c:crosses val="autoZero"/>
        <c:auto val="1"/>
        <c:lblAlgn val="ctr"/>
        <c:lblOffset val="100"/>
        <c:noMultiLvlLbl val="0"/>
      </c:catAx>
      <c:valAx>
        <c:axId val="12118778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96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Region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table'!$L$3</c:f>
              <c:strCache>
                <c:ptCount val="1"/>
                <c:pt idx="0">
                  <c:v>Total</c:v>
                </c:pt>
              </c:strCache>
            </c:strRef>
          </c:tx>
          <c:spPr>
            <a:solidFill>
              <a:schemeClr val="accent1"/>
            </a:solidFill>
            <a:ln>
              <a:noFill/>
            </a:ln>
            <a:effectLst/>
          </c:spPr>
          <c:invertIfNegative val="0"/>
          <c:cat>
            <c:strRef>
              <c:f>'Pivot table'!$K$4:$K$8</c:f>
              <c:strCache>
                <c:ptCount val="4"/>
                <c:pt idx="0">
                  <c:v>East</c:v>
                </c:pt>
                <c:pt idx="1">
                  <c:v>North</c:v>
                </c:pt>
                <c:pt idx="2">
                  <c:v>South</c:v>
                </c:pt>
                <c:pt idx="3">
                  <c:v>West</c:v>
                </c:pt>
              </c:strCache>
            </c:strRef>
          </c:cat>
          <c:val>
            <c:numRef>
              <c:f>'Pivot table'!$L$4:$L$8</c:f>
              <c:numCache>
                <c:formatCode>_("₹"* #,##0.00_);_("₹"* \(#,##0.00\);_("₹"* "-"??_);_(@_)</c:formatCode>
                <c:ptCount val="4"/>
                <c:pt idx="0">
                  <c:v>4985153</c:v>
                </c:pt>
                <c:pt idx="1">
                  <c:v>5619621</c:v>
                </c:pt>
                <c:pt idx="2">
                  <c:v>15293809</c:v>
                </c:pt>
                <c:pt idx="3">
                  <c:v>19294426</c:v>
                </c:pt>
              </c:numCache>
            </c:numRef>
          </c:val>
          <c:extLst>
            <c:ext xmlns:c16="http://schemas.microsoft.com/office/drawing/2014/chart" uri="{C3380CC4-5D6E-409C-BE32-E72D297353CC}">
              <c16:uniqueId val="{00000000-5BAA-4BF3-9415-28F42EF0607C}"/>
            </c:ext>
          </c:extLst>
        </c:ser>
        <c:dLbls>
          <c:showLegendKey val="0"/>
          <c:showVal val="0"/>
          <c:showCatName val="0"/>
          <c:showSerName val="0"/>
          <c:showPercent val="0"/>
          <c:showBubbleSize val="0"/>
        </c:dLbls>
        <c:gapWidth val="219"/>
        <c:overlap val="-27"/>
        <c:axId val="1761515232"/>
        <c:axId val="1299549248"/>
      </c:barChart>
      <c:catAx>
        <c:axId val="176151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549248"/>
        <c:crosses val="autoZero"/>
        <c:auto val="1"/>
        <c:lblAlgn val="ctr"/>
        <c:lblOffset val="100"/>
        <c:noMultiLvlLbl val="0"/>
      </c:catAx>
      <c:valAx>
        <c:axId val="129954924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51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State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table'!$C$10</c:f>
              <c:strCache>
                <c:ptCount val="1"/>
                <c:pt idx="0">
                  <c:v>Total</c:v>
                </c:pt>
              </c:strCache>
            </c:strRef>
          </c:tx>
          <c:spPr>
            <a:solidFill>
              <a:schemeClr val="accent1"/>
            </a:solidFill>
            <a:ln>
              <a:noFill/>
            </a:ln>
            <a:effectLst/>
          </c:spPr>
          <c:invertIfNegative val="0"/>
          <c:cat>
            <c:strRef>
              <c:f>'Pivot table'!$B$11:$B$18</c:f>
              <c:strCache>
                <c:ptCount val="7"/>
                <c:pt idx="0">
                  <c:v>Delhi</c:v>
                </c:pt>
                <c:pt idx="1">
                  <c:v>Gujarat</c:v>
                </c:pt>
                <c:pt idx="2">
                  <c:v>Karnataka</c:v>
                </c:pt>
                <c:pt idx="3">
                  <c:v>Maharashtra</c:v>
                </c:pt>
                <c:pt idx="4">
                  <c:v>Tamil Nadu</c:v>
                </c:pt>
                <c:pt idx="5">
                  <c:v>Telangana</c:v>
                </c:pt>
                <c:pt idx="6">
                  <c:v>West Bengal</c:v>
                </c:pt>
              </c:strCache>
            </c:strRef>
          </c:cat>
          <c:val>
            <c:numRef>
              <c:f>'Pivot table'!$C$11:$C$18</c:f>
              <c:numCache>
                <c:formatCode>_("₹"* #,##0.00_);_("₹"* \(#,##0.00\);_("₹"* "-"??_);_(@_)</c:formatCode>
                <c:ptCount val="7"/>
                <c:pt idx="0">
                  <c:v>5619621</c:v>
                </c:pt>
                <c:pt idx="1">
                  <c:v>13255822</c:v>
                </c:pt>
                <c:pt idx="2">
                  <c:v>5599472</c:v>
                </c:pt>
                <c:pt idx="3">
                  <c:v>6038604</c:v>
                </c:pt>
                <c:pt idx="4">
                  <c:v>5057641</c:v>
                </c:pt>
                <c:pt idx="5">
                  <c:v>4636696</c:v>
                </c:pt>
                <c:pt idx="6">
                  <c:v>4985153</c:v>
                </c:pt>
              </c:numCache>
            </c:numRef>
          </c:val>
          <c:extLst>
            <c:ext xmlns:c16="http://schemas.microsoft.com/office/drawing/2014/chart" uri="{C3380CC4-5D6E-409C-BE32-E72D297353CC}">
              <c16:uniqueId val="{00000000-8325-4E97-BD3E-355B0F0B7BE4}"/>
            </c:ext>
          </c:extLst>
        </c:ser>
        <c:dLbls>
          <c:showLegendKey val="0"/>
          <c:showVal val="0"/>
          <c:showCatName val="0"/>
          <c:showSerName val="0"/>
          <c:showPercent val="0"/>
          <c:showBubbleSize val="0"/>
        </c:dLbls>
        <c:gapWidth val="182"/>
        <c:axId val="1679592128"/>
        <c:axId val="1697412128"/>
      </c:barChart>
      <c:catAx>
        <c:axId val="1679592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412128"/>
        <c:crosses val="autoZero"/>
        <c:auto val="1"/>
        <c:lblAlgn val="ctr"/>
        <c:lblOffset val="100"/>
        <c:noMultiLvlLbl val="0"/>
      </c:catAx>
      <c:valAx>
        <c:axId val="1697412128"/>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9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Payment Mode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'Pivot table'!$F$10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AA-4916-BB1E-0B55D77B09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AA-4916-BB1E-0B55D77B09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AA-4916-BB1E-0B55D77B09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CAA-4916-BB1E-0B55D77B090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CAA-4916-BB1E-0B55D77B090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CAA-4916-BB1E-0B55D77B0904}"/>
              </c:ext>
            </c:extLst>
          </c:dPt>
          <c:cat>
            <c:strRef>
              <c:f>'Pivot table'!$E$11:$E$17</c:f>
              <c:strCache>
                <c:ptCount val="6"/>
                <c:pt idx="0">
                  <c:v>Cash on Delivery</c:v>
                </c:pt>
                <c:pt idx="1">
                  <c:v>Credit Card</c:v>
                </c:pt>
                <c:pt idx="2">
                  <c:v>Debit Card</c:v>
                </c:pt>
                <c:pt idx="3">
                  <c:v>Net Banking</c:v>
                </c:pt>
                <c:pt idx="4">
                  <c:v>UPI</c:v>
                </c:pt>
                <c:pt idx="5">
                  <c:v>Wallet</c:v>
                </c:pt>
              </c:strCache>
            </c:strRef>
          </c:cat>
          <c:val>
            <c:numRef>
              <c:f>'Pivot table'!$F$11:$F$17</c:f>
              <c:numCache>
                <c:formatCode>General</c:formatCode>
                <c:ptCount val="6"/>
                <c:pt idx="0">
                  <c:v>79</c:v>
                </c:pt>
                <c:pt idx="1">
                  <c:v>93</c:v>
                </c:pt>
                <c:pt idx="2">
                  <c:v>72</c:v>
                </c:pt>
                <c:pt idx="3">
                  <c:v>93</c:v>
                </c:pt>
                <c:pt idx="4">
                  <c:v>87</c:v>
                </c:pt>
                <c:pt idx="5">
                  <c:v>76</c:v>
                </c:pt>
              </c:numCache>
            </c:numRef>
          </c:val>
          <c:extLst>
            <c:ext xmlns:c16="http://schemas.microsoft.com/office/drawing/2014/chart" uri="{C3380CC4-5D6E-409C-BE32-E72D297353CC}">
              <c16:uniqueId val="{0000000C-0CAA-4916-BB1E-0B55D77B090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 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Brand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table'!$L$11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37-4AB6-B8C6-B29F4ECC9E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37-4AB6-B8C6-B29F4ECC9E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137-4AB6-B8C6-B29F4ECC9E9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137-4AB6-B8C6-B29F4ECC9E91}"/>
              </c:ext>
            </c:extLst>
          </c:dPt>
          <c:cat>
            <c:strRef>
              <c:f>'Pivot table'!$K$12:$K$16</c:f>
              <c:strCache>
                <c:ptCount val="4"/>
                <c:pt idx="0">
                  <c:v>Cancelled</c:v>
                </c:pt>
                <c:pt idx="1">
                  <c:v>Delivered</c:v>
                </c:pt>
                <c:pt idx="2">
                  <c:v>Pending</c:v>
                </c:pt>
                <c:pt idx="3">
                  <c:v>Returned</c:v>
                </c:pt>
              </c:strCache>
            </c:strRef>
          </c:cat>
          <c:val>
            <c:numRef>
              <c:f>'Pivot table'!$L$12:$L$16</c:f>
              <c:numCache>
                <c:formatCode>General</c:formatCode>
                <c:ptCount val="4"/>
                <c:pt idx="0">
                  <c:v>114</c:v>
                </c:pt>
                <c:pt idx="1">
                  <c:v>148</c:v>
                </c:pt>
                <c:pt idx="2">
                  <c:v>114</c:v>
                </c:pt>
                <c:pt idx="3">
                  <c:v>124</c:v>
                </c:pt>
              </c:numCache>
            </c:numRef>
          </c:val>
          <c:extLst>
            <c:ext xmlns:c16="http://schemas.microsoft.com/office/drawing/2014/chart" uri="{C3380CC4-5D6E-409C-BE32-E72D297353CC}">
              <c16:uniqueId val="{00000008-0137-4AB6-B8C6-B29F4ECC9E9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 table!PivotTable9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Customer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table'!$O$15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6F-4779-8C6C-7AA7BBD88F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6F-4779-8C6C-7AA7BBD88FAC}"/>
              </c:ext>
            </c:extLst>
          </c:dPt>
          <c:cat>
            <c:strRef>
              <c:f>'Pivot table'!$N$16:$N$18</c:f>
              <c:strCache>
                <c:ptCount val="2"/>
                <c:pt idx="0">
                  <c:v>Premium</c:v>
                </c:pt>
                <c:pt idx="1">
                  <c:v>Regular</c:v>
                </c:pt>
              </c:strCache>
            </c:strRef>
          </c:cat>
          <c:val>
            <c:numRef>
              <c:f>'Pivot table'!$O$16:$O$18</c:f>
              <c:numCache>
                <c:formatCode>_("₹"* #,##0.00_);_("₹"* \(#,##0.00\);_("₹"* "-"??_);_(@_)</c:formatCode>
                <c:ptCount val="2"/>
                <c:pt idx="0">
                  <c:v>42365974</c:v>
                </c:pt>
                <c:pt idx="1">
                  <c:v>2827035</c:v>
                </c:pt>
              </c:numCache>
            </c:numRef>
          </c:val>
          <c:extLst>
            <c:ext xmlns:c16="http://schemas.microsoft.com/office/drawing/2014/chart" uri="{C3380CC4-5D6E-409C-BE32-E72D297353CC}">
              <c16:uniqueId val="{00000004-B16F-4779-8C6C-7AA7BBD88FA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 table!PivotTable10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table'!$R$3</c:f>
              <c:strCache>
                <c:ptCount val="1"/>
                <c:pt idx="0">
                  <c:v>Total</c:v>
                </c:pt>
              </c:strCache>
            </c:strRef>
          </c:tx>
          <c:spPr>
            <a:solidFill>
              <a:schemeClr val="accent1"/>
            </a:solidFill>
            <a:ln>
              <a:noFill/>
            </a:ln>
            <a:effectLst/>
          </c:spPr>
          <c:invertIfNegative val="0"/>
          <c:cat>
            <c:strRef>
              <c:f>'Pivot table'!$Q$4:$Q$14</c:f>
              <c:strCache>
                <c:ptCount val="10"/>
                <c:pt idx="0">
                  <c:v>Karan Mehta</c:v>
                </c:pt>
                <c:pt idx="1">
                  <c:v>Meera Mehta</c:v>
                </c:pt>
                <c:pt idx="2">
                  <c:v>Neha Joshi</c:v>
                </c:pt>
                <c:pt idx="3">
                  <c:v>Neha Kumar</c:v>
                </c:pt>
                <c:pt idx="4">
                  <c:v>Neha Mehta</c:v>
                </c:pt>
                <c:pt idx="5">
                  <c:v>Priya Desai</c:v>
                </c:pt>
                <c:pt idx="6">
                  <c:v>Rahul Kumar</c:v>
                </c:pt>
                <c:pt idx="7">
                  <c:v>Rohan Desai</c:v>
                </c:pt>
                <c:pt idx="8">
                  <c:v>Sagar Mehta</c:v>
                </c:pt>
                <c:pt idx="9">
                  <c:v>Sneha Patel</c:v>
                </c:pt>
              </c:strCache>
            </c:strRef>
          </c:cat>
          <c:val>
            <c:numRef>
              <c:f>'Pivot table'!$R$4:$R$14</c:f>
              <c:numCache>
                <c:formatCode>_("₹"* #,##0.00_);_("₹"* \(#,##0.00\);_("₹"* "-"??_);_(@_)</c:formatCode>
                <c:ptCount val="10"/>
                <c:pt idx="0">
                  <c:v>808448</c:v>
                </c:pt>
                <c:pt idx="1">
                  <c:v>1237320</c:v>
                </c:pt>
                <c:pt idx="2">
                  <c:v>825040</c:v>
                </c:pt>
                <c:pt idx="3">
                  <c:v>692545</c:v>
                </c:pt>
                <c:pt idx="4">
                  <c:v>644691</c:v>
                </c:pt>
                <c:pt idx="5">
                  <c:v>709850</c:v>
                </c:pt>
                <c:pt idx="6">
                  <c:v>618500</c:v>
                </c:pt>
                <c:pt idx="7">
                  <c:v>1079990</c:v>
                </c:pt>
                <c:pt idx="8">
                  <c:v>740896</c:v>
                </c:pt>
                <c:pt idx="9">
                  <c:v>792785</c:v>
                </c:pt>
              </c:numCache>
            </c:numRef>
          </c:val>
          <c:extLst>
            <c:ext xmlns:c16="http://schemas.microsoft.com/office/drawing/2014/chart" uri="{C3380CC4-5D6E-409C-BE32-E72D297353CC}">
              <c16:uniqueId val="{00000000-51AA-4A75-94FF-2AE8F7B12BCE}"/>
            </c:ext>
          </c:extLst>
        </c:ser>
        <c:dLbls>
          <c:showLegendKey val="0"/>
          <c:showVal val="0"/>
          <c:showCatName val="0"/>
          <c:showSerName val="0"/>
          <c:showPercent val="0"/>
          <c:showBubbleSize val="0"/>
        </c:dLbls>
        <c:gapWidth val="182"/>
        <c:axId val="1644906096"/>
        <c:axId val="1791776352"/>
      </c:barChart>
      <c:catAx>
        <c:axId val="1644906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776352"/>
        <c:crosses val="autoZero"/>
        <c:auto val="1"/>
        <c:lblAlgn val="ctr"/>
        <c:lblOffset val="100"/>
        <c:noMultiLvlLbl val="0"/>
      </c:catAx>
      <c:valAx>
        <c:axId val="1791776352"/>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906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 table!PivotTable8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Brand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table'!$O$3</c:f>
              <c:strCache>
                <c:ptCount val="1"/>
                <c:pt idx="0">
                  <c:v>Total</c:v>
                </c:pt>
              </c:strCache>
            </c:strRef>
          </c:tx>
          <c:spPr>
            <a:solidFill>
              <a:schemeClr val="accent1"/>
            </a:solidFill>
            <a:ln>
              <a:noFill/>
            </a:ln>
            <a:effectLst/>
          </c:spPr>
          <c:invertIfNegative val="0"/>
          <c:cat>
            <c:strRef>
              <c:f>'Pivot table'!$N$4:$N$12</c:f>
              <c:strCache>
                <c:ptCount val="8"/>
                <c:pt idx="0">
                  <c:v>Apple</c:v>
                </c:pt>
                <c:pt idx="1">
                  <c:v>Boat</c:v>
                </c:pt>
                <c:pt idx="2">
                  <c:v>Dell</c:v>
                </c:pt>
                <c:pt idx="3">
                  <c:v>HP</c:v>
                </c:pt>
                <c:pt idx="4">
                  <c:v>LG</c:v>
                </c:pt>
                <c:pt idx="5">
                  <c:v>Nike</c:v>
                </c:pt>
                <c:pt idx="6">
                  <c:v>Prestige</c:v>
                </c:pt>
                <c:pt idx="7">
                  <c:v>Samsung</c:v>
                </c:pt>
              </c:strCache>
            </c:strRef>
          </c:cat>
          <c:val>
            <c:numRef>
              <c:f>'Pivot table'!$O$4:$O$12</c:f>
              <c:numCache>
                <c:formatCode>_("₹"* #,##0.00_);_("₹"* \(#,##0.00\);_("₹"* "-"??_);_(@_)</c:formatCode>
                <c:ptCount val="8"/>
                <c:pt idx="0">
                  <c:v>12021754</c:v>
                </c:pt>
                <c:pt idx="1">
                  <c:v>478225</c:v>
                </c:pt>
                <c:pt idx="2">
                  <c:v>10725940</c:v>
                </c:pt>
                <c:pt idx="3">
                  <c:v>8451220</c:v>
                </c:pt>
                <c:pt idx="4">
                  <c:v>7418880</c:v>
                </c:pt>
                <c:pt idx="5">
                  <c:v>646875</c:v>
                </c:pt>
                <c:pt idx="6">
                  <c:v>698880</c:v>
                </c:pt>
                <c:pt idx="7">
                  <c:v>4751235</c:v>
                </c:pt>
              </c:numCache>
            </c:numRef>
          </c:val>
          <c:extLst>
            <c:ext xmlns:c16="http://schemas.microsoft.com/office/drawing/2014/chart" uri="{C3380CC4-5D6E-409C-BE32-E72D297353CC}">
              <c16:uniqueId val="{00000000-D402-4C2D-B9A6-A17B8FEBB3FC}"/>
            </c:ext>
          </c:extLst>
        </c:ser>
        <c:dLbls>
          <c:showLegendKey val="0"/>
          <c:showVal val="0"/>
          <c:showCatName val="0"/>
          <c:showSerName val="0"/>
          <c:showPercent val="0"/>
          <c:showBubbleSize val="0"/>
        </c:dLbls>
        <c:gapWidth val="182"/>
        <c:axId val="1764523072"/>
        <c:axId val="1697415968"/>
      </c:barChart>
      <c:catAx>
        <c:axId val="1764523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415968"/>
        <c:crosses val="autoZero"/>
        <c:auto val="1"/>
        <c:lblAlgn val="ctr"/>
        <c:lblOffset val="100"/>
        <c:noMultiLvlLbl val="0"/>
      </c:catAx>
      <c:valAx>
        <c:axId val="1697415968"/>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52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Sales Dashboard.xlsx]Pivot table!PivotTable1</c:name>
    <c:fmtId val="11"/>
  </c:pivotSource>
  <c:chart>
    <c:title>
      <c:tx>
        <c:rich>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r>
              <a:rPr lang="en-US" b="1"/>
              <a:t>Category Wise Sales</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circle"/>
          <c:size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c:f>
              <c:strCache>
                <c:ptCount val="1"/>
                <c:pt idx="0">
                  <c:v>Total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'Pivot table'!$B$4:$B$7</c:f>
              <c:strCache>
                <c:ptCount val="3"/>
                <c:pt idx="0">
                  <c:v>Electronics</c:v>
                </c:pt>
                <c:pt idx="1">
                  <c:v>Fashion</c:v>
                </c:pt>
                <c:pt idx="2">
                  <c:v>Home &amp; Kitchen</c:v>
                </c:pt>
              </c:strCache>
            </c:strRef>
          </c:cat>
          <c:val>
            <c:numRef>
              <c:f>'Pivot table'!$C$4:$C$7</c:f>
              <c:numCache>
                <c:formatCode>_("₹"* #,##0.00_);_("₹"* \(#,##0.00\);_("₹"* "-"??_);_(@_)</c:formatCode>
                <c:ptCount val="3"/>
                <c:pt idx="0">
                  <c:v>43847254</c:v>
                </c:pt>
                <c:pt idx="1">
                  <c:v>646875</c:v>
                </c:pt>
                <c:pt idx="2">
                  <c:v>698880</c:v>
                </c:pt>
              </c:numCache>
            </c:numRef>
          </c:val>
          <c:extLst>
            <c:ext xmlns:c16="http://schemas.microsoft.com/office/drawing/2014/chart" uri="{C3380CC4-5D6E-409C-BE32-E72D297353CC}">
              <c16:uniqueId val="{00000000-8057-471B-B407-694E220D29BC}"/>
            </c:ext>
          </c:extLst>
        </c:ser>
        <c:dLbls>
          <c:showLegendKey val="0"/>
          <c:showVal val="0"/>
          <c:showCatName val="0"/>
          <c:showSerName val="0"/>
          <c:showPercent val="0"/>
          <c:showBubbleSize val="0"/>
        </c:dLbls>
        <c:gapWidth val="100"/>
        <c:overlap val="-24"/>
        <c:axId val="1857844016"/>
        <c:axId val="1697415968"/>
      </c:barChart>
      <c:catAx>
        <c:axId val="185784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97415968"/>
        <c:crosses val="autoZero"/>
        <c:auto val="1"/>
        <c:lblAlgn val="ctr"/>
        <c:lblOffset val="100"/>
        <c:noMultiLvlLbl val="0"/>
      </c:catAx>
      <c:valAx>
        <c:axId val="169741596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5784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 table!PivotTable14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table'!$L$20</c:f>
              <c:strCache>
                <c:ptCount val="1"/>
                <c:pt idx="0">
                  <c:v>Total</c:v>
                </c:pt>
              </c:strCache>
            </c:strRef>
          </c:tx>
          <c:spPr>
            <a:solidFill>
              <a:schemeClr val="accent1"/>
            </a:solidFill>
            <a:ln>
              <a:noFill/>
            </a:ln>
            <a:effectLst/>
          </c:spPr>
          <c:invertIfNegative val="0"/>
          <c:cat>
            <c:strRef>
              <c:f>'Pivot table'!$K$21:$K$25</c:f>
              <c:strCache>
                <c:ptCount val="4"/>
                <c:pt idx="0">
                  <c:v>East</c:v>
                </c:pt>
                <c:pt idx="1">
                  <c:v>North</c:v>
                </c:pt>
                <c:pt idx="2">
                  <c:v>South</c:v>
                </c:pt>
                <c:pt idx="3">
                  <c:v>West</c:v>
                </c:pt>
              </c:strCache>
            </c:strRef>
          </c:cat>
          <c:val>
            <c:numRef>
              <c:f>'Pivot table'!$L$21:$L$25</c:f>
              <c:numCache>
                <c:formatCode>"₹"\ #,##0.00</c:formatCode>
                <c:ptCount val="4"/>
                <c:pt idx="0">
                  <c:v>252753</c:v>
                </c:pt>
                <c:pt idx="1">
                  <c:v>394121</c:v>
                </c:pt>
                <c:pt idx="2">
                  <c:v>1338209</c:v>
                </c:pt>
                <c:pt idx="3">
                  <c:v>1189326</c:v>
                </c:pt>
              </c:numCache>
            </c:numRef>
          </c:val>
          <c:extLst>
            <c:ext xmlns:c16="http://schemas.microsoft.com/office/drawing/2014/chart" uri="{C3380CC4-5D6E-409C-BE32-E72D297353CC}">
              <c16:uniqueId val="{00000000-4C72-4CB4-AE5F-3FC2587B8D4C}"/>
            </c:ext>
          </c:extLst>
        </c:ser>
        <c:dLbls>
          <c:showLegendKey val="0"/>
          <c:showVal val="0"/>
          <c:showCatName val="0"/>
          <c:showSerName val="0"/>
          <c:showPercent val="0"/>
          <c:showBubbleSize val="0"/>
        </c:dLbls>
        <c:gapWidth val="219"/>
        <c:axId val="565028271"/>
        <c:axId val="565022511"/>
      </c:barChart>
      <c:catAx>
        <c:axId val="565028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022511"/>
        <c:crosses val="autoZero"/>
        <c:auto val="1"/>
        <c:lblAlgn val="ctr"/>
        <c:lblOffset val="100"/>
        <c:noMultiLvlLbl val="0"/>
      </c:catAx>
      <c:valAx>
        <c:axId val="565022511"/>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028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 table!PivotTable13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table'!$I$20</c:f>
              <c:strCache>
                <c:ptCount val="1"/>
                <c:pt idx="0">
                  <c:v>Total</c:v>
                </c:pt>
              </c:strCache>
            </c:strRef>
          </c:tx>
          <c:spPr>
            <a:solidFill>
              <a:schemeClr val="accent1"/>
            </a:solidFill>
            <a:ln>
              <a:noFill/>
            </a:ln>
            <a:effectLst/>
          </c:spPr>
          <c:invertIfNegative val="0"/>
          <c:cat>
            <c:strRef>
              <c:f>'Pivot table'!$H$21:$H$24</c:f>
              <c:strCache>
                <c:ptCount val="3"/>
                <c:pt idx="0">
                  <c:v>Electronics</c:v>
                </c:pt>
                <c:pt idx="1">
                  <c:v>Fashion</c:v>
                </c:pt>
                <c:pt idx="2">
                  <c:v>Home &amp; Kitchen</c:v>
                </c:pt>
              </c:strCache>
            </c:strRef>
          </c:cat>
          <c:val>
            <c:numRef>
              <c:f>'Pivot table'!$I$21:$I$24</c:f>
              <c:numCache>
                <c:formatCode>General</c:formatCode>
                <c:ptCount val="3"/>
                <c:pt idx="0">
                  <c:v>1142</c:v>
                </c:pt>
                <c:pt idx="1">
                  <c:v>165</c:v>
                </c:pt>
                <c:pt idx="2">
                  <c:v>226</c:v>
                </c:pt>
              </c:numCache>
            </c:numRef>
          </c:val>
          <c:extLst>
            <c:ext xmlns:c16="http://schemas.microsoft.com/office/drawing/2014/chart" uri="{C3380CC4-5D6E-409C-BE32-E72D297353CC}">
              <c16:uniqueId val="{00000000-5125-4883-B1E9-3E3C1583039F}"/>
            </c:ext>
          </c:extLst>
        </c:ser>
        <c:dLbls>
          <c:showLegendKey val="0"/>
          <c:showVal val="0"/>
          <c:showCatName val="0"/>
          <c:showSerName val="0"/>
          <c:showPercent val="0"/>
          <c:showBubbleSize val="0"/>
        </c:dLbls>
        <c:gapWidth val="182"/>
        <c:axId val="499107935"/>
        <c:axId val="499106975"/>
      </c:barChart>
      <c:catAx>
        <c:axId val="49910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106975"/>
        <c:crosses val="autoZero"/>
        <c:auto val="1"/>
        <c:lblAlgn val="ctr"/>
        <c:lblOffset val="100"/>
        <c:noMultiLvlLbl val="0"/>
      </c:catAx>
      <c:valAx>
        <c:axId val="499106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10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 table!PivotTable12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table'!$F$20</c:f>
              <c:strCache>
                <c:ptCount val="1"/>
                <c:pt idx="0">
                  <c:v>Total</c:v>
                </c:pt>
              </c:strCache>
            </c:strRef>
          </c:tx>
          <c:spPr>
            <a:solidFill>
              <a:schemeClr val="accent1"/>
            </a:solidFill>
            <a:ln>
              <a:noFill/>
            </a:ln>
            <a:effectLst/>
          </c:spPr>
          <c:invertIfNegative val="0"/>
          <c:cat>
            <c:strRef>
              <c:f>'Pivot table'!$E$21:$E$29</c:f>
              <c:strCache>
                <c:ptCount val="8"/>
                <c:pt idx="0">
                  <c:v>Apple</c:v>
                </c:pt>
                <c:pt idx="1">
                  <c:v>Boat</c:v>
                </c:pt>
                <c:pt idx="2">
                  <c:v>Dell</c:v>
                </c:pt>
                <c:pt idx="3">
                  <c:v>HP</c:v>
                </c:pt>
                <c:pt idx="4">
                  <c:v>LG</c:v>
                </c:pt>
                <c:pt idx="5">
                  <c:v>Nike</c:v>
                </c:pt>
                <c:pt idx="6">
                  <c:v>Prestige</c:v>
                </c:pt>
                <c:pt idx="7">
                  <c:v>Samsung</c:v>
                </c:pt>
              </c:strCache>
            </c:strRef>
          </c:cat>
          <c:val>
            <c:numRef>
              <c:f>'Pivot table'!$F$21:$F$29</c:f>
              <c:numCache>
                <c:formatCode>0.00</c:formatCode>
                <c:ptCount val="8"/>
                <c:pt idx="0">
                  <c:v>3.603448275862069</c:v>
                </c:pt>
                <c:pt idx="1">
                  <c:v>3.5571428571428569</c:v>
                </c:pt>
                <c:pt idx="2">
                  <c:v>3.596774193548387</c:v>
                </c:pt>
                <c:pt idx="3">
                  <c:v>3.5185185185185186</c:v>
                </c:pt>
                <c:pt idx="4">
                  <c:v>3.3970588235294117</c:v>
                </c:pt>
                <c:pt idx="5">
                  <c:v>3.6551724137931036</c:v>
                </c:pt>
                <c:pt idx="6">
                  <c:v>3.6956521739130435</c:v>
                </c:pt>
                <c:pt idx="7">
                  <c:v>3.4918032786885247</c:v>
                </c:pt>
              </c:numCache>
            </c:numRef>
          </c:val>
          <c:extLst>
            <c:ext xmlns:c16="http://schemas.microsoft.com/office/drawing/2014/chart" uri="{C3380CC4-5D6E-409C-BE32-E72D297353CC}">
              <c16:uniqueId val="{00000000-FD6E-480C-A11E-8B2F6EBF6DBA}"/>
            </c:ext>
          </c:extLst>
        </c:ser>
        <c:dLbls>
          <c:showLegendKey val="0"/>
          <c:showVal val="0"/>
          <c:showCatName val="0"/>
          <c:showSerName val="0"/>
          <c:showPercent val="0"/>
          <c:showBubbleSize val="0"/>
        </c:dLbls>
        <c:gapWidth val="219"/>
        <c:axId val="542912655"/>
        <c:axId val="542915535"/>
      </c:barChart>
      <c:catAx>
        <c:axId val="542912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915535"/>
        <c:crosses val="autoZero"/>
        <c:auto val="1"/>
        <c:lblAlgn val="ctr"/>
        <c:lblOffset val="100"/>
        <c:noMultiLvlLbl val="0"/>
      </c:catAx>
      <c:valAx>
        <c:axId val="54291553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91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 table!PivotTable11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table'!$C$20</c:f>
              <c:strCache>
                <c:ptCount val="1"/>
                <c:pt idx="0">
                  <c:v>Total</c:v>
                </c:pt>
              </c:strCache>
            </c:strRef>
          </c:tx>
          <c:spPr>
            <a:solidFill>
              <a:schemeClr val="accent1"/>
            </a:solidFill>
            <a:ln>
              <a:noFill/>
            </a:ln>
            <a:effectLst/>
          </c:spPr>
          <c:invertIfNegative val="0"/>
          <c:cat>
            <c:strRef>
              <c:f>'Pivot table'!$B$21:$B$25</c:f>
              <c:strCache>
                <c:ptCount val="4"/>
                <c:pt idx="0">
                  <c:v>Cancelled</c:v>
                </c:pt>
                <c:pt idx="1">
                  <c:v>Delivered</c:v>
                </c:pt>
                <c:pt idx="2">
                  <c:v>Pending</c:v>
                </c:pt>
                <c:pt idx="3">
                  <c:v>Returned</c:v>
                </c:pt>
              </c:strCache>
            </c:strRef>
          </c:cat>
          <c:val>
            <c:numRef>
              <c:f>'Pivot table'!$C$21:$C$25</c:f>
              <c:numCache>
                <c:formatCode>_("₹"* #,##0.00_);_("₹"* \(#,##0.00\);_("₹"* "-"??_);_(@_)</c:formatCode>
                <c:ptCount val="4"/>
                <c:pt idx="0">
                  <c:v>10248925</c:v>
                </c:pt>
                <c:pt idx="1">
                  <c:v>11488370</c:v>
                </c:pt>
                <c:pt idx="2">
                  <c:v>10395376</c:v>
                </c:pt>
                <c:pt idx="3">
                  <c:v>13060338</c:v>
                </c:pt>
              </c:numCache>
            </c:numRef>
          </c:val>
          <c:extLst>
            <c:ext xmlns:c16="http://schemas.microsoft.com/office/drawing/2014/chart" uri="{C3380CC4-5D6E-409C-BE32-E72D297353CC}">
              <c16:uniqueId val="{00000000-AC25-4556-B988-211E267820B1}"/>
            </c:ext>
          </c:extLst>
        </c:ser>
        <c:dLbls>
          <c:showLegendKey val="0"/>
          <c:showVal val="0"/>
          <c:showCatName val="0"/>
          <c:showSerName val="0"/>
          <c:showPercent val="0"/>
          <c:showBubbleSize val="0"/>
        </c:dLbls>
        <c:gapWidth val="219"/>
        <c:overlap val="-27"/>
        <c:axId val="2117044943"/>
        <c:axId val="2117047343"/>
      </c:barChart>
      <c:catAx>
        <c:axId val="211704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047343"/>
        <c:crosses val="autoZero"/>
        <c:auto val="1"/>
        <c:lblAlgn val="ctr"/>
        <c:lblOffset val="100"/>
        <c:noMultiLvlLbl val="0"/>
      </c:catAx>
      <c:valAx>
        <c:axId val="211704734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04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 table!PivotTable15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table'!$O$20</c:f>
              <c:strCache>
                <c:ptCount val="1"/>
                <c:pt idx="0">
                  <c:v>Total</c:v>
                </c:pt>
              </c:strCache>
            </c:strRef>
          </c:tx>
          <c:spPr>
            <a:ln w="28575" cap="rnd">
              <a:solidFill>
                <a:schemeClr val="accent1"/>
              </a:solidFill>
              <a:round/>
            </a:ln>
            <a:effectLst/>
          </c:spPr>
          <c:marker>
            <c:symbol val="none"/>
          </c:marker>
          <c:cat>
            <c:strRef>
              <c:f>'Pivot table'!$N$21:$N$33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table'!$O$21:$O$33</c:f>
              <c:numCache>
                <c:formatCode>General</c:formatCode>
                <c:ptCount val="12"/>
                <c:pt idx="0">
                  <c:v>50</c:v>
                </c:pt>
                <c:pt idx="1">
                  <c:v>33</c:v>
                </c:pt>
                <c:pt idx="2">
                  <c:v>39</c:v>
                </c:pt>
                <c:pt idx="3">
                  <c:v>38</c:v>
                </c:pt>
                <c:pt idx="4">
                  <c:v>44</c:v>
                </c:pt>
                <c:pt idx="5">
                  <c:v>30</c:v>
                </c:pt>
                <c:pt idx="6">
                  <c:v>39</c:v>
                </c:pt>
                <c:pt idx="7">
                  <c:v>37</c:v>
                </c:pt>
                <c:pt idx="8">
                  <c:v>66</c:v>
                </c:pt>
                <c:pt idx="9">
                  <c:v>42</c:v>
                </c:pt>
                <c:pt idx="10">
                  <c:v>41</c:v>
                </c:pt>
                <c:pt idx="11">
                  <c:v>41</c:v>
                </c:pt>
              </c:numCache>
            </c:numRef>
          </c:val>
          <c:smooth val="0"/>
          <c:extLst>
            <c:ext xmlns:c16="http://schemas.microsoft.com/office/drawing/2014/chart" uri="{C3380CC4-5D6E-409C-BE32-E72D297353CC}">
              <c16:uniqueId val="{00000000-6107-4F7C-BE4A-0ED089230379}"/>
            </c:ext>
          </c:extLst>
        </c:ser>
        <c:dLbls>
          <c:showLegendKey val="0"/>
          <c:showVal val="0"/>
          <c:showCatName val="0"/>
          <c:showSerName val="0"/>
          <c:showPercent val="0"/>
          <c:showBubbleSize val="0"/>
        </c:dLbls>
        <c:smooth val="0"/>
        <c:axId val="368864127"/>
        <c:axId val="368876607"/>
      </c:lineChart>
      <c:catAx>
        <c:axId val="36886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876607"/>
        <c:crosses val="autoZero"/>
        <c:auto val="1"/>
        <c:lblAlgn val="ctr"/>
        <c:lblOffset val="100"/>
        <c:noMultiLvlLbl val="0"/>
      </c:catAx>
      <c:valAx>
        <c:axId val="368876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864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 table!PivotTable16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table'!$R$16</c:f>
              <c:strCache>
                <c:ptCount val="1"/>
                <c:pt idx="0">
                  <c:v>Total</c:v>
                </c:pt>
              </c:strCache>
            </c:strRef>
          </c:tx>
          <c:spPr>
            <a:solidFill>
              <a:schemeClr val="accent1"/>
            </a:solidFill>
            <a:ln>
              <a:noFill/>
            </a:ln>
            <a:effectLst/>
          </c:spPr>
          <c:invertIfNegative val="0"/>
          <c:cat>
            <c:strRef>
              <c:f>'Pivot table'!$Q$17:$Q$22</c:f>
              <c:strCache>
                <c:ptCount val="5"/>
                <c:pt idx="0">
                  <c:v>Dell Inspiron</c:v>
                </c:pt>
                <c:pt idx="1">
                  <c:v>HP Pavilion</c:v>
                </c:pt>
                <c:pt idx="2">
                  <c:v>iPhone 16</c:v>
                </c:pt>
                <c:pt idx="3">
                  <c:v>LG Smart TV</c:v>
                </c:pt>
                <c:pt idx="4">
                  <c:v>Samsung Galaxy A55</c:v>
                </c:pt>
              </c:strCache>
            </c:strRef>
          </c:cat>
          <c:val>
            <c:numRef>
              <c:f>'Pivot table'!$R$17:$R$22</c:f>
              <c:numCache>
                <c:formatCode>_("₹"* #,##0.00_);_("₹"* \(#,##0.00\);_("₹"* "-"??_);_(@_)</c:formatCode>
                <c:ptCount val="5"/>
                <c:pt idx="0">
                  <c:v>10725940</c:v>
                </c:pt>
                <c:pt idx="1">
                  <c:v>8451220</c:v>
                </c:pt>
                <c:pt idx="2">
                  <c:v>12021754</c:v>
                </c:pt>
                <c:pt idx="3">
                  <c:v>7418880</c:v>
                </c:pt>
                <c:pt idx="4">
                  <c:v>4751235</c:v>
                </c:pt>
              </c:numCache>
            </c:numRef>
          </c:val>
          <c:extLst>
            <c:ext xmlns:c16="http://schemas.microsoft.com/office/drawing/2014/chart" uri="{C3380CC4-5D6E-409C-BE32-E72D297353CC}">
              <c16:uniqueId val="{00000000-53C1-4C70-AD14-89710E6CBB70}"/>
            </c:ext>
          </c:extLst>
        </c:ser>
        <c:dLbls>
          <c:showLegendKey val="0"/>
          <c:showVal val="0"/>
          <c:showCatName val="0"/>
          <c:showSerName val="0"/>
          <c:showPercent val="0"/>
          <c:showBubbleSize val="0"/>
        </c:dLbls>
        <c:gapWidth val="182"/>
        <c:axId val="539762879"/>
        <c:axId val="539764799"/>
      </c:barChart>
      <c:catAx>
        <c:axId val="539762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764799"/>
        <c:crosses val="autoZero"/>
        <c:auto val="1"/>
        <c:lblAlgn val="ctr"/>
        <c:lblOffset val="100"/>
        <c:noMultiLvlLbl val="0"/>
      </c:catAx>
      <c:valAx>
        <c:axId val="539764799"/>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76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Sales Dashboard.xlsx]Pivot table!PivotTable3</c:name>
    <c:fmtId val="13"/>
  </c:pivotSource>
  <c:chart>
    <c:title>
      <c:tx>
        <c:rich>
          <a:bodyPr rot="0" spcFirstLastPara="1" vertOverflow="ellipsis" vert="horz" wrap="square" anchor="ctr" anchorCtr="1"/>
          <a:lstStyle/>
          <a:p>
            <a:pPr>
              <a:defRPr sz="1600" b="1" i="0" u="none" strike="noStrike" kern="1200" cap="none" spc="20" baseline="0">
                <a:solidFill>
                  <a:schemeClr val="dk1">
                    <a:lumMod val="50000"/>
                    <a:lumOff val="50000"/>
                  </a:schemeClr>
                </a:solidFill>
                <a:latin typeface="+mn-lt"/>
                <a:ea typeface="+mn-ea"/>
                <a:cs typeface="+mn-cs"/>
              </a:defRPr>
            </a:pPr>
            <a:r>
              <a:rPr lang="en-US" sz="1600" b="1"/>
              <a:t>MONTHLY SALES TREND</a:t>
            </a:r>
          </a:p>
        </c:rich>
      </c:tx>
      <c:overlay val="0"/>
      <c:spPr>
        <a:noFill/>
        <a:ln>
          <a:noFill/>
        </a:ln>
        <a:effectLst/>
      </c:spPr>
      <c:txPr>
        <a:bodyPr rot="0" spcFirstLastPara="1" vertOverflow="ellipsis" vert="horz" wrap="square" anchor="ctr" anchorCtr="1"/>
        <a:lstStyle/>
        <a:p>
          <a:pPr>
            <a:defRPr sz="1600" b="1"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table'!$I$3</c:f>
              <c:strCache>
                <c:ptCount val="1"/>
                <c:pt idx="0">
                  <c:v>Total</c:v>
                </c:pt>
              </c:strCache>
            </c:strRef>
          </c:tx>
          <c:spPr>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cat>
            <c:strRef>
              <c:f>'Pivot table'!$H$4:$H$16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table'!$I$4:$I$16</c:f>
              <c:numCache>
                <c:formatCode>_("₹"* #,##0.00_);_("₹"* \(#,##0.00\);_("₹"* "-"??_);_(@_)</c:formatCode>
                <c:ptCount val="12"/>
                <c:pt idx="0">
                  <c:v>5246698</c:v>
                </c:pt>
                <c:pt idx="1">
                  <c:v>2424597</c:v>
                </c:pt>
                <c:pt idx="2">
                  <c:v>4059235</c:v>
                </c:pt>
                <c:pt idx="3">
                  <c:v>2721255</c:v>
                </c:pt>
                <c:pt idx="4">
                  <c:v>4632246</c:v>
                </c:pt>
                <c:pt idx="5">
                  <c:v>3013811</c:v>
                </c:pt>
                <c:pt idx="6">
                  <c:v>3559245</c:v>
                </c:pt>
                <c:pt idx="7">
                  <c:v>3630152</c:v>
                </c:pt>
                <c:pt idx="8">
                  <c:v>4558724</c:v>
                </c:pt>
                <c:pt idx="9">
                  <c:v>4139846</c:v>
                </c:pt>
                <c:pt idx="10">
                  <c:v>3714252</c:v>
                </c:pt>
                <c:pt idx="11">
                  <c:v>3492948</c:v>
                </c:pt>
              </c:numCache>
            </c:numRef>
          </c:val>
          <c:smooth val="0"/>
          <c:extLst>
            <c:ext xmlns:c16="http://schemas.microsoft.com/office/drawing/2014/chart" uri="{C3380CC4-5D6E-409C-BE32-E72D297353CC}">
              <c16:uniqueId val="{00000000-2F1D-4D21-988B-06B7DC251CF6}"/>
            </c:ext>
          </c:extLst>
        </c:ser>
        <c:dLbls>
          <c:showLegendKey val="0"/>
          <c:showVal val="0"/>
          <c:showCatName val="0"/>
          <c:showSerName val="0"/>
          <c:showPercent val="0"/>
          <c:showBubbleSize val="0"/>
        </c:dLbls>
        <c:marker val="1"/>
        <c:smooth val="0"/>
        <c:axId val="1589963568"/>
        <c:axId val="1211877856"/>
      </c:lineChart>
      <c:catAx>
        <c:axId val="158996356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spc="20" baseline="0">
                <a:solidFill>
                  <a:schemeClr val="dk1">
                    <a:lumMod val="65000"/>
                    <a:lumOff val="35000"/>
                  </a:schemeClr>
                </a:solidFill>
                <a:latin typeface="+mn-lt"/>
                <a:ea typeface="+mn-ea"/>
                <a:cs typeface="+mn-cs"/>
              </a:defRPr>
            </a:pPr>
            <a:endParaRPr lang="en-US"/>
          </a:p>
        </c:txPr>
        <c:crossAx val="1211877856"/>
        <c:crosses val="autoZero"/>
        <c:auto val="1"/>
        <c:lblAlgn val="ctr"/>
        <c:lblOffset val="100"/>
        <c:noMultiLvlLbl val="0"/>
      </c:catAx>
      <c:valAx>
        <c:axId val="1211877856"/>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spc="20" baseline="0">
                <a:solidFill>
                  <a:schemeClr val="dk1">
                    <a:lumMod val="65000"/>
                    <a:lumOff val="35000"/>
                  </a:schemeClr>
                </a:solidFill>
                <a:latin typeface="+mn-lt"/>
                <a:ea typeface="+mn-ea"/>
                <a:cs typeface="+mn-cs"/>
              </a:defRPr>
            </a:pPr>
            <a:endParaRPr lang="en-US"/>
          </a:p>
        </c:txPr>
        <c:crossAx val="158996356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Sales Dashboard.xlsx]Pivot table!PivotTable2</c:name>
    <c:fmtId val="19"/>
  </c:pivotSource>
  <c:chart>
    <c:title>
      <c:tx>
        <c:rich>
          <a:bodyPr rot="0" spcFirstLastPara="1" vertOverflow="ellipsis" vert="horz" wrap="square" anchor="ctr" anchorCtr="1"/>
          <a:lstStyle/>
          <a:p>
            <a:pPr>
              <a:defRPr sz="1600" b="1" i="0" u="none" strike="noStrike" kern="1200" cap="none" spc="20" baseline="0">
                <a:solidFill>
                  <a:schemeClr val="tx1">
                    <a:lumMod val="50000"/>
                    <a:lumOff val="50000"/>
                  </a:schemeClr>
                </a:solidFill>
                <a:latin typeface="+mn-lt"/>
                <a:ea typeface="+mn-ea"/>
                <a:cs typeface="+mn-cs"/>
              </a:defRPr>
            </a:pPr>
            <a:r>
              <a:rPr lang="en-IN" sz="1600" b="1"/>
              <a:t>CATEGORY WISE PROFIT</a:t>
            </a:r>
            <a:endParaRPr lang="en-US" sz="1600" b="1"/>
          </a:p>
        </c:rich>
      </c:tx>
      <c:overlay val="0"/>
      <c:spPr>
        <a:noFill/>
        <a:ln>
          <a:noFill/>
        </a:ln>
        <a:effectLst/>
      </c:spPr>
      <c:txPr>
        <a:bodyPr rot="0" spcFirstLastPara="1" vertOverflow="ellipsis" vert="horz" wrap="square" anchor="ctr" anchorCtr="1"/>
        <a:lstStyle/>
        <a:p>
          <a:pPr>
            <a:defRPr sz="1600" b="1"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table'!$F$3</c:f>
              <c:strCache>
                <c:ptCount val="1"/>
                <c:pt idx="0">
                  <c:v>Total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'Pivot table'!$E$4:$E$7</c:f>
              <c:strCache>
                <c:ptCount val="3"/>
                <c:pt idx="0">
                  <c:v>Electronics</c:v>
                </c:pt>
                <c:pt idx="1">
                  <c:v>Fashion</c:v>
                </c:pt>
                <c:pt idx="2">
                  <c:v>Home &amp; Kitchen</c:v>
                </c:pt>
              </c:strCache>
            </c:strRef>
          </c:cat>
          <c:val>
            <c:numRef>
              <c:f>'Pivot table'!$F$4:$F$7</c:f>
              <c:numCache>
                <c:formatCode>"₹"\ #,##0.00</c:formatCode>
                <c:ptCount val="3"/>
                <c:pt idx="0">
                  <c:v>2888654</c:v>
                </c:pt>
                <c:pt idx="1">
                  <c:v>151875</c:v>
                </c:pt>
                <c:pt idx="2">
                  <c:v>133880</c:v>
                </c:pt>
              </c:numCache>
            </c:numRef>
          </c:val>
          <c:extLst>
            <c:ext xmlns:c16="http://schemas.microsoft.com/office/drawing/2014/chart" uri="{C3380CC4-5D6E-409C-BE32-E72D297353CC}">
              <c16:uniqueId val="{00000000-A34B-4DF7-A85A-028006866F81}"/>
            </c:ext>
          </c:extLst>
        </c:ser>
        <c:dLbls>
          <c:showLegendKey val="0"/>
          <c:showVal val="0"/>
          <c:showCatName val="0"/>
          <c:showSerName val="0"/>
          <c:showPercent val="0"/>
          <c:showBubbleSize val="0"/>
        </c:dLbls>
        <c:gapWidth val="100"/>
        <c:axId val="1864279856"/>
        <c:axId val="1211894176"/>
      </c:barChart>
      <c:catAx>
        <c:axId val="1864279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endParaRPr lang="en-US"/>
          </a:p>
        </c:txPr>
        <c:crossAx val="1211894176"/>
        <c:crosses val="autoZero"/>
        <c:auto val="1"/>
        <c:lblAlgn val="ctr"/>
        <c:lblOffset val="100"/>
        <c:noMultiLvlLbl val="0"/>
      </c:catAx>
      <c:valAx>
        <c:axId val="1211894176"/>
        <c:scaling>
          <c:orientation val="minMax"/>
        </c:scaling>
        <c:delete val="0"/>
        <c:axPos val="b"/>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endParaRPr lang="en-US"/>
          </a:p>
        </c:txPr>
        <c:crossAx val="1864279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Sales Dashboard.xlsx]Pivot table!PivotTable4</c:name>
    <c:fmtId val="15"/>
  </c:pivotSource>
  <c:chart>
    <c:title>
      <c:tx>
        <c:rich>
          <a:bodyPr rot="0" spcFirstLastPara="1" vertOverflow="ellipsis" vert="horz" wrap="square" anchor="ctr" anchorCtr="1"/>
          <a:lstStyle/>
          <a:p>
            <a:pPr>
              <a:defRPr sz="1600" b="1" i="0" u="none" strike="noStrike" kern="1200" cap="none" spc="20" baseline="0">
                <a:solidFill>
                  <a:schemeClr val="tx1">
                    <a:lumMod val="50000"/>
                    <a:lumOff val="50000"/>
                  </a:schemeClr>
                </a:solidFill>
                <a:latin typeface="+mn-lt"/>
                <a:ea typeface="+mn-ea"/>
                <a:cs typeface="+mn-cs"/>
              </a:defRPr>
            </a:pPr>
            <a:r>
              <a:rPr lang="en-IN" sz="1600" b="1"/>
              <a:t>REGION</a:t>
            </a:r>
            <a:r>
              <a:rPr lang="en-IN" sz="1600" b="1" baseline="0"/>
              <a:t> WISE SALES</a:t>
            </a:r>
            <a:endParaRPr lang="en-US" sz="1600" b="1"/>
          </a:p>
        </c:rich>
      </c:tx>
      <c:overlay val="0"/>
      <c:spPr>
        <a:noFill/>
        <a:ln>
          <a:noFill/>
        </a:ln>
        <a:effectLst/>
      </c:spPr>
      <c:txPr>
        <a:bodyPr rot="0" spcFirstLastPara="1" vertOverflow="ellipsis" vert="horz" wrap="square" anchor="ctr" anchorCtr="1"/>
        <a:lstStyle/>
        <a:p>
          <a:pPr>
            <a:defRPr sz="1600" b="1"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table'!$L$3</c:f>
              <c:strCache>
                <c:ptCount val="1"/>
                <c:pt idx="0">
                  <c:v>Total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'Pivot table'!$K$4:$K$8</c:f>
              <c:strCache>
                <c:ptCount val="4"/>
                <c:pt idx="0">
                  <c:v>East</c:v>
                </c:pt>
                <c:pt idx="1">
                  <c:v>North</c:v>
                </c:pt>
                <c:pt idx="2">
                  <c:v>South</c:v>
                </c:pt>
                <c:pt idx="3">
                  <c:v>West</c:v>
                </c:pt>
              </c:strCache>
            </c:strRef>
          </c:cat>
          <c:val>
            <c:numRef>
              <c:f>'Pivot table'!$L$4:$L$8</c:f>
              <c:numCache>
                <c:formatCode>_("₹"* #,##0.00_);_("₹"* \(#,##0.00\);_("₹"* "-"??_);_(@_)</c:formatCode>
                <c:ptCount val="4"/>
                <c:pt idx="0">
                  <c:v>4985153</c:v>
                </c:pt>
                <c:pt idx="1">
                  <c:v>5619621</c:v>
                </c:pt>
                <c:pt idx="2">
                  <c:v>15293809</c:v>
                </c:pt>
                <c:pt idx="3">
                  <c:v>19294426</c:v>
                </c:pt>
              </c:numCache>
            </c:numRef>
          </c:val>
          <c:extLst>
            <c:ext xmlns:c16="http://schemas.microsoft.com/office/drawing/2014/chart" uri="{C3380CC4-5D6E-409C-BE32-E72D297353CC}">
              <c16:uniqueId val="{00000000-5BAA-4BF3-9415-28F42EF0607C}"/>
            </c:ext>
          </c:extLst>
        </c:ser>
        <c:dLbls>
          <c:showLegendKey val="0"/>
          <c:showVal val="0"/>
          <c:showCatName val="0"/>
          <c:showSerName val="0"/>
          <c:showPercent val="0"/>
          <c:showBubbleSize val="0"/>
        </c:dLbls>
        <c:gapWidth val="100"/>
        <c:overlap val="-24"/>
        <c:axId val="1761515232"/>
        <c:axId val="1299549248"/>
      </c:barChart>
      <c:catAx>
        <c:axId val="176151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endParaRPr lang="en-US"/>
          </a:p>
        </c:txPr>
        <c:crossAx val="1299549248"/>
        <c:crosses val="autoZero"/>
        <c:auto val="1"/>
        <c:lblAlgn val="ctr"/>
        <c:lblOffset val="100"/>
        <c:noMultiLvlLbl val="0"/>
      </c:catAx>
      <c:valAx>
        <c:axId val="129954924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endParaRPr lang="en-US"/>
          </a:p>
        </c:txPr>
        <c:crossAx val="176151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Sales Dashboard.xlsx]Pivot table!PivotTable5</c:name>
    <c:fmtId val="7"/>
  </c:pivotSource>
  <c:chart>
    <c:title>
      <c:tx>
        <c:rich>
          <a:bodyPr rot="0" spcFirstLastPara="1" vertOverflow="ellipsis" vert="horz" wrap="square" anchor="ctr" anchorCtr="1"/>
          <a:lstStyle/>
          <a:p>
            <a:pPr>
              <a:defRPr sz="1600" b="1" i="0" u="none" strike="noStrike" kern="1200" cap="none" spc="20" baseline="0">
                <a:solidFill>
                  <a:schemeClr val="tx1">
                    <a:lumMod val="50000"/>
                    <a:lumOff val="50000"/>
                  </a:schemeClr>
                </a:solidFill>
                <a:latin typeface="+mn-lt"/>
                <a:ea typeface="+mn-ea"/>
                <a:cs typeface="+mn-cs"/>
              </a:defRPr>
            </a:pPr>
            <a:r>
              <a:rPr lang="en-IN" sz="1600" b="1"/>
              <a:t>STATE WISE SALES</a:t>
            </a:r>
            <a:endParaRPr lang="en-US" sz="1600" b="1"/>
          </a:p>
        </c:rich>
      </c:tx>
      <c:overlay val="0"/>
      <c:spPr>
        <a:noFill/>
        <a:ln>
          <a:noFill/>
        </a:ln>
        <a:effectLst/>
      </c:spPr>
      <c:txPr>
        <a:bodyPr rot="0" spcFirstLastPara="1" vertOverflow="ellipsis" vert="horz" wrap="square" anchor="ctr" anchorCtr="1"/>
        <a:lstStyle/>
        <a:p>
          <a:pPr>
            <a:defRPr sz="1600" b="1"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table'!$C$10</c:f>
              <c:strCache>
                <c:ptCount val="1"/>
                <c:pt idx="0">
                  <c:v>Total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'Pivot table'!$B$11:$B$18</c:f>
              <c:strCache>
                <c:ptCount val="7"/>
                <c:pt idx="0">
                  <c:v>Delhi</c:v>
                </c:pt>
                <c:pt idx="1">
                  <c:v>Gujarat</c:v>
                </c:pt>
                <c:pt idx="2">
                  <c:v>Karnataka</c:v>
                </c:pt>
                <c:pt idx="3">
                  <c:v>Maharashtra</c:v>
                </c:pt>
                <c:pt idx="4">
                  <c:v>Tamil Nadu</c:v>
                </c:pt>
                <c:pt idx="5">
                  <c:v>Telangana</c:v>
                </c:pt>
                <c:pt idx="6">
                  <c:v>West Bengal</c:v>
                </c:pt>
              </c:strCache>
            </c:strRef>
          </c:cat>
          <c:val>
            <c:numRef>
              <c:f>'Pivot table'!$C$11:$C$18</c:f>
              <c:numCache>
                <c:formatCode>_("₹"* #,##0.00_);_("₹"* \(#,##0.00\);_("₹"* "-"??_);_(@_)</c:formatCode>
                <c:ptCount val="7"/>
                <c:pt idx="0">
                  <c:v>5619621</c:v>
                </c:pt>
                <c:pt idx="1">
                  <c:v>13255822</c:v>
                </c:pt>
                <c:pt idx="2">
                  <c:v>5599472</c:v>
                </c:pt>
                <c:pt idx="3">
                  <c:v>6038604</c:v>
                </c:pt>
                <c:pt idx="4">
                  <c:v>5057641</c:v>
                </c:pt>
                <c:pt idx="5">
                  <c:v>4636696</c:v>
                </c:pt>
                <c:pt idx="6">
                  <c:v>4985153</c:v>
                </c:pt>
              </c:numCache>
            </c:numRef>
          </c:val>
          <c:extLst>
            <c:ext xmlns:c16="http://schemas.microsoft.com/office/drawing/2014/chart" uri="{C3380CC4-5D6E-409C-BE32-E72D297353CC}">
              <c16:uniqueId val="{00000000-9734-4E2F-B416-BB2AF5189AB6}"/>
            </c:ext>
          </c:extLst>
        </c:ser>
        <c:dLbls>
          <c:showLegendKey val="0"/>
          <c:showVal val="0"/>
          <c:showCatName val="0"/>
          <c:showSerName val="0"/>
          <c:showPercent val="0"/>
          <c:showBubbleSize val="0"/>
        </c:dLbls>
        <c:gapWidth val="100"/>
        <c:axId val="1679592128"/>
        <c:axId val="1697412128"/>
      </c:barChart>
      <c:catAx>
        <c:axId val="1679592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endParaRPr lang="en-US"/>
          </a:p>
        </c:txPr>
        <c:crossAx val="1697412128"/>
        <c:crosses val="autoZero"/>
        <c:auto val="1"/>
        <c:lblAlgn val="ctr"/>
        <c:lblOffset val="100"/>
        <c:noMultiLvlLbl val="0"/>
      </c:catAx>
      <c:valAx>
        <c:axId val="1697412128"/>
        <c:scaling>
          <c:orientation val="minMax"/>
        </c:scaling>
        <c:delete val="0"/>
        <c:axPos val="b"/>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endParaRPr lang="en-US"/>
          </a:p>
        </c:txPr>
        <c:crossAx val="167959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Sales Dashboard.xlsx]Pivot table!PivotTable6</c:name>
    <c:fmtId val="13"/>
  </c:pivotSource>
  <c:chart>
    <c:title>
      <c:tx>
        <c:rich>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r>
              <a:rPr lang="en-IN" sz="1600"/>
              <a:t>Payment Mode Analysis</a:t>
            </a:r>
            <a:endParaRPr lang="en-US" sz="1600"/>
          </a:p>
        </c:rich>
      </c:tx>
      <c:overlay val="0"/>
      <c:spPr>
        <a:noFill/>
        <a:ln>
          <a:noFill/>
        </a:ln>
        <a:effectLst/>
      </c:spPr>
      <c:txPr>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pivotFmt>
      <c:pivotFmt>
        <c:idx val="21"/>
      </c:pivotFmt>
      <c:pivotFmt>
        <c:idx val="22"/>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5">
              <a:shade val="50000"/>
            </a:schemeClr>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5">
              <a:shade val="70000"/>
            </a:schemeClr>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5">
              <a:shade val="90000"/>
            </a:schemeClr>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5">
              <a:tint val="70000"/>
            </a:schemeClr>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table'!$F$10</c:f>
              <c:strCache>
                <c:ptCount val="1"/>
                <c:pt idx="0">
                  <c:v>Total</c:v>
                </c:pt>
              </c:strCache>
            </c:strRef>
          </c:tx>
          <c:dPt>
            <c:idx val="0"/>
            <c:bubble3D val="0"/>
            <c:spPr>
              <a:solidFill>
                <a:schemeClr val="accent5">
                  <a:shade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B44-487D-9532-E724437522D5}"/>
              </c:ext>
            </c:extLst>
          </c:dPt>
          <c:dPt>
            <c:idx val="1"/>
            <c:bubble3D val="0"/>
            <c:spPr>
              <a:solidFill>
                <a:schemeClr val="accent5">
                  <a:shade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B44-487D-9532-E724437522D5}"/>
              </c:ext>
            </c:extLst>
          </c:dPt>
          <c:dPt>
            <c:idx val="2"/>
            <c:bubble3D val="0"/>
            <c:spPr>
              <a:solidFill>
                <a:schemeClr val="accent5">
                  <a:shade val="9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B44-487D-9532-E724437522D5}"/>
              </c:ext>
            </c:extLst>
          </c:dPt>
          <c:dPt>
            <c:idx val="3"/>
            <c:bubble3D val="0"/>
            <c:spPr>
              <a:solidFill>
                <a:schemeClr val="accent5">
                  <a:tint val="9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B44-487D-9532-E724437522D5}"/>
              </c:ext>
            </c:extLst>
          </c:dPt>
          <c:dPt>
            <c:idx val="4"/>
            <c:bubble3D val="0"/>
            <c:spPr>
              <a:solidFill>
                <a:schemeClr val="accent5">
                  <a:tint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FB44-487D-9532-E724437522D5}"/>
              </c:ext>
            </c:extLst>
          </c:dPt>
          <c:dPt>
            <c:idx val="5"/>
            <c:bubble3D val="0"/>
            <c:spPr>
              <a:solidFill>
                <a:schemeClr val="accent5">
                  <a:tint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FB44-487D-9532-E724437522D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table'!$E$11:$E$17</c:f>
              <c:strCache>
                <c:ptCount val="6"/>
                <c:pt idx="0">
                  <c:v>Cash on Delivery</c:v>
                </c:pt>
                <c:pt idx="1">
                  <c:v>Credit Card</c:v>
                </c:pt>
                <c:pt idx="2">
                  <c:v>Debit Card</c:v>
                </c:pt>
                <c:pt idx="3">
                  <c:v>Net Banking</c:v>
                </c:pt>
                <c:pt idx="4">
                  <c:v>UPI</c:v>
                </c:pt>
                <c:pt idx="5">
                  <c:v>Wallet</c:v>
                </c:pt>
              </c:strCache>
            </c:strRef>
          </c:cat>
          <c:val>
            <c:numRef>
              <c:f>'Pivot table'!$F$11:$F$17</c:f>
              <c:numCache>
                <c:formatCode>General</c:formatCode>
                <c:ptCount val="6"/>
                <c:pt idx="0">
                  <c:v>79</c:v>
                </c:pt>
                <c:pt idx="1">
                  <c:v>93</c:v>
                </c:pt>
                <c:pt idx="2">
                  <c:v>72</c:v>
                </c:pt>
                <c:pt idx="3">
                  <c:v>93</c:v>
                </c:pt>
                <c:pt idx="4">
                  <c:v>87</c:v>
                </c:pt>
                <c:pt idx="5">
                  <c:v>76</c:v>
                </c:pt>
              </c:numCache>
            </c:numRef>
          </c:val>
          <c:extLst>
            <c:ext xmlns:c16="http://schemas.microsoft.com/office/drawing/2014/chart" uri="{C3380CC4-5D6E-409C-BE32-E72D297353CC}">
              <c16:uniqueId val="{0000000C-FB44-487D-9532-E724437522D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3521696988546705"/>
          <c:y val="0.29826430293632689"/>
          <c:w val="0.34023214276659719"/>
          <c:h val="0.6070957770407210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Sales Dashboard.xlsx]Pivot table!PivotTable7</c:name>
    <c:fmtId val="13"/>
  </c:pivotSource>
  <c:chart>
    <c:title>
      <c:tx>
        <c:rich>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r>
              <a:rPr lang="en-IN" sz="1600" b="1" i="0" u="none" strike="noStrike" cap="all" baseline="0"/>
              <a:t>Order Status Distribution</a:t>
            </a:r>
            <a:endParaRPr lang="en-US" sz="1600"/>
          </a:p>
        </c:rich>
      </c:tx>
      <c:overlay val="0"/>
      <c:spPr>
        <a:noFill/>
        <a:ln>
          <a:noFill/>
        </a:ln>
        <a:effectLst/>
      </c:spPr>
      <c:txPr>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5">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5">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5">
              <a:tint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table'!$L$11</c:f>
              <c:strCache>
                <c:ptCount val="1"/>
                <c:pt idx="0">
                  <c:v>Total</c:v>
                </c:pt>
              </c:strCache>
            </c:strRef>
          </c:tx>
          <c:dPt>
            <c:idx val="0"/>
            <c:bubble3D val="0"/>
            <c:spPr>
              <a:solidFill>
                <a:schemeClr val="accent5">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ED0-4037-802E-9AA377241A5A}"/>
              </c:ext>
            </c:extLst>
          </c:dPt>
          <c:dPt>
            <c:idx val="1"/>
            <c:bubble3D val="0"/>
            <c:spPr>
              <a:solidFill>
                <a:schemeClr val="accent5">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ED0-4037-802E-9AA377241A5A}"/>
              </c:ext>
            </c:extLst>
          </c:dPt>
          <c:dPt>
            <c:idx val="2"/>
            <c:bubble3D val="0"/>
            <c:spPr>
              <a:solidFill>
                <a:schemeClr val="accent5">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ED0-4037-802E-9AA377241A5A}"/>
              </c:ext>
            </c:extLst>
          </c:dPt>
          <c:dPt>
            <c:idx val="3"/>
            <c:bubble3D val="0"/>
            <c:spPr>
              <a:solidFill>
                <a:schemeClr val="accent5">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ED0-4037-802E-9AA377241A5A}"/>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table'!$K$12:$K$16</c:f>
              <c:strCache>
                <c:ptCount val="4"/>
                <c:pt idx="0">
                  <c:v>Cancelled</c:v>
                </c:pt>
                <c:pt idx="1">
                  <c:v>Delivered</c:v>
                </c:pt>
                <c:pt idx="2">
                  <c:v>Pending</c:v>
                </c:pt>
                <c:pt idx="3">
                  <c:v>Returned</c:v>
                </c:pt>
              </c:strCache>
            </c:strRef>
          </c:cat>
          <c:val>
            <c:numRef>
              <c:f>'Pivot table'!$L$12:$L$16</c:f>
              <c:numCache>
                <c:formatCode>General</c:formatCode>
                <c:ptCount val="4"/>
                <c:pt idx="0">
                  <c:v>114</c:v>
                </c:pt>
                <c:pt idx="1">
                  <c:v>148</c:v>
                </c:pt>
                <c:pt idx="2">
                  <c:v>114</c:v>
                </c:pt>
                <c:pt idx="3">
                  <c:v>124</c:v>
                </c:pt>
              </c:numCache>
            </c:numRef>
          </c:val>
          <c:extLst>
            <c:ext xmlns:c16="http://schemas.microsoft.com/office/drawing/2014/chart" uri="{C3380CC4-5D6E-409C-BE32-E72D297353CC}">
              <c16:uniqueId val="{00000008-1ED0-4037-802E-9AA377241A5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Sales Dashboard.xlsx]Pivot table!PivotTable9</c:name>
    <c:fmtId val="2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b="1"/>
              <a:t>Customer Type</a:t>
            </a:r>
            <a:endParaRPr lang="en-US" b="1"/>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table'!$O$15</c:f>
              <c:strCache>
                <c:ptCount val="1"/>
                <c:pt idx="0">
                  <c:v>Total</c:v>
                </c:pt>
              </c:strCache>
            </c:strRef>
          </c:tx>
          <c:dPt>
            <c:idx val="0"/>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8F4-4159-847D-FAA5F1DA7B49}"/>
              </c:ext>
            </c:extLst>
          </c:dPt>
          <c:dPt>
            <c:idx val="1"/>
            <c:bubble3D val="0"/>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8F4-4159-847D-FAA5F1DA7B4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table'!$N$16:$N$18</c:f>
              <c:strCache>
                <c:ptCount val="2"/>
                <c:pt idx="0">
                  <c:v>Premium</c:v>
                </c:pt>
                <c:pt idx="1">
                  <c:v>Regular</c:v>
                </c:pt>
              </c:strCache>
            </c:strRef>
          </c:cat>
          <c:val>
            <c:numRef>
              <c:f>'Pivot table'!$O$16:$O$18</c:f>
              <c:numCache>
                <c:formatCode>_("₹"* #,##0.00_);_("₹"* \(#,##0.00\);_("₹"* "-"??_);_(@_)</c:formatCode>
                <c:ptCount val="2"/>
                <c:pt idx="0">
                  <c:v>42365974</c:v>
                </c:pt>
                <c:pt idx="1">
                  <c:v>2827035</c:v>
                </c:pt>
              </c:numCache>
            </c:numRef>
          </c:val>
          <c:extLst>
            <c:ext xmlns:c16="http://schemas.microsoft.com/office/drawing/2014/chart" uri="{C3380CC4-5D6E-409C-BE32-E72D297353CC}">
              <c16:uniqueId val="{00000004-18F4-4159-847D-FAA5F1DA7B4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Sales Dashboard.xlsx]Pivot table!PivotTable8</c:name>
    <c:fmtId val="7"/>
  </c:pivotSource>
  <c:chart>
    <c:title>
      <c:tx>
        <c:rich>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r>
              <a:rPr lang="en-IN" b="1"/>
              <a:t>BRAND WISE SALES</a:t>
            </a:r>
            <a:endParaRPr lang="en-US" b="1"/>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table'!$O$3</c:f>
              <c:strCache>
                <c:ptCount val="1"/>
                <c:pt idx="0">
                  <c:v>Total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'Pivot table'!$N$4:$N$12</c:f>
              <c:strCache>
                <c:ptCount val="8"/>
                <c:pt idx="0">
                  <c:v>Apple</c:v>
                </c:pt>
                <c:pt idx="1">
                  <c:v>Boat</c:v>
                </c:pt>
                <c:pt idx="2">
                  <c:v>Dell</c:v>
                </c:pt>
                <c:pt idx="3">
                  <c:v>HP</c:v>
                </c:pt>
                <c:pt idx="4">
                  <c:v>LG</c:v>
                </c:pt>
                <c:pt idx="5">
                  <c:v>Nike</c:v>
                </c:pt>
                <c:pt idx="6">
                  <c:v>Prestige</c:v>
                </c:pt>
                <c:pt idx="7">
                  <c:v>Samsung</c:v>
                </c:pt>
              </c:strCache>
            </c:strRef>
          </c:cat>
          <c:val>
            <c:numRef>
              <c:f>'Pivot table'!$O$4:$O$12</c:f>
              <c:numCache>
                <c:formatCode>_("₹"* #,##0.00_);_("₹"* \(#,##0.00\);_("₹"* "-"??_);_(@_)</c:formatCode>
                <c:ptCount val="8"/>
                <c:pt idx="0">
                  <c:v>12021754</c:v>
                </c:pt>
                <c:pt idx="1">
                  <c:v>478225</c:v>
                </c:pt>
                <c:pt idx="2">
                  <c:v>10725940</c:v>
                </c:pt>
                <c:pt idx="3">
                  <c:v>8451220</c:v>
                </c:pt>
                <c:pt idx="4">
                  <c:v>7418880</c:v>
                </c:pt>
                <c:pt idx="5">
                  <c:v>646875</c:v>
                </c:pt>
                <c:pt idx="6">
                  <c:v>698880</c:v>
                </c:pt>
                <c:pt idx="7">
                  <c:v>4751235</c:v>
                </c:pt>
              </c:numCache>
            </c:numRef>
          </c:val>
          <c:extLst>
            <c:ext xmlns:c16="http://schemas.microsoft.com/office/drawing/2014/chart" uri="{C3380CC4-5D6E-409C-BE32-E72D297353CC}">
              <c16:uniqueId val="{00000000-59CB-4729-81FD-1197255D9239}"/>
            </c:ext>
          </c:extLst>
        </c:ser>
        <c:dLbls>
          <c:showLegendKey val="0"/>
          <c:showVal val="0"/>
          <c:showCatName val="0"/>
          <c:showSerName val="0"/>
          <c:showPercent val="0"/>
          <c:showBubbleSize val="0"/>
        </c:dLbls>
        <c:gapWidth val="100"/>
        <c:axId val="1764523072"/>
        <c:axId val="1697415968"/>
      </c:barChart>
      <c:catAx>
        <c:axId val="1764523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endParaRPr lang="en-US"/>
          </a:p>
        </c:txPr>
        <c:crossAx val="1697415968"/>
        <c:crosses val="autoZero"/>
        <c:auto val="1"/>
        <c:lblAlgn val="ctr"/>
        <c:lblOffset val="100"/>
        <c:noMultiLvlLbl val="0"/>
      </c:catAx>
      <c:valAx>
        <c:axId val="1697415968"/>
        <c:scaling>
          <c:orientation val="minMax"/>
        </c:scaling>
        <c:delete val="0"/>
        <c:axPos val="b"/>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endParaRPr lang="en-US"/>
          </a:p>
        </c:txPr>
        <c:crossAx val="176452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Sales Dashboard.xlsx]Pivot table!PivotTable10</c:name>
    <c:fmtId val="26"/>
  </c:pivotSource>
  <c:chart>
    <c:title>
      <c:tx>
        <c:rich>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r>
              <a:rPr lang="en-IN" b="1"/>
              <a:t>TOP 10 CUSTOMERS</a:t>
            </a:r>
            <a:endParaRPr lang="en-US" b="1"/>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table'!$R$3</c:f>
              <c:strCache>
                <c:ptCount val="1"/>
                <c:pt idx="0">
                  <c:v>Total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'Pivot table'!$Q$4:$Q$14</c:f>
              <c:strCache>
                <c:ptCount val="10"/>
                <c:pt idx="0">
                  <c:v>Karan Mehta</c:v>
                </c:pt>
                <c:pt idx="1">
                  <c:v>Meera Mehta</c:v>
                </c:pt>
                <c:pt idx="2">
                  <c:v>Neha Joshi</c:v>
                </c:pt>
                <c:pt idx="3">
                  <c:v>Neha Kumar</c:v>
                </c:pt>
                <c:pt idx="4">
                  <c:v>Neha Mehta</c:v>
                </c:pt>
                <c:pt idx="5">
                  <c:v>Priya Desai</c:v>
                </c:pt>
                <c:pt idx="6">
                  <c:v>Rahul Kumar</c:v>
                </c:pt>
                <c:pt idx="7">
                  <c:v>Rohan Desai</c:v>
                </c:pt>
                <c:pt idx="8">
                  <c:v>Sagar Mehta</c:v>
                </c:pt>
                <c:pt idx="9">
                  <c:v>Sneha Patel</c:v>
                </c:pt>
              </c:strCache>
            </c:strRef>
          </c:cat>
          <c:val>
            <c:numRef>
              <c:f>'Pivot table'!$R$4:$R$14</c:f>
              <c:numCache>
                <c:formatCode>_("₹"* #,##0.00_);_("₹"* \(#,##0.00\);_("₹"* "-"??_);_(@_)</c:formatCode>
                <c:ptCount val="10"/>
                <c:pt idx="0">
                  <c:v>808448</c:v>
                </c:pt>
                <c:pt idx="1">
                  <c:v>1237320</c:v>
                </c:pt>
                <c:pt idx="2">
                  <c:v>825040</c:v>
                </c:pt>
                <c:pt idx="3">
                  <c:v>692545</c:v>
                </c:pt>
                <c:pt idx="4">
                  <c:v>644691</c:v>
                </c:pt>
                <c:pt idx="5">
                  <c:v>709850</c:v>
                </c:pt>
                <c:pt idx="6">
                  <c:v>618500</c:v>
                </c:pt>
                <c:pt idx="7">
                  <c:v>1079990</c:v>
                </c:pt>
                <c:pt idx="8">
                  <c:v>740896</c:v>
                </c:pt>
                <c:pt idx="9">
                  <c:v>792785</c:v>
                </c:pt>
              </c:numCache>
            </c:numRef>
          </c:val>
          <c:extLst>
            <c:ext xmlns:c16="http://schemas.microsoft.com/office/drawing/2014/chart" uri="{C3380CC4-5D6E-409C-BE32-E72D297353CC}">
              <c16:uniqueId val="{00000000-FBB6-4148-93F5-DFFB3D606417}"/>
            </c:ext>
          </c:extLst>
        </c:ser>
        <c:dLbls>
          <c:showLegendKey val="0"/>
          <c:showVal val="0"/>
          <c:showCatName val="0"/>
          <c:showSerName val="0"/>
          <c:showPercent val="0"/>
          <c:showBubbleSize val="0"/>
        </c:dLbls>
        <c:gapWidth val="100"/>
        <c:axId val="1644906096"/>
        <c:axId val="1791776352"/>
      </c:barChart>
      <c:catAx>
        <c:axId val="1644906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endParaRPr lang="en-US"/>
          </a:p>
        </c:txPr>
        <c:crossAx val="1791776352"/>
        <c:crosses val="autoZero"/>
        <c:auto val="1"/>
        <c:lblAlgn val="ctr"/>
        <c:lblOffset val="100"/>
        <c:noMultiLvlLbl val="0"/>
      </c:catAx>
      <c:valAx>
        <c:axId val="1791776352"/>
        <c:scaling>
          <c:orientation val="minMax"/>
        </c:scaling>
        <c:delete val="0"/>
        <c:axPos val="b"/>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endParaRPr lang="en-US"/>
          </a:p>
        </c:txPr>
        <c:crossAx val="1644906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Sales Dashboard.xlsx]Pivot table!PivotTable1</c:name>
    <c:fmtId val="4"/>
  </c:pivotSource>
  <c:chart>
    <c:title>
      <c:tx>
        <c:rich>
          <a:bodyPr rot="0" spcFirstLastPara="1" vertOverflow="ellipsis" vert="horz" wrap="square" anchor="ctr" anchorCtr="1"/>
          <a:lstStyle/>
          <a:p>
            <a:pPr>
              <a:defRPr sz="1600" b="1" i="0" u="none" strike="noStrike" kern="1200" cap="none" spc="20" baseline="0">
                <a:solidFill>
                  <a:schemeClr val="tx1">
                    <a:lumMod val="50000"/>
                    <a:lumOff val="50000"/>
                  </a:schemeClr>
                </a:solidFill>
                <a:latin typeface="+mn-lt"/>
                <a:ea typeface="+mn-ea"/>
                <a:cs typeface="+mn-cs"/>
              </a:defRPr>
            </a:pPr>
            <a:r>
              <a:rPr lang="en-US" sz="1600" b="1"/>
              <a:t>CATEGORY WISE SALES</a:t>
            </a:r>
          </a:p>
        </c:rich>
      </c:tx>
      <c:overlay val="0"/>
      <c:spPr>
        <a:noFill/>
        <a:ln>
          <a:noFill/>
        </a:ln>
        <a:effectLst/>
      </c:spPr>
      <c:txPr>
        <a:bodyPr rot="0" spcFirstLastPara="1" vertOverflow="ellipsis" vert="horz" wrap="square" anchor="ctr" anchorCtr="1"/>
        <a:lstStyle/>
        <a:p>
          <a:pPr>
            <a:defRPr sz="1600" b="1"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c:f>
              <c:strCache>
                <c:ptCount val="1"/>
                <c:pt idx="0">
                  <c:v>Total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'Pivot table'!$B$4:$B$7</c:f>
              <c:strCache>
                <c:ptCount val="3"/>
                <c:pt idx="0">
                  <c:v>Electronics</c:v>
                </c:pt>
                <c:pt idx="1">
                  <c:v>Fashion</c:v>
                </c:pt>
                <c:pt idx="2">
                  <c:v>Home &amp; Kitchen</c:v>
                </c:pt>
              </c:strCache>
            </c:strRef>
          </c:cat>
          <c:val>
            <c:numRef>
              <c:f>'Pivot table'!$C$4:$C$7</c:f>
              <c:numCache>
                <c:formatCode>_("₹"* #,##0.00_);_("₹"* \(#,##0.00\);_("₹"* "-"??_);_(@_)</c:formatCode>
                <c:ptCount val="3"/>
                <c:pt idx="0">
                  <c:v>43847254</c:v>
                </c:pt>
                <c:pt idx="1">
                  <c:v>646875</c:v>
                </c:pt>
                <c:pt idx="2">
                  <c:v>698880</c:v>
                </c:pt>
              </c:numCache>
            </c:numRef>
          </c:val>
          <c:extLst>
            <c:ext xmlns:c16="http://schemas.microsoft.com/office/drawing/2014/chart" uri="{C3380CC4-5D6E-409C-BE32-E72D297353CC}">
              <c16:uniqueId val="{00000000-D1D9-434F-AAD1-19BAB9388241}"/>
            </c:ext>
          </c:extLst>
        </c:ser>
        <c:dLbls>
          <c:showLegendKey val="0"/>
          <c:showVal val="0"/>
          <c:showCatName val="0"/>
          <c:showSerName val="0"/>
          <c:showPercent val="0"/>
          <c:showBubbleSize val="0"/>
        </c:dLbls>
        <c:gapWidth val="100"/>
        <c:overlap val="-24"/>
        <c:axId val="1857844016"/>
        <c:axId val="1697415968"/>
      </c:barChart>
      <c:catAx>
        <c:axId val="185784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endParaRPr lang="en-US"/>
          </a:p>
        </c:txPr>
        <c:crossAx val="1697415968"/>
        <c:crosses val="autoZero"/>
        <c:auto val="1"/>
        <c:lblAlgn val="ctr"/>
        <c:lblOffset val="100"/>
        <c:noMultiLvlLbl val="0"/>
      </c:catAx>
      <c:valAx>
        <c:axId val="169741596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endParaRPr lang="en-US"/>
          </a:p>
        </c:txPr>
        <c:crossAx val="185784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Sales Dashboard.xlsx]Pivot table!PivotTable11</c:name>
    <c:fmtId val="7"/>
  </c:pivotSource>
  <c:chart>
    <c:title>
      <c:tx>
        <c:rich>
          <a:bodyPr rot="0" spcFirstLastPara="1" vertOverflow="ellipsis" vert="horz" wrap="square" anchor="ctr" anchorCtr="1"/>
          <a:lstStyle/>
          <a:p>
            <a:pPr>
              <a:defRPr sz="1600" b="1" i="0" u="none" strike="noStrike" kern="1200" cap="none" spc="20" baseline="0">
                <a:solidFill>
                  <a:schemeClr val="tx1">
                    <a:lumMod val="50000"/>
                    <a:lumOff val="50000"/>
                  </a:schemeClr>
                </a:solidFill>
                <a:latin typeface="+mn-lt"/>
                <a:ea typeface="+mn-ea"/>
                <a:cs typeface="+mn-cs"/>
              </a:defRPr>
            </a:pPr>
            <a:r>
              <a:rPr lang="en-IN" sz="1600" b="1" i="0" u="none" strike="noStrike" cap="none" baseline="0"/>
              <a:t>SALES BY PAYMENT MODE</a:t>
            </a:r>
            <a:endParaRPr lang="en-US" sz="1600" b="1"/>
          </a:p>
        </c:rich>
      </c:tx>
      <c:overlay val="0"/>
      <c:spPr>
        <a:noFill/>
        <a:ln>
          <a:noFill/>
        </a:ln>
        <a:effectLst/>
      </c:spPr>
      <c:txPr>
        <a:bodyPr rot="0" spcFirstLastPara="1" vertOverflow="ellipsis" vert="horz" wrap="square" anchor="ctr" anchorCtr="1"/>
        <a:lstStyle/>
        <a:p>
          <a:pPr>
            <a:defRPr sz="1600" b="1"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circle"/>
          <c:size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table'!$C$20</c:f>
              <c:strCache>
                <c:ptCount val="1"/>
                <c:pt idx="0">
                  <c:v>Total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'Pivot table'!$B$21:$B$25</c:f>
              <c:strCache>
                <c:ptCount val="4"/>
                <c:pt idx="0">
                  <c:v>Cancelled</c:v>
                </c:pt>
                <c:pt idx="1">
                  <c:v>Delivered</c:v>
                </c:pt>
                <c:pt idx="2">
                  <c:v>Pending</c:v>
                </c:pt>
                <c:pt idx="3">
                  <c:v>Returned</c:v>
                </c:pt>
              </c:strCache>
            </c:strRef>
          </c:cat>
          <c:val>
            <c:numRef>
              <c:f>'Pivot table'!$C$21:$C$25</c:f>
              <c:numCache>
                <c:formatCode>_("₹"* #,##0.00_);_("₹"* \(#,##0.00\);_("₹"* "-"??_);_(@_)</c:formatCode>
                <c:ptCount val="4"/>
                <c:pt idx="0">
                  <c:v>10248925</c:v>
                </c:pt>
                <c:pt idx="1">
                  <c:v>11488370</c:v>
                </c:pt>
                <c:pt idx="2">
                  <c:v>10395376</c:v>
                </c:pt>
                <c:pt idx="3">
                  <c:v>13060338</c:v>
                </c:pt>
              </c:numCache>
            </c:numRef>
          </c:val>
          <c:extLst>
            <c:ext xmlns:c16="http://schemas.microsoft.com/office/drawing/2014/chart" uri="{C3380CC4-5D6E-409C-BE32-E72D297353CC}">
              <c16:uniqueId val="{00000000-91CB-47E1-A481-D8D04223DDCE}"/>
            </c:ext>
          </c:extLst>
        </c:ser>
        <c:dLbls>
          <c:showLegendKey val="0"/>
          <c:showVal val="0"/>
          <c:showCatName val="0"/>
          <c:showSerName val="0"/>
          <c:showPercent val="0"/>
          <c:showBubbleSize val="0"/>
        </c:dLbls>
        <c:gapWidth val="100"/>
        <c:overlap val="-24"/>
        <c:axId val="2117044943"/>
        <c:axId val="2117047343"/>
      </c:barChart>
      <c:catAx>
        <c:axId val="211704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endParaRPr lang="en-US"/>
          </a:p>
        </c:txPr>
        <c:crossAx val="2117047343"/>
        <c:crosses val="autoZero"/>
        <c:auto val="1"/>
        <c:lblAlgn val="ctr"/>
        <c:lblOffset val="100"/>
        <c:noMultiLvlLbl val="0"/>
      </c:catAx>
      <c:valAx>
        <c:axId val="2117047343"/>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endParaRPr lang="en-US"/>
          </a:p>
        </c:txPr>
        <c:crossAx val="211704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Sales Dashboard.xlsx]Pivot table!PivotTable12</c:name>
    <c:fmtId val="11"/>
  </c:pivotSource>
  <c:chart>
    <c:title>
      <c:tx>
        <c:rich>
          <a:bodyPr rot="0" spcFirstLastPara="1" vertOverflow="ellipsis" vert="horz" wrap="square" anchor="ctr" anchorCtr="1"/>
          <a:lstStyle/>
          <a:p>
            <a:pPr>
              <a:defRPr sz="1600" b="0" i="0" u="none" strike="noStrike" kern="1200" cap="none" spc="20" baseline="0">
                <a:solidFill>
                  <a:schemeClr val="tx1">
                    <a:lumMod val="50000"/>
                    <a:lumOff val="50000"/>
                  </a:schemeClr>
                </a:solidFill>
                <a:latin typeface="+mn-lt"/>
                <a:ea typeface="+mn-ea"/>
                <a:cs typeface="+mn-cs"/>
              </a:defRPr>
            </a:pPr>
            <a:r>
              <a:rPr lang="en-IN" sz="1600" b="1" i="0" u="none" strike="noStrike" cap="none" baseline="0"/>
              <a:t>AVERAGE RATING BY BRAND</a:t>
            </a:r>
            <a:endParaRPr lang="en-US" sz="1600" b="1"/>
          </a:p>
        </c:rich>
      </c:tx>
      <c:overlay val="0"/>
      <c:spPr>
        <a:noFill/>
        <a:ln>
          <a:noFill/>
        </a:ln>
        <a:effectLst/>
      </c:spPr>
      <c:txPr>
        <a:bodyPr rot="0" spcFirstLastPara="1" vertOverflow="ellipsis" vert="horz" wrap="square" anchor="ctr" anchorCtr="1"/>
        <a:lstStyle/>
        <a:p>
          <a:pPr>
            <a:defRPr sz="16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circle"/>
          <c:size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table'!$F$20</c:f>
              <c:strCache>
                <c:ptCount val="1"/>
                <c:pt idx="0">
                  <c:v>Total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'Pivot table'!$E$21:$E$29</c:f>
              <c:strCache>
                <c:ptCount val="8"/>
                <c:pt idx="0">
                  <c:v>Apple</c:v>
                </c:pt>
                <c:pt idx="1">
                  <c:v>Boat</c:v>
                </c:pt>
                <c:pt idx="2">
                  <c:v>Dell</c:v>
                </c:pt>
                <c:pt idx="3">
                  <c:v>HP</c:v>
                </c:pt>
                <c:pt idx="4">
                  <c:v>LG</c:v>
                </c:pt>
                <c:pt idx="5">
                  <c:v>Nike</c:v>
                </c:pt>
                <c:pt idx="6">
                  <c:v>Prestige</c:v>
                </c:pt>
                <c:pt idx="7">
                  <c:v>Samsung</c:v>
                </c:pt>
              </c:strCache>
            </c:strRef>
          </c:cat>
          <c:val>
            <c:numRef>
              <c:f>'Pivot table'!$F$21:$F$29</c:f>
              <c:numCache>
                <c:formatCode>0.00</c:formatCode>
                <c:ptCount val="8"/>
                <c:pt idx="0">
                  <c:v>3.603448275862069</c:v>
                </c:pt>
                <c:pt idx="1">
                  <c:v>3.5571428571428569</c:v>
                </c:pt>
                <c:pt idx="2">
                  <c:v>3.596774193548387</c:v>
                </c:pt>
                <c:pt idx="3">
                  <c:v>3.5185185185185186</c:v>
                </c:pt>
                <c:pt idx="4">
                  <c:v>3.3970588235294117</c:v>
                </c:pt>
                <c:pt idx="5">
                  <c:v>3.6551724137931036</c:v>
                </c:pt>
                <c:pt idx="6">
                  <c:v>3.6956521739130435</c:v>
                </c:pt>
                <c:pt idx="7">
                  <c:v>3.4918032786885247</c:v>
                </c:pt>
              </c:numCache>
            </c:numRef>
          </c:val>
          <c:extLst>
            <c:ext xmlns:c16="http://schemas.microsoft.com/office/drawing/2014/chart" uri="{C3380CC4-5D6E-409C-BE32-E72D297353CC}">
              <c16:uniqueId val="{00000000-FD6E-480C-A11E-8B2F6EBF6DBA}"/>
            </c:ext>
          </c:extLst>
        </c:ser>
        <c:dLbls>
          <c:showLegendKey val="0"/>
          <c:showVal val="0"/>
          <c:showCatName val="0"/>
          <c:showSerName val="0"/>
          <c:showPercent val="0"/>
          <c:showBubbleSize val="0"/>
        </c:dLbls>
        <c:gapWidth val="100"/>
        <c:axId val="542912655"/>
        <c:axId val="542915535"/>
      </c:barChart>
      <c:catAx>
        <c:axId val="542912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endParaRPr lang="en-US"/>
          </a:p>
        </c:txPr>
        <c:crossAx val="542915535"/>
        <c:crosses val="autoZero"/>
        <c:auto val="1"/>
        <c:lblAlgn val="ctr"/>
        <c:lblOffset val="100"/>
        <c:noMultiLvlLbl val="0"/>
      </c:catAx>
      <c:valAx>
        <c:axId val="54291553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endParaRPr lang="en-US"/>
          </a:p>
        </c:txPr>
        <c:crossAx val="54291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Sales Dashboard.xlsx]Pivot table!PivotTable13</c:name>
    <c:fmtId val="11"/>
  </c:pivotSource>
  <c:chart>
    <c:title>
      <c:tx>
        <c:rich>
          <a:bodyPr rot="0" spcFirstLastPara="1" vertOverflow="ellipsis" vert="horz" wrap="square" anchor="ctr" anchorCtr="1"/>
          <a:lstStyle/>
          <a:p>
            <a:pPr>
              <a:defRPr sz="1600" b="0" i="0" u="none" strike="noStrike" kern="1200" cap="none" spc="20" baseline="0">
                <a:solidFill>
                  <a:schemeClr val="tx1">
                    <a:lumMod val="50000"/>
                    <a:lumOff val="50000"/>
                  </a:schemeClr>
                </a:solidFill>
                <a:latin typeface="+mn-lt"/>
                <a:ea typeface="+mn-ea"/>
                <a:cs typeface="+mn-cs"/>
              </a:defRPr>
            </a:pPr>
            <a:r>
              <a:rPr lang="en-IN" sz="1600" b="1" i="0" u="none" strike="noStrike" cap="none" baseline="0"/>
              <a:t>QUANTITY SOLD BY CATEGORY</a:t>
            </a:r>
            <a:endParaRPr lang="en-US" sz="1600" b="1"/>
          </a:p>
        </c:rich>
      </c:tx>
      <c:overlay val="0"/>
      <c:spPr>
        <a:noFill/>
        <a:ln>
          <a:noFill/>
        </a:ln>
        <a:effectLst/>
      </c:spPr>
      <c:txPr>
        <a:bodyPr rot="0" spcFirstLastPara="1" vertOverflow="ellipsis" vert="horz" wrap="square" anchor="ctr" anchorCtr="1"/>
        <a:lstStyle/>
        <a:p>
          <a:pPr>
            <a:defRPr sz="16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circle"/>
          <c:size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table'!$I$20</c:f>
              <c:strCache>
                <c:ptCount val="1"/>
                <c:pt idx="0">
                  <c:v>Total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'Pivot table'!$H$21:$H$24</c:f>
              <c:strCache>
                <c:ptCount val="3"/>
                <c:pt idx="0">
                  <c:v>Electronics</c:v>
                </c:pt>
                <c:pt idx="1">
                  <c:v>Fashion</c:v>
                </c:pt>
                <c:pt idx="2">
                  <c:v>Home &amp; Kitchen</c:v>
                </c:pt>
              </c:strCache>
            </c:strRef>
          </c:cat>
          <c:val>
            <c:numRef>
              <c:f>'Pivot table'!$I$21:$I$24</c:f>
              <c:numCache>
                <c:formatCode>General</c:formatCode>
                <c:ptCount val="3"/>
                <c:pt idx="0">
                  <c:v>1142</c:v>
                </c:pt>
                <c:pt idx="1">
                  <c:v>165</c:v>
                </c:pt>
                <c:pt idx="2">
                  <c:v>226</c:v>
                </c:pt>
              </c:numCache>
            </c:numRef>
          </c:val>
          <c:extLst>
            <c:ext xmlns:c16="http://schemas.microsoft.com/office/drawing/2014/chart" uri="{C3380CC4-5D6E-409C-BE32-E72D297353CC}">
              <c16:uniqueId val="{00000000-51C7-436C-814E-54E8CE800E78}"/>
            </c:ext>
          </c:extLst>
        </c:ser>
        <c:dLbls>
          <c:showLegendKey val="0"/>
          <c:showVal val="0"/>
          <c:showCatName val="0"/>
          <c:showSerName val="0"/>
          <c:showPercent val="0"/>
          <c:showBubbleSize val="0"/>
        </c:dLbls>
        <c:gapWidth val="100"/>
        <c:overlap val="-24"/>
        <c:axId val="499107935"/>
        <c:axId val="499106975"/>
      </c:barChart>
      <c:catAx>
        <c:axId val="49910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endParaRPr lang="en-US"/>
          </a:p>
        </c:txPr>
        <c:crossAx val="499106975"/>
        <c:crosses val="autoZero"/>
        <c:auto val="1"/>
        <c:lblAlgn val="ctr"/>
        <c:lblOffset val="100"/>
        <c:noMultiLvlLbl val="0"/>
      </c:catAx>
      <c:valAx>
        <c:axId val="499106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endParaRPr lang="en-US"/>
          </a:p>
        </c:txPr>
        <c:crossAx val="49910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Sales Dashboard.xlsx]Pivot table!PivotTable14</c:name>
    <c:fmtId val="11"/>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sz="1400" b="1" i="0" u="none" strike="noStrike" cap="none" baseline="0"/>
              <a:t>PROFIT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circle"/>
          <c:size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table'!$L$20</c:f>
              <c:strCache>
                <c:ptCount val="1"/>
                <c:pt idx="0">
                  <c:v>Total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'Pivot table'!$K$21:$K$25</c:f>
              <c:strCache>
                <c:ptCount val="4"/>
                <c:pt idx="0">
                  <c:v>East</c:v>
                </c:pt>
                <c:pt idx="1">
                  <c:v>North</c:v>
                </c:pt>
                <c:pt idx="2">
                  <c:v>South</c:v>
                </c:pt>
                <c:pt idx="3">
                  <c:v>West</c:v>
                </c:pt>
              </c:strCache>
            </c:strRef>
          </c:cat>
          <c:val>
            <c:numRef>
              <c:f>'Pivot table'!$L$21:$L$25</c:f>
              <c:numCache>
                <c:formatCode>"₹"\ #,##0.00</c:formatCode>
                <c:ptCount val="4"/>
                <c:pt idx="0">
                  <c:v>252753</c:v>
                </c:pt>
                <c:pt idx="1">
                  <c:v>394121</c:v>
                </c:pt>
                <c:pt idx="2">
                  <c:v>1338209</c:v>
                </c:pt>
                <c:pt idx="3">
                  <c:v>1189326</c:v>
                </c:pt>
              </c:numCache>
            </c:numRef>
          </c:val>
          <c:extLst>
            <c:ext xmlns:c16="http://schemas.microsoft.com/office/drawing/2014/chart" uri="{C3380CC4-5D6E-409C-BE32-E72D297353CC}">
              <c16:uniqueId val="{00000000-C671-4538-B72D-06FE2B363523}"/>
            </c:ext>
          </c:extLst>
        </c:ser>
        <c:dLbls>
          <c:showLegendKey val="0"/>
          <c:showVal val="0"/>
          <c:showCatName val="0"/>
          <c:showSerName val="0"/>
          <c:showPercent val="0"/>
          <c:showBubbleSize val="0"/>
        </c:dLbls>
        <c:gapWidth val="100"/>
        <c:axId val="565028271"/>
        <c:axId val="565022511"/>
      </c:barChart>
      <c:catAx>
        <c:axId val="565028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endParaRPr lang="en-US"/>
          </a:p>
        </c:txPr>
        <c:crossAx val="565022511"/>
        <c:crosses val="autoZero"/>
        <c:auto val="1"/>
        <c:lblAlgn val="ctr"/>
        <c:lblOffset val="100"/>
        <c:noMultiLvlLbl val="0"/>
      </c:catAx>
      <c:valAx>
        <c:axId val="565022511"/>
        <c:scaling>
          <c:orientation val="minMax"/>
        </c:scaling>
        <c:delete val="0"/>
        <c:axPos val="b"/>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endParaRPr lang="en-US"/>
          </a:p>
        </c:txPr>
        <c:crossAx val="565028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Sales Dashboard.xlsx]Pivot table!PivotTable15</c:name>
    <c:fmtId val="7"/>
  </c:pivotSource>
  <c:chart>
    <c:title>
      <c:tx>
        <c:rich>
          <a:bodyPr rot="0" spcFirstLastPara="1" vertOverflow="ellipsis" vert="horz" wrap="square" anchor="ctr" anchorCtr="1"/>
          <a:lstStyle/>
          <a:p>
            <a:pPr>
              <a:defRPr sz="1400" b="1" i="0" u="none" strike="noStrike" kern="1200" cap="none" spc="20" baseline="0">
                <a:solidFill>
                  <a:schemeClr val="dk1">
                    <a:lumMod val="50000"/>
                    <a:lumOff val="50000"/>
                  </a:schemeClr>
                </a:solidFill>
                <a:latin typeface="+mn-lt"/>
                <a:ea typeface="+mn-ea"/>
                <a:cs typeface="+mn-cs"/>
              </a:defRPr>
            </a:pPr>
            <a:r>
              <a:rPr lang="en-IN" sz="1400" b="1" i="0" u="none" strike="noStrike" cap="none" baseline="0"/>
              <a:t>ORDERS BY MONTH</a:t>
            </a:r>
            <a:endParaRPr lang="en-US" b="1"/>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table'!$O$20</c:f>
              <c:strCache>
                <c:ptCount val="1"/>
                <c:pt idx="0">
                  <c:v>Total</c:v>
                </c:pt>
              </c:strCache>
            </c:strRef>
          </c:tx>
          <c:spPr>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cat>
            <c:strRef>
              <c:f>'Pivot table'!$N$21:$N$33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table'!$O$21:$O$33</c:f>
              <c:numCache>
                <c:formatCode>General</c:formatCode>
                <c:ptCount val="12"/>
                <c:pt idx="0">
                  <c:v>50</c:v>
                </c:pt>
                <c:pt idx="1">
                  <c:v>33</c:v>
                </c:pt>
                <c:pt idx="2">
                  <c:v>39</c:v>
                </c:pt>
                <c:pt idx="3">
                  <c:v>38</c:v>
                </c:pt>
                <c:pt idx="4">
                  <c:v>44</c:v>
                </c:pt>
                <c:pt idx="5">
                  <c:v>30</c:v>
                </c:pt>
                <c:pt idx="6">
                  <c:v>39</c:v>
                </c:pt>
                <c:pt idx="7">
                  <c:v>37</c:v>
                </c:pt>
                <c:pt idx="8">
                  <c:v>66</c:v>
                </c:pt>
                <c:pt idx="9">
                  <c:v>42</c:v>
                </c:pt>
                <c:pt idx="10">
                  <c:v>41</c:v>
                </c:pt>
                <c:pt idx="11">
                  <c:v>41</c:v>
                </c:pt>
              </c:numCache>
            </c:numRef>
          </c:val>
          <c:smooth val="0"/>
          <c:extLst>
            <c:ext xmlns:c16="http://schemas.microsoft.com/office/drawing/2014/chart" uri="{C3380CC4-5D6E-409C-BE32-E72D297353CC}">
              <c16:uniqueId val="{00000000-6107-4F7C-BE4A-0ED089230379}"/>
            </c:ext>
          </c:extLst>
        </c:ser>
        <c:dLbls>
          <c:showLegendKey val="0"/>
          <c:showVal val="0"/>
          <c:showCatName val="0"/>
          <c:showSerName val="0"/>
          <c:showPercent val="0"/>
          <c:showBubbleSize val="0"/>
        </c:dLbls>
        <c:marker val="1"/>
        <c:smooth val="0"/>
        <c:axId val="368864127"/>
        <c:axId val="368876607"/>
      </c:lineChart>
      <c:catAx>
        <c:axId val="36886412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spc="20" baseline="0">
                <a:solidFill>
                  <a:schemeClr val="dk1">
                    <a:lumMod val="65000"/>
                    <a:lumOff val="35000"/>
                  </a:schemeClr>
                </a:solidFill>
                <a:latin typeface="+mn-lt"/>
                <a:ea typeface="+mn-ea"/>
                <a:cs typeface="+mn-cs"/>
              </a:defRPr>
            </a:pPr>
            <a:endParaRPr lang="en-US"/>
          </a:p>
        </c:txPr>
        <c:crossAx val="368876607"/>
        <c:crosses val="autoZero"/>
        <c:auto val="1"/>
        <c:lblAlgn val="ctr"/>
        <c:lblOffset val="100"/>
        <c:noMultiLvlLbl val="0"/>
      </c:catAx>
      <c:valAx>
        <c:axId val="368876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spc="20" baseline="0">
                <a:solidFill>
                  <a:schemeClr val="dk1">
                    <a:lumMod val="65000"/>
                    <a:lumOff val="35000"/>
                  </a:schemeClr>
                </a:solidFill>
                <a:latin typeface="+mn-lt"/>
                <a:ea typeface="+mn-ea"/>
                <a:cs typeface="+mn-cs"/>
              </a:defRPr>
            </a:pPr>
            <a:endParaRPr lang="en-US"/>
          </a:p>
        </c:txPr>
        <c:crossAx val="368864127"/>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Sales Dashboard.xlsx]Pivot table!PivotTable16</c:name>
    <c:fmtId val="8"/>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sz="1600" b="1" i="0" u="none" strike="noStrike" cap="none" baseline="0"/>
              <a:t>TOP 5 PRODUCTS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circle"/>
          <c:size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table'!$R$16</c:f>
              <c:strCache>
                <c:ptCount val="1"/>
                <c:pt idx="0">
                  <c:v>Total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'Pivot table'!$Q$17:$Q$22</c:f>
              <c:strCache>
                <c:ptCount val="5"/>
                <c:pt idx="0">
                  <c:v>Dell Inspiron</c:v>
                </c:pt>
                <c:pt idx="1">
                  <c:v>HP Pavilion</c:v>
                </c:pt>
                <c:pt idx="2">
                  <c:v>iPhone 16</c:v>
                </c:pt>
                <c:pt idx="3">
                  <c:v>LG Smart TV</c:v>
                </c:pt>
                <c:pt idx="4">
                  <c:v>Samsung Galaxy A55</c:v>
                </c:pt>
              </c:strCache>
            </c:strRef>
          </c:cat>
          <c:val>
            <c:numRef>
              <c:f>'Pivot table'!$R$17:$R$22</c:f>
              <c:numCache>
                <c:formatCode>_("₹"* #,##0.00_);_("₹"* \(#,##0.00\);_("₹"* "-"??_);_(@_)</c:formatCode>
                <c:ptCount val="5"/>
                <c:pt idx="0">
                  <c:v>10725940</c:v>
                </c:pt>
                <c:pt idx="1">
                  <c:v>8451220</c:v>
                </c:pt>
                <c:pt idx="2">
                  <c:v>12021754</c:v>
                </c:pt>
                <c:pt idx="3">
                  <c:v>7418880</c:v>
                </c:pt>
                <c:pt idx="4">
                  <c:v>4751235</c:v>
                </c:pt>
              </c:numCache>
            </c:numRef>
          </c:val>
          <c:extLst>
            <c:ext xmlns:c16="http://schemas.microsoft.com/office/drawing/2014/chart" uri="{C3380CC4-5D6E-409C-BE32-E72D297353CC}">
              <c16:uniqueId val="{00000000-65B8-4E1D-923F-95C000F5C542}"/>
            </c:ext>
          </c:extLst>
        </c:ser>
        <c:dLbls>
          <c:showLegendKey val="0"/>
          <c:showVal val="0"/>
          <c:showCatName val="0"/>
          <c:showSerName val="0"/>
          <c:showPercent val="0"/>
          <c:showBubbleSize val="0"/>
        </c:dLbls>
        <c:gapWidth val="100"/>
        <c:axId val="539762879"/>
        <c:axId val="539764799"/>
      </c:barChart>
      <c:catAx>
        <c:axId val="539762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endParaRPr lang="en-US"/>
          </a:p>
        </c:txPr>
        <c:crossAx val="539764799"/>
        <c:crosses val="autoZero"/>
        <c:auto val="1"/>
        <c:lblAlgn val="ctr"/>
        <c:lblOffset val="100"/>
        <c:noMultiLvlLbl val="0"/>
      </c:catAx>
      <c:valAx>
        <c:axId val="539764799"/>
        <c:scaling>
          <c:orientation val="minMax"/>
        </c:scaling>
        <c:delete val="0"/>
        <c:axPos val="b"/>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endParaRPr lang="en-US"/>
          </a:p>
        </c:txPr>
        <c:crossAx val="53976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8">
  <a:schemeClr val="accent5"/>
</cs:colorStyle>
</file>

<file path=xl/charts/colors18.xml><?xml version="1.0" encoding="utf-8"?>
<cs:colorStyle xmlns:cs="http://schemas.microsoft.com/office/drawing/2012/chartStyle" xmlns:a="http://schemas.openxmlformats.org/drawingml/2006/main" meth="withinLinear" id="18">
  <a:schemeClr val="accent5"/>
</cs:colorStyle>
</file>

<file path=xl/charts/colors19.xml><?xml version="1.0" encoding="utf-8"?>
<cs:colorStyle xmlns:cs="http://schemas.microsoft.com/office/drawing/2012/chartStyle" xmlns:a="http://schemas.openxmlformats.org/drawingml/2006/main" meth="withinLinear" id="18">
  <a:schemeClr val="accent5"/>
</cs:colorStyle>
</file>

<file path=xl/charts/colors20.xml><?xml version="1.0" encoding="utf-8"?>
<cs:colorStyle xmlns:cs="http://schemas.microsoft.com/office/drawing/2012/chartStyle" xmlns:a="http://schemas.openxmlformats.org/drawingml/2006/main" meth="withinLinear" id="18">
  <a:schemeClr val="accent5"/>
</cs:colorStyle>
</file>

<file path=xl/charts/colors21.xml><?xml version="1.0" encoding="utf-8"?>
<cs:colorStyle xmlns:cs="http://schemas.microsoft.com/office/drawing/2012/chartStyle" xmlns:a="http://schemas.openxmlformats.org/drawingml/2006/main" meth="withinLinear" id="18">
  <a:schemeClr val="accent5"/>
</cs:colorStyle>
</file>

<file path=xl/charts/colors22.xml><?xml version="1.0" encoding="utf-8"?>
<cs:colorStyle xmlns:cs="http://schemas.microsoft.com/office/drawing/2012/chartStyle" xmlns:a="http://schemas.openxmlformats.org/drawingml/2006/main" meth="withinLinear" id="18">
  <a:schemeClr val="accent5"/>
</cs:colorStyle>
</file>

<file path=xl/charts/colors23.xml><?xml version="1.0" encoding="utf-8"?>
<cs:colorStyle xmlns:cs="http://schemas.microsoft.com/office/drawing/2012/chartStyle" xmlns:a="http://schemas.openxmlformats.org/drawingml/2006/main" meth="withinLinear" id="18">
  <a:schemeClr val="accent5"/>
</cs:colorStyle>
</file>

<file path=xl/charts/colors24.xml><?xml version="1.0" encoding="utf-8"?>
<cs:colorStyle xmlns:cs="http://schemas.microsoft.com/office/drawing/2012/chartStyle" xmlns:a="http://schemas.openxmlformats.org/drawingml/2006/main" meth="withinLinear" id="18">
  <a:schemeClr val="accent5"/>
</cs:colorStyle>
</file>

<file path=xl/charts/colors25.xml><?xml version="1.0" encoding="utf-8"?>
<cs:colorStyle xmlns:cs="http://schemas.microsoft.com/office/drawing/2012/chartStyle" xmlns:a="http://schemas.openxmlformats.org/drawingml/2006/main" meth="withinLinear" id="18">
  <a:schemeClr val="accent5"/>
</cs:colorStyle>
</file>

<file path=xl/charts/colors26.xml><?xml version="1.0" encoding="utf-8"?>
<cs:colorStyle xmlns:cs="http://schemas.microsoft.com/office/drawing/2012/chartStyle" xmlns:a="http://schemas.openxmlformats.org/drawingml/2006/main" meth="withinLinear" id="18">
  <a:schemeClr val="accent5"/>
</cs:colorStyle>
</file>

<file path=xl/charts/colors27.xml><?xml version="1.0" encoding="utf-8"?>
<cs:colorStyle xmlns:cs="http://schemas.microsoft.com/office/drawing/2012/chartStyle" xmlns:a="http://schemas.openxmlformats.org/drawingml/2006/main" meth="withinLinear" id="18">
  <a:schemeClr val="accent5"/>
</cs:colorStyle>
</file>

<file path=xl/charts/colors28.xml><?xml version="1.0" encoding="utf-8"?>
<cs:colorStyle xmlns:cs="http://schemas.microsoft.com/office/drawing/2012/chartStyle" xmlns:a="http://schemas.openxmlformats.org/drawingml/2006/main" meth="withinLinear" id="18">
  <a:schemeClr val="accent5"/>
</cs:colorStyle>
</file>

<file path=xl/charts/colors29.xml><?xml version="1.0" encoding="utf-8"?>
<cs:colorStyle xmlns:cs="http://schemas.microsoft.com/office/drawing/2012/chartStyle" xmlns:a="http://schemas.openxmlformats.org/drawingml/2006/main" meth="withinLinear" id="18">
  <a:schemeClr val="accent5"/>
</cs:colorStyle>
</file>

<file path=xl/charts/colors30.xml><?xml version="1.0" encoding="utf-8"?>
<cs:colorStyle xmlns:cs="http://schemas.microsoft.com/office/drawing/2012/chartStyle" xmlns:a="http://schemas.openxmlformats.org/drawingml/2006/main" meth="withinLinear" id="18">
  <a:schemeClr val="accent5"/>
</cs:colorStyle>
</file>

<file path=xl/charts/colors31.xml><?xml version="1.0" encoding="utf-8"?>
<cs:colorStyle xmlns:cs="http://schemas.microsoft.com/office/drawing/2012/chartStyle" xmlns:a="http://schemas.openxmlformats.org/drawingml/2006/main" meth="withinLinear" id="18">
  <a:schemeClr val="accent5"/>
</cs:colorStyle>
</file>

<file path=xl/charts/colors3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4.xml"/><Relationship Id="rId13" Type="http://schemas.openxmlformats.org/officeDocument/2006/relationships/chart" Target="../charts/chart29.xml"/><Relationship Id="rId3" Type="http://schemas.openxmlformats.org/officeDocument/2006/relationships/chart" Target="../charts/chart19.xml"/><Relationship Id="rId7" Type="http://schemas.openxmlformats.org/officeDocument/2006/relationships/chart" Target="../charts/chart23.xml"/><Relationship Id="rId12" Type="http://schemas.openxmlformats.org/officeDocument/2006/relationships/chart" Target="../charts/chart28.xml"/><Relationship Id="rId2" Type="http://schemas.openxmlformats.org/officeDocument/2006/relationships/chart" Target="../charts/chart18.xml"/><Relationship Id="rId16" Type="http://schemas.openxmlformats.org/officeDocument/2006/relationships/chart" Target="../charts/chart32.xml"/><Relationship Id="rId1" Type="http://schemas.openxmlformats.org/officeDocument/2006/relationships/chart" Target="../charts/chart17.xml"/><Relationship Id="rId6" Type="http://schemas.openxmlformats.org/officeDocument/2006/relationships/chart" Target="../charts/chart22.xml"/><Relationship Id="rId11" Type="http://schemas.openxmlformats.org/officeDocument/2006/relationships/chart" Target="../charts/chart27.xml"/><Relationship Id="rId5" Type="http://schemas.openxmlformats.org/officeDocument/2006/relationships/chart" Target="../charts/chart21.xml"/><Relationship Id="rId15" Type="http://schemas.openxmlformats.org/officeDocument/2006/relationships/chart" Target="../charts/chart31.xml"/><Relationship Id="rId10" Type="http://schemas.openxmlformats.org/officeDocument/2006/relationships/chart" Target="../charts/chart26.xml"/><Relationship Id="rId4" Type="http://schemas.openxmlformats.org/officeDocument/2006/relationships/chart" Target="../charts/chart20.xml"/><Relationship Id="rId9" Type="http://schemas.openxmlformats.org/officeDocument/2006/relationships/chart" Target="../charts/chart25.xml"/><Relationship Id="rId14"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12</xdr:col>
      <xdr:colOff>0</xdr:colOff>
      <xdr:row>12</xdr:row>
      <xdr:rowOff>7620</xdr:rowOff>
    </xdr:to>
    <xdr:graphicFrame macro="">
      <xdr:nvGraphicFramePr>
        <xdr:cNvPr id="3" name="Chart 2">
          <a:extLst>
            <a:ext uri="{FF2B5EF4-FFF2-40B4-BE49-F238E27FC236}">
              <a16:creationId xmlns:a16="http://schemas.microsoft.com/office/drawing/2014/main" id="{A76CFC8F-F9ED-49DB-83C5-6A9C279E99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1</xdr:row>
      <xdr:rowOff>0</xdr:rowOff>
    </xdr:from>
    <xdr:to>
      <xdr:col>18</xdr:col>
      <xdr:colOff>15240</xdr:colOff>
      <xdr:row>12</xdr:row>
      <xdr:rowOff>0</xdr:rowOff>
    </xdr:to>
    <xdr:graphicFrame macro="">
      <xdr:nvGraphicFramePr>
        <xdr:cNvPr id="4" name="Chart 3">
          <a:extLst>
            <a:ext uri="{FF2B5EF4-FFF2-40B4-BE49-F238E27FC236}">
              <a16:creationId xmlns:a16="http://schemas.microsoft.com/office/drawing/2014/main" id="{A22870DF-5788-4BE7-A5E8-58C2BFA5F8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1</xdr:row>
      <xdr:rowOff>0</xdr:rowOff>
    </xdr:from>
    <xdr:to>
      <xdr:col>24</xdr:col>
      <xdr:colOff>0</xdr:colOff>
      <xdr:row>11</xdr:row>
      <xdr:rowOff>175260</xdr:rowOff>
    </xdr:to>
    <xdr:graphicFrame macro="">
      <xdr:nvGraphicFramePr>
        <xdr:cNvPr id="5" name="Chart 4">
          <a:extLst>
            <a:ext uri="{FF2B5EF4-FFF2-40B4-BE49-F238E27FC236}">
              <a16:creationId xmlns:a16="http://schemas.microsoft.com/office/drawing/2014/main" id="{B8D93D99-4BD1-4735-A3B7-78DF1007D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0</xdr:colOff>
      <xdr:row>1</xdr:row>
      <xdr:rowOff>0</xdr:rowOff>
    </xdr:from>
    <xdr:to>
      <xdr:col>29</xdr:col>
      <xdr:colOff>601980</xdr:colOff>
      <xdr:row>12</xdr:row>
      <xdr:rowOff>0</xdr:rowOff>
    </xdr:to>
    <xdr:graphicFrame macro="">
      <xdr:nvGraphicFramePr>
        <xdr:cNvPr id="6" name="Chart 5">
          <a:extLst>
            <a:ext uri="{FF2B5EF4-FFF2-40B4-BE49-F238E27FC236}">
              <a16:creationId xmlns:a16="http://schemas.microsoft.com/office/drawing/2014/main" id="{80166A4B-89C7-4917-8C5D-71E3026CD0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13</xdr:row>
      <xdr:rowOff>0</xdr:rowOff>
    </xdr:from>
    <xdr:to>
      <xdr:col>6</xdr:col>
      <xdr:colOff>0</xdr:colOff>
      <xdr:row>24</xdr:row>
      <xdr:rowOff>7620</xdr:rowOff>
    </xdr:to>
    <xdr:graphicFrame macro="">
      <xdr:nvGraphicFramePr>
        <xdr:cNvPr id="7" name="Chart 6">
          <a:extLst>
            <a:ext uri="{FF2B5EF4-FFF2-40B4-BE49-F238E27FC236}">
              <a16:creationId xmlns:a16="http://schemas.microsoft.com/office/drawing/2014/main" id="{ECD5CB38-F3AA-413E-AEB2-EBB982436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13</xdr:row>
      <xdr:rowOff>0</xdr:rowOff>
    </xdr:from>
    <xdr:to>
      <xdr:col>12</xdr:col>
      <xdr:colOff>0</xdr:colOff>
      <xdr:row>24</xdr:row>
      <xdr:rowOff>7620</xdr:rowOff>
    </xdr:to>
    <xdr:graphicFrame macro="">
      <xdr:nvGraphicFramePr>
        <xdr:cNvPr id="8" name="Chart 7">
          <a:extLst>
            <a:ext uri="{FF2B5EF4-FFF2-40B4-BE49-F238E27FC236}">
              <a16:creationId xmlns:a16="http://schemas.microsoft.com/office/drawing/2014/main" id="{7869C7DD-CD82-42AE-A666-CF97ADAC03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0</xdr:colOff>
      <xdr:row>13</xdr:row>
      <xdr:rowOff>0</xdr:rowOff>
    </xdr:from>
    <xdr:to>
      <xdr:col>18</xdr:col>
      <xdr:colOff>7620</xdr:colOff>
      <xdr:row>23</xdr:row>
      <xdr:rowOff>175260</xdr:rowOff>
    </xdr:to>
    <xdr:graphicFrame macro="">
      <xdr:nvGraphicFramePr>
        <xdr:cNvPr id="9" name="Chart 8">
          <a:extLst>
            <a:ext uri="{FF2B5EF4-FFF2-40B4-BE49-F238E27FC236}">
              <a16:creationId xmlns:a16="http://schemas.microsoft.com/office/drawing/2014/main" id="{68C17C0F-5938-432B-9346-D0F5580ED2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0</xdr:colOff>
      <xdr:row>13</xdr:row>
      <xdr:rowOff>0</xdr:rowOff>
    </xdr:from>
    <xdr:to>
      <xdr:col>24</xdr:col>
      <xdr:colOff>449580</xdr:colOff>
      <xdr:row>26</xdr:row>
      <xdr:rowOff>106680</xdr:rowOff>
    </xdr:to>
    <xdr:graphicFrame macro="">
      <xdr:nvGraphicFramePr>
        <xdr:cNvPr id="10" name="Chart 9">
          <a:extLst>
            <a:ext uri="{FF2B5EF4-FFF2-40B4-BE49-F238E27FC236}">
              <a16:creationId xmlns:a16="http://schemas.microsoft.com/office/drawing/2014/main" id="{AD2E99AA-9EF9-423A-BED7-5755B8CF43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0</xdr:colOff>
      <xdr:row>13</xdr:row>
      <xdr:rowOff>0</xdr:rowOff>
    </xdr:from>
    <xdr:to>
      <xdr:col>30</xdr:col>
      <xdr:colOff>7620</xdr:colOff>
      <xdr:row>24</xdr:row>
      <xdr:rowOff>22860</xdr:rowOff>
    </xdr:to>
    <xdr:graphicFrame macro="">
      <xdr:nvGraphicFramePr>
        <xdr:cNvPr id="11" name="Chart 10">
          <a:extLst>
            <a:ext uri="{FF2B5EF4-FFF2-40B4-BE49-F238E27FC236}">
              <a16:creationId xmlns:a16="http://schemas.microsoft.com/office/drawing/2014/main" id="{3C8B62BE-F686-490E-9420-F25BAE905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0</xdr:colOff>
      <xdr:row>1</xdr:row>
      <xdr:rowOff>1</xdr:rowOff>
    </xdr:from>
    <xdr:to>
      <xdr:col>6</xdr:col>
      <xdr:colOff>7620</xdr:colOff>
      <xdr:row>12</xdr:row>
      <xdr:rowOff>1</xdr:rowOff>
    </xdr:to>
    <xdr:graphicFrame macro="">
      <xdr:nvGraphicFramePr>
        <xdr:cNvPr id="12" name="Chart 11">
          <a:extLst>
            <a:ext uri="{FF2B5EF4-FFF2-40B4-BE49-F238E27FC236}">
              <a16:creationId xmlns:a16="http://schemas.microsoft.com/office/drawing/2014/main" id="{3EC3C2AD-65B2-4B48-BD91-DBB2AC1529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0</xdr:colOff>
      <xdr:row>28</xdr:row>
      <xdr:rowOff>0</xdr:rowOff>
    </xdr:from>
    <xdr:to>
      <xdr:col>24</xdr:col>
      <xdr:colOff>21465</xdr:colOff>
      <xdr:row>40</xdr:row>
      <xdr:rowOff>0</xdr:rowOff>
    </xdr:to>
    <xdr:graphicFrame macro="">
      <xdr:nvGraphicFramePr>
        <xdr:cNvPr id="15" name="Chart 14">
          <a:extLst>
            <a:ext uri="{FF2B5EF4-FFF2-40B4-BE49-F238E27FC236}">
              <a16:creationId xmlns:a16="http://schemas.microsoft.com/office/drawing/2014/main" id="{E5C08179-828C-45CC-B354-6D9145573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0</xdr:colOff>
      <xdr:row>25</xdr:row>
      <xdr:rowOff>0</xdr:rowOff>
    </xdr:from>
    <xdr:to>
      <xdr:col>18</xdr:col>
      <xdr:colOff>21465</xdr:colOff>
      <xdr:row>37</xdr:row>
      <xdr:rowOff>0</xdr:rowOff>
    </xdr:to>
    <xdr:graphicFrame macro="">
      <xdr:nvGraphicFramePr>
        <xdr:cNvPr id="16" name="Chart 15">
          <a:extLst>
            <a:ext uri="{FF2B5EF4-FFF2-40B4-BE49-F238E27FC236}">
              <a16:creationId xmlns:a16="http://schemas.microsoft.com/office/drawing/2014/main" id="{1611A414-2395-4269-93BF-803E929CD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0</xdr:colOff>
      <xdr:row>25</xdr:row>
      <xdr:rowOff>0</xdr:rowOff>
    </xdr:from>
    <xdr:to>
      <xdr:col>12</xdr:col>
      <xdr:colOff>10732</xdr:colOff>
      <xdr:row>36</xdr:row>
      <xdr:rowOff>171719</xdr:rowOff>
    </xdr:to>
    <xdr:graphicFrame macro="">
      <xdr:nvGraphicFramePr>
        <xdr:cNvPr id="17" name="Chart 16">
          <a:extLst>
            <a:ext uri="{FF2B5EF4-FFF2-40B4-BE49-F238E27FC236}">
              <a16:creationId xmlns:a16="http://schemas.microsoft.com/office/drawing/2014/main" id="{2A902E40-8761-4A4B-B76F-61814B97EC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0</xdr:colOff>
      <xdr:row>25</xdr:row>
      <xdr:rowOff>0</xdr:rowOff>
    </xdr:from>
    <xdr:to>
      <xdr:col>6</xdr:col>
      <xdr:colOff>0</xdr:colOff>
      <xdr:row>36</xdr:row>
      <xdr:rowOff>171719</xdr:rowOff>
    </xdr:to>
    <xdr:graphicFrame macro="">
      <xdr:nvGraphicFramePr>
        <xdr:cNvPr id="18" name="Chart 17">
          <a:extLst>
            <a:ext uri="{FF2B5EF4-FFF2-40B4-BE49-F238E27FC236}">
              <a16:creationId xmlns:a16="http://schemas.microsoft.com/office/drawing/2014/main" id="{CBE6A009-452E-4492-93A1-FB48151D55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25</xdr:col>
      <xdr:colOff>0</xdr:colOff>
      <xdr:row>28</xdr:row>
      <xdr:rowOff>0</xdr:rowOff>
    </xdr:from>
    <xdr:to>
      <xdr:col>30</xdr:col>
      <xdr:colOff>0</xdr:colOff>
      <xdr:row>39</xdr:row>
      <xdr:rowOff>171719</xdr:rowOff>
    </xdr:to>
    <xdr:graphicFrame macro="">
      <xdr:nvGraphicFramePr>
        <xdr:cNvPr id="19" name="Chart 18">
          <a:extLst>
            <a:ext uri="{FF2B5EF4-FFF2-40B4-BE49-F238E27FC236}">
              <a16:creationId xmlns:a16="http://schemas.microsoft.com/office/drawing/2014/main" id="{9A65ACAE-6102-4E27-878B-C11542E86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31</xdr:col>
      <xdr:colOff>0</xdr:colOff>
      <xdr:row>28</xdr:row>
      <xdr:rowOff>0</xdr:rowOff>
    </xdr:from>
    <xdr:to>
      <xdr:col>37</xdr:col>
      <xdr:colOff>10732</xdr:colOff>
      <xdr:row>40</xdr:row>
      <xdr:rowOff>10733</xdr:rowOff>
    </xdr:to>
    <xdr:graphicFrame macro="">
      <xdr:nvGraphicFramePr>
        <xdr:cNvPr id="20" name="Chart 19">
          <a:extLst>
            <a:ext uri="{FF2B5EF4-FFF2-40B4-BE49-F238E27FC236}">
              <a16:creationId xmlns:a16="http://schemas.microsoft.com/office/drawing/2014/main" id="{3F1AB1C7-A687-4834-A0C5-DA9C81E32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0</xdr:colOff>
      <xdr:row>6</xdr:row>
      <xdr:rowOff>0</xdr:rowOff>
    </xdr:from>
    <xdr:to>
      <xdr:col>18</xdr:col>
      <xdr:colOff>107471</xdr:colOff>
      <xdr:row>18</xdr:row>
      <xdr:rowOff>18858</xdr:rowOff>
    </xdr:to>
    <xdr:graphicFrame macro="">
      <xdr:nvGraphicFramePr>
        <xdr:cNvPr id="6" name="Chart 5">
          <a:extLst>
            <a:ext uri="{FF2B5EF4-FFF2-40B4-BE49-F238E27FC236}">
              <a16:creationId xmlns:a16="http://schemas.microsoft.com/office/drawing/2014/main" id="{C2FC2A2F-18F8-41BE-A4F0-B07067CBAC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5</xdr:row>
      <xdr:rowOff>181427</xdr:rowOff>
    </xdr:from>
    <xdr:to>
      <xdr:col>12</xdr:col>
      <xdr:colOff>107471</xdr:colOff>
      <xdr:row>18</xdr:row>
      <xdr:rowOff>15330</xdr:rowOff>
    </xdr:to>
    <xdr:graphicFrame macro="">
      <xdr:nvGraphicFramePr>
        <xdr:cNvPr id="7" name="Chart 6">
          <a:extLst>
            <a:ext uri="{FF2B5EF4-FFF2-40B4-BE49-F238E27FC236}">
              <a16:creationId xmlns:a16="http://schemas.microsoft.com/office/drawing/2014/main" id="{3BFABB82-1ACE-4018-97AD-95851AAEE3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6</xdr:row>
      <xdr:rowOff>0</xdr:rowOff>
    </xdr:from>
    <xdr:to>
      <xdr:col>24</xdr:col>
      <xdr:colOff>107472</xdr:colOff>
      <xdr:row>18</xdr:row>
      <xdr:rowOff>18858</xdr:rowOff>
    </xdr:to>
    <xdr:graphicFrame macro="">
      <xdr:nvGraphicFramePr>
        <xdr:cNvPr id="8" name="Chart 7">
          <a:extLst>
            <a:ext uri="{FF2B5EF4-FFF2-40B4-BE49-F238E27FC236}">
              <a16:creationId xmlns:a16="http://schemas.microsoft.com/office/drawing/2014/main" id="{8EF3786C-BB20-4196-BEF6-D956386CD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0</xdr:colOff>
      <xdr:row>6</xdr:row>
      <xdr:rowOff>0</xdr:rowOff>
    </xdr:from>
    <xdr:to>
      <xdr:col>30</xdr:col>
      <xdr:colOff>107472</xdr:colOff>
      <xdr:row>18</xdr:row>
      <xdr:rowOff>18858</xdr:rowOff>
    </xdr:to>
    <xdr:graphicFrame macro="">
      <xdr:nvGraphicFramePr>
        <xdr:cNvPr id="9" name="Chart 8">
          <a:extLst>
            <a:ext uri="{FF2B5EF4-FFF2-40B4-BE49-F238E27FC236}">
              <a16:creationId xmlns:a16="http://schemas.microsoft.com/office/drawing/2014/main" id="{572A0C58-7824-4572-993E-327941B4F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19</xdr:row>
      <xdr:rowOff>0</xdr:rowOff>
    </xdr:from>
    <xdr:to>
      <xdr:col>6</xdr:col>
      <xdr:colOff>107472</xdr:colOff>
      <xdr:row>31</xdr:row>
      <xdr:rowOff>18857</xdr:rowOff>
    </xdr:to>
    <xdr:graphicFrame macro="">
      <xdr:nvGraphicFramePr>
        <xdr:cNvPr id="13" name="Chart 12">
          <a:extLst>
            <a:ext uri="{FF2B5EF4-FFF2-40B4-BE49-F238E27FC236}">
              <a16:creationId xmlns:a16="http://schemas.microsoft.com/office/drawing/2014/main" id="{87EC7509-541E-4F67-B0C6-6FF456DB0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19</xdr:row>
      <xdr:rowOff>0</xdr:rowOff>
    </xdr:from>
    <xdr:to>
      <xdr:col>12</xdr:col>
      <xdr:colOff>107471</xdr:colOff>
      <xdr:row>31</xdr:row>
      <xdr:rowOff>18857</xdr:rowOff>
    </xdr:to>
    <xdr:graphicFrame macro="">
      <xdr:nvGraphicFramePr>
        <xdr:cNvPr id="14" name="Chart 13">
          <a:extLst>
            <a:ext uri="{FF2B5EF4-FFF2-40B4-BE49-F238E27FC236}">
              <a16:creationId xmlns:a16="http://schemas.microsoft.com/office/drawing/2014/main" id="{98A868BC-DA66-42D6-8881-74D9D680DB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0</xdr:colOff>
      <xdr:row>19</xdr:row>
      <xdr:rowOff>0</xdr:rowOff>
    </xdr:from>
    <xdr:to>
      <xdr:col>24</xdr:col>
      <xdr:colOff>107472</xdr:colOff>
      <xdr:row>31</xdr:row>
      <xdr:rowOff>18857</xdr:rowOff>
    </xdr:to>
    <xdr:graphicFrame macro="">
      <xdr:nvGraphicFramePr>
        <xdr:cNvPr id="16" name="Chart 15">
          <a:extLst>
            <a:ext uri="{FF2B5EF4-FFF2-40B4-BE49-F238E27FC236}">
              <a16:creationId xmlns:a16="http://schemas.microsoft.com/office/drawing/2014/main" id="{68F96C78-848A-4CA4-848E-460449FB7E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0</xdr:colOff>
      <xdr:row>19</xdr:row>
      <xdr:rowOff>0</xdr:rowOff>
    </xdr:from>
    <xdr:to>
      <xdr:col>18</xdr:col>
      <xdr:colOff>107471</xdr:colOff>
      <xdr:row>31</xdr:row>
      <xdr:rowOff>18857</xdr:rowOff>
    </xdr:to>
    <xdr:graphicFrame macro="">
      <xdr:nvGraphicFramePr>
        <xdr:cNvPr id="17" name="Chart 16">
          <a:extLst>
            <a:ext uri="{FF2B5EF4-FFF2-40B4-BE49-F238E27FC236}">
              <a16:creationId xmlns:a16="http://schemas.microsoft.com/office/drawing/2014/main" id="{B7A21768-8B2C-44AE-AEA3-F80381D7F8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0</xdr:colOff>
      <xdr:row>19</xdr:row>
      <xdr:rowOff>0</xdr:rowOff>
    </xdr:from>
    <xdr:to>
      <xdr:col>30</xdr:col>
      <xdr:colOff>107472</xdr:colOff>
      <xdr:row>31</xdr:row>
      <xdr:rowOff>18857</xdr:rowOff>
    </xdr:to>
    <xdr:graphicFrame macro="">
      <xdr:nvGraphicFramePr>
        <xdr:cNvPr id="18" name="Chart 17">
          <a:extLst>
            <a:ext uri="{FF2B5EF4-FFF2-40B4-BE49-F238E27FC236}">
              <a16:creationId xmlns:a16="http://schemas.microsoft.com/office/drawing/2014/main" id="{53D06B02-796F-46AA-9136-C121D0133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0</xdr:colOff>
      <xdr:row>33</xdr:row>
      <xdr:rowOff>0</xdr:rowOff>
    </xdr:from>
    <xdr:to>
      <xdr:col>8</xdr:col>
      <xdr:colOff>0</xdr:colOff>
      <xdr:row>46</xdr:row>
      <xdr:rowOff>125557</xdr:rowOff>
    </xdr:to>
    <mc:AlternateContent xmlns:mc="http://schemas.openxmlformats.org/markup-compatibility/2006">
      <mc:Choice xmlns:a14="http://schemas.microsoft.com/office/drawing/2010/main" Requires="a14">
        <xdr:graphicFrame macro="">
          <xdr:nvGraphicFramePr>
            <xdr:cNvPr id="26" name="Customer Type">
              <a:extLst>
                <a:ext uri="{FF2B5EF4-FFF2-40B4-BE49-F238E27FC236}">
                  <a16:creationId xmlns:a16="http://schemas.microsoft.com/office/drawing/2014/main" id="{17CBA940-A8BD-4A86-95F1-3964F80223EB}"/>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3012558" y="6096000"/>
              <a:ext cx="1807535" cy="2429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33</xdr:row>
      <xdr:rowOff>0</xdr:rowOff>
    </xdr:from>
    <xdr:to>
      <xdr:col>12</xdr:col>
      <xdr:colOff>0</xdr:colOff>
      <xdr:row>46</xdr:row>
      <xdr:rowOff>125557</xdr:rowOff>
    </xdr:to>
    <mc:AlternateContent xmlns:mc="http://schemas.openxmlformats.org/markup-compatibility/2006" xmlns:a14="http://schemas.microsoft.com/office/drawing/2010/main">
      <mc:Choice Requires="a14">
        <xdr:graphicFrame macro="">
          <xdr:nvGraphicFramePr>
            <xdr:cNvPr id="28" name="Order Status">
              <a:extLst>
                <a:ext uri="{FF2B5EF4-FFF2-40B4-BE49-F238E27FC236}">
                  <a16:creationId xmlns:a16="http://schemas.microsoft.com/office/drawing/2014/main" id="{45947CDC-979F-4B05-A68B-021D93F5AD9D}"/>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5486400" y="6400800"/>
              <a:ext cx="1828800" cy="2563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33</xdr:row>
      <xdr:rowOff>0</xdr:rowOff>
    </xdr:from>
    <xdr:to>
      <xdr:col>4</xdr:col>
      <xdr:colOff>0</xdr:colOff>
      <xdr:row>46</xdr:row>
      <xdr:rowOff>125557</xdr:rowOff>
    </xdr:to>
    <mc:AlternateContent xmlns:mc="http://schemas.openxmlformats.org/markup-compatibility/2006">
      <mc:Choice xmlns:a14="http://schemas.microsoft.com/office/drawing/2010/main" Requires="a14">
        <xdr:graphicFrame macro="">
          <xdr:nvGraphicFramePr>
            <xdr:cNvPr id="27" name="Year">
              <a:extLst>
                <a:ext uri="{FF2B5EF4-FFF2-40B4-BE49-F238E27FC236}">
                  <a16:creationId xmlns:a16="http://schemas.microsoft.com/office/drawing/2014/main" id="{850ABA6C-9D3F-4EA2-852E-4EC88AC1C86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02512" y="6096000"/>
              <a:ext cx="1807535" cy="2429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33</xdr:row>
      <xdr:rowOff>0</xdr:rowOff>
    </xdr:from>
    <xdr:to>
      <xdr:col>16</xdr:col>
      <xdr:colOff>0</xdr:colOff>
      <xdr:row>46</xdr:row>
      <xdr:rowOff>125557</xdr:rowOff>
    </xdr:to>
    <mc:AlternateContent xmlns:mc="http://schemas.openxmlformats.org/markup-compatibility/2006">
      <mc:Choice xmlns:a14="http://schemas.microsoft.com/office/drawing/2010/main" Requires="a14">
        <xdr:graphicFrame macro="">
          <xdr:nvGraphicFramePr>
            <xdr:cNvPr id="29" name="Payment Mode">
              <a:extLst>
                <a:ext uri="{FF2B5EF4-FFF2-40B4-BE49-F238E27FC236}">
                  <a16:creationId xmlns:a16="http://schemas.microsoft.com/office/drawing/2014/main" id="{4FC767F6-92DB-4D2D-9022-517D9ACE25C7}"/>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7832651" y="6096000"/>
              <a:ext cx="1807535" cy="2429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33</xdr:row>
      <xdr:rowOff>0</xdr:rowOff>
    </xdr:from>
    <xdr:to>
      <xdr:col>20</xdr:col>
      <xdr:colOff>0</xdr:colOff>
      <xdr:row>46</xdr:row>
      <xdr:rowOff>125557</xdr:rowOff>
    </xdr:to>
    <mc:AlternateContent xmlns:mc="http://schemas.openxmlformats.org/markup-compatibility/2006" xmlns:a14="http://schemas.microsoft.com/office/drawing/2010/main">
      <mc:Choice Requires="a14">
        <xdr:graphicFrame macro="">
          <xdr:nvGraphicFramePr>
            <xdr:cNvPr id="30" name="Brand">
              <a:extLst>
                <a:ext uri="{FF2B5EF4-FFF2-40B4-BE49-F238E27FC236}">
                  <a16:creationId xmlns:a16="http://schemas.microsoft.com/office/drawing/2014/main" id="{73675A83-0D8D-49FB-9478-3FE3515DB5B4}"/>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0363200" y="6400800"/>
              <a:ext cx="1828800" cy="2563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33</xdr:row>
      <xdr:rowOff>0</xdr:rowOff>
    </xdr:from>
    <xdr:to>
      <xdr:col>24</xdr:col>
      <xdr:colOff>0</xdr:colOff>
      <xdr:row>46</xdr:row>
      <xdr:rowOff>125557</xdr:rowOff>
    </xdr:to>
    <mc:AlternateContent xmlns:mc="http://schemas.openxmlformats.org/markup-compatibility/2006" xmlns:a14="http://schemas.microsoft.com/office/drawing/2010/main">
      <mc:Choice Requires="a14">
        <xdr:graphicFrame macro="">
          <xdr:nvGraphicFramePr>
            <xdr:cNvPr id="31" name="Category">
              <a:extLst>
                <a:ext uri="{FF2B5EF4-FFF2-40B4-BE49-F238E27FC236}">
                  <a16:creationId xmlns:a16="http://schemas.microsoft.com/office/drawing/2014/main" id="{D5E6767F-AE2E-44CC-B7FF-D0451E26E1B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801600" y="6400800"/>
              <a:ext cx="1828800" cy="2563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0</xdr:colOff>
      <xdr:row>33</xdr:row>
      <xdr:rowOff>0</xdr:rowOff>
    </xdr:from>
    <xdr:to>
      <xdr:col>28</xdr:col>
      <xdr:colOff>0</xdr:colOff>
      <xdr:row>46</xdr:row>
      <xdr:rowOff>125557</xdr:rowOff>
    </xdr:to>
    <mc:AlternateContent xmlns:mc="http://schemas.openxmlformats.org/markup-compatibility/2006" xmlns:a14="http://schemas.microsoft.com/office/drawing/2010/main">
      <mc:Choice Requires="a14">
        <xdr:graphicFrame macro="">
          <xdr:nvGraphicFramePr>
            <xdr:cNvPr id="32" name="Region">
              <a:extLst>
                <a:ext uri="{FF2B5EF4-FFF2-40B4-BE49-F238E27FC236}">
                  <a16:creationId xmlns:a16="http://schemas.microsoft.com/office/drawing/2014/main" id="{F7CD4A6C-0821-4B06-B31A-1E77564A066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40000" y="6400800"/>
              <a:ext cx="1828800" cy="2563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6</xdr:row>
      <xdr:rowOff>0</xdr:rowOff>
    </xdr:from>
    <xdr:to>
      <xdr:col>6</xdr:col>
      <xdr:colOff>107472</xdr:colOff>
      <xdr:row>18</xdr:row>
      <xdr:rowOff>18858</xdr:rowOff>
    </xdr:to>
    <xdr:graphicFrame macro="">
      <xdr:nvGraphicFramePr>
        <xdr:cNvPr id="35" name="Chart 34">
          <a:extLst>
            <a:ext uri="{FF2B5EF4-FFF2-40B4-BE49-F238E27FC236}">
              <a16:creationId xmlns:a16="http://schemas.microsoft.com/office/drawing/2014/main" id="{7EFE45C7-5436-491E-B14F-3A57C8D34C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30</xdr:col>
      <xdr:colOff>602510</xdr:colOff>
      <xdr:row>6</xdr:row>
      <xdr:rowOff>0</xdr:rowOff>
    </xdr:from>
    <xdr:to>
      <xdr:col>36</xdr:col>
      <xdr:colOff>97807</xdr:colOff>
      <xdr:row>18</xdr:row>
      <xdr:rowOff>19089</xdr:rowOff>
    </xdr:to>
    <xdr:graphicFrame macro="">
      <xdr:nvGraphicFramePr>
        <xdr:cNvPr id="2" name="Chart 1">
          <a:extLst>
            <a:ext uri="{FF2B5EF4-FFF2-40B4-BE49-F238E27FC236}">
              <a16:creationId xmlns:a16="http://schemas.microsoft.com/office/drawing/2014/main" id="{3606FDDE-0F89-4546-BB16-D5F3508E69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36</xdr:col>
      <xdr:colOff>602510</xdr:colOff>
      <xdr:row>6</xdr:row>
      <xdr:rowOff>0</xdr:rowOff>
    </xdr:from>
    <xdr:to>
      <xdr:col>42</xdr:col>
      <xdr:colOff>97808</xdr:colOff>
      <xdr:row>18</xdr:row>
      <xdr:rowOff>19089</xdr:rowOff>
    </xdr:to>
    <xdr:graphicFrame macro="">
      <xdr:nvGraphicFramePr>
        <xdr:cNvPr id="3" name="Chart 2">
          <a:extLst>
            <a:ext uri="{FF2B5EF4-FFF2-40B4-BE49-F238E27FC236}">
              <a16:creationId xmlns:a16="http://schemas.microsoft.com/office/drawing/2014/main" id="{CAABCF3E-C378-4B7B-AA24-7081C74F0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43</xdr:col>
      <xdr:colOff>0</xdr:colOff>
      <xdr:row>6</xdr:row>
      <xdr:rowOff>0</xdr:rowOff>
    </xdr:from>
    <xdr:to>
      <xdr:col>48</xdr:col>
      <xdr:colOff>108642</xdr:colOff>
      <xdr:row>18</xdr:row>
      <xdr:rowOff>19089</xdr:rowOff>
    </xdr:to>
    <xdr:graphicFrame macro="">
      <xdr:nvGraphicFramePr>
        <xdr:cNvPr id="4" name="Chart 3">
          <a:extLst>
            <a:ext uri="{FF2B5EF4-FFF2-40B4-BE49-F238E27FC236}">
              <a16:creationId xmlns:a16="http://schemas.microsoft.com/office/drawing/2014/main" id="{EDB7B2C5-E834-49B8-9C16-163B7324D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30</xdr:col>
      <xdr:colOff>602510</xdr:colOff>
      <xdr:row>19</xdr:row>
      <xdr:rowOff>0</xdr:rowOff>
    </xdr:from>
    <xdr:to>
      <xdr:col>36</xdr:col>
      <xdr:colOff>97807</xdr:colOff>
      <xdr:row>31</xdr:row>
      <xdr:rowOff>19089</xdr:rowOff>
    </xdr:to>
    <xdr:graphicFrame macro="">
      <xdr:nvGraphicFramePr>
        <xdr:cNvPr id="5" name="Chart 4">
          <a:extLst>
            <a:ext uri="{FF2B5EF4-FFF2-40B4-BE49-F238E27FC236}">
              <a16:creationId xmlns:a16="http://schemas.microsoft.com/office/drawing/2014/main" id="{751504E3-3552-4B40-8EB5-CCC4161EEF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37</xdr:col>
      <xdr:colOff>0</xdr:colOff>
      <xdr:row>19</xdr:row>
      <xdr:rowOff>0</xdr:rowOff>
    </xdr:from>
    <xdr:to>
      <xdr:col>42</xdr:col>
      <xdr:colOff>108642</xdr:colOff>
      <xdr:row>31</xdr:row>
      <xdr:rowOff>19089</xdr:rowOff>
    </xdr:to>
    <xdr:graphicFrame macro="">
      <xdr:nvGraphicFramePr>
        <xdr:cNvPr id="10" name="Chart 9">
          <a:extLst>
            <a:ext uri="{FF2B5EF4-FFF2-40B4-BE49-F238E27FC236}">
              <a16:creationId xmlns:a16="http://schemas.microsoft.com/office/drawing/2014/main" id="{E0643A9A-19C6-4A26-9A6F-F6A55C643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43</xdr:col>
      <xdr:colOff>0</xdr:colOff>
      <xdr:row>19</xdr:row>
      <xdr:rowOff>0</xdr:rowOff>
    </xdr:from>
    <xdr:to>
      <xdr:col>48</xdr:col>
      <xdr:colOff>108642</xdr:colOff>
      <xdr:row>31</xdr:row>
      <xdr:rowOff>19089</xdr:rowOff>
    </xdr:to>
    <xdr:graphicFrame macro="">
      <xdr:nvGraphicFramePr>
        <xdr:cNvPr id="11" name="Chart 10">
          <a:extLst>
            <a:ext uri="{FF2B5EF4-FFF2-40B4-BE49-F238E27FC236}">
              <a16:creationId xmlns:a16="http://schemas.microsoft.com/office/drawing/2014/main" id="{6D4D561A-10BA-4EF2-B5FC-0BC4514B89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29</xdr:col>
      <xdr:colOff>481264</xdr:colOff>
      <xdr:row>33</xdr:row>
      <xdr:rowOff>0</xdr:rowOff>
    </xdr:from>
    <xdr:to>
      <xdr:col>34</xdr:col>
      <xdr:colOff>160422</xdr:colOff>
      <xdr:row>42</xdr:row>
      <xdr:rowOff>18585</xdr:rowOff>
    </xdr:to>
    <mc:AlternateContent xmlns:mc="http://schemas.openxmlformats.org/markup-compatibility/2006">
      <mc:Choice xmlns:tsle="http://schemas.microsoft.com/office/drawing/2012/timeslicer" Requires="tsle">
        <xdr:graphicFrame macro="">
          <xdr:nvGraphicFramePr>
            <xdr:cNvPr id="12" name="Order Date">
              <a:extLst>
                <a:ext uri="{FF2B5EF4-FFF2-40B4-BE49-F238E27FC236}">
                  <a16:creationId xmlns:a16="http://schemas.microsoft.com/office/drawing/2014/main" id="{A66014DF-59EA-4444-A283-1F8AE275CB6E}"/>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7954101" y="6096000"/>
              <a:ext cx="2691716" cy="161346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35</xdr:col>
      <xdr:colOff>541421</xdr:colOff>
      <xdr:row>34</xdr:row>
      <xdr:rowOff>80210</xdr:rowOff>
    </xdr:from>
    <xdr:to>
      <xdr:col>47</xdr:col>
      <xdr:colOff>381000</xdr:colOff>
      <xdr:row>49</xdr:row>
      <xdr:rowOff>0</xdr:rowOff>
    </xdr:to>
    <xdr:sp macro="" textlink="">
      <xdr:nvSpPr>
        <xdr:cNvPr id="15" name="TextBox 14">
          <a:extLst>
            <a:ext uri="{FF2B5EF4-FFF2-40B4-BE49-F238E27FC236}">
              <a16:creationId xmlns:a16="http://schemas.microsoft.com/office/drawing/2014/main" id="{16BB7841-ACC8-CA1A-99F9-1A1221A9BDEB}"/>
            </a:ext>
          </a:extLst>
        </xdr:cNvPr>
        <xdr:cNvSpPr txBox="1"/>
      </xdr:nvSpPr>
      <xdr:spPr>
        <a:xfrm>
          <a:off x="21629328" y="6353419"/>
          <a:ext cx="7069719" cy="257793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rPr>
            <a:t>📌 Key Insights</a:t>
          </a:r>
        </a:p>
        <a:p>
          <a:r>
            <a:rPr lang="en-IN" sz="2400">
              <a:solidFill>
                <a:schemeClr val="bg1"/>
              </a:solidFill>
            </a:rPr>
            <a:t>• Electronics generated the highest sales.</a:t>
          </a:r>
        </a:p>
        <a:p>
          <a:r>
            <a:rPr lang="en-IN" sz="2400">
              <a:solidFill>
                <a:schemeClr val="bg1"/>
              </a:solidFill>
            </a:rPr>
            <a:t>• West region contributed the highest revenue.</a:t>
          </a:r>
        </a:p>
        <a:p>
          <a:r>
            <a:rPr lang="en-IN" sz="2400">
              <a:solidFill>
                <a:schemeClr val="bg1"/>
              </a:solidFill>
            </a:rPr>
            <a:t>• Apple was the top-selling brand by sales..</a:t>
          </a:r>
        </a:p>
        <a:p>
          <a:r>
            <a:rPr lang="en-IN" sz="2400">
              <a:solidFill>
                <a:schemeClr val="bg1"/>
              </a:solidFill>
            </a:rPr>
            <a:t>• Premium customers generated the highest revenue.</a:t>
          </a:r>
        </a:p>
        <a:p>
          <a:r>
            <a:rPr lang="en-IN" sz="2400">
              <a:solidFill>
                <a:schemeClr val="bg1"/>
              </a:solidFill>
            </a:rPr>
            <a:t>• UPI was the most frequently used payment method.</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vya rami" refreshedDate="46219.725944444443" createdVersion="8" refreshedVersion="8" minRefreshableVersion="3" recordCount="500" xr:uid="{68D9B822-9181-4686-8D5D-F1DEEA16B179}">
  <cacheSource type="worksheet">
    <worksheetSource name="Order_Data"/>
  </cacheSource>
  <cacheFields count="36">
    <cacheField name="Order ID" numFmtId="0">
      <sharedItems count="5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6"/>
        <s v="ORD1497"/>
        <s v="ORD1498"/>
        <s v="ORD1499"/>
        <s v="ORD1500"/>
      </sharedItems>
    </cacheField>
    <cacheField name="Order Date" numFmtId="14">
      <sharedItems containsSemiMixedTypes="0" containsNonDate="0" containsDate="1" containsString="0" minDate="2026-01-01T00:00:00" maxDate="2027-01-01T00:00:00" count="271">
        <d v="2026-01-29T00:00:00"/>
        <d v="2026-10-11T00:00:00"/>
        <d v="2026-10-26T00:00:00"/>
        <d v="2026-11-26T00:00:00"/>
        <d v="2026-04-25T00:00:00"/>
        <d v="2026-07-04T00:00:00"/>
        <d v="2026-10-27T00:00:00"/>
        <d v="2026-09-23T00:00:00"/>
        <d v="2026-08-16T00:00:00"/>
        <d v="2026-05-16T00:00:00"/>
        <d v="2026-09-28T00:00:00"/>
        <d v="2026-05-06T00:00:00"/>
        <d v="2026-12-07T00:00:00"/>
        <d v="2026-02-28T00:00:00"/>
        <d v="2026-09-07T00:00:00"/>
        <d v="2026-03-13T00:00:00"/>
        <d v="2026-03-29T00:00:00"/>
        <d v="2026-03-02T00:00:00"/>
        <d v="2026-10-17T00:00:00"/>
        <d v="2026-02-23T00:00:00"/>
        <d v="2026-08-09T00:00:00"/>
        <d v="2026-03-07T00:00:00"/>
        <d v="2026-03-01T00:00:00"/>
        <d v="2026-08-21T00:00:00"/>
        <d v="2026-10-15T00:00:00"/>
        <d v="2026-09-03T00:00:00"/>
        <d v="2026-11-24T00:00:00"/>
        <d v="2026-12-19T00:00:00"/>
        <d v="2026-04-09T00:00:00"/>
        <d v="2026-09-24T00:00:00"/>
        <d v="2026-06-17T00:00:00"/>
        <d v="2026-06-29T00:00:00"/>
        <d v="2026-02-07T00:00:00"/>
        <d v="2026-08-27T00:00:00"/>
        <d v="2026-04-17T00:00:00"/>
        <d v="2026-07-19T00:00:00"/>
        <d v="2026-12-28T00:00:00"/>
        <d v="2026-06-24T00:00:00"/>
        <d v="2026-06-11T00:00:00"/>
        <d v="2026-01-24T00:00:00"/>
        <d v="2026-07-29T00:00:00"/>
        <d v="2026-01-01T00:00:00"/>
        <d v="2026-11-18T00:00:00"/>
        <d v="2026-12-15T00:00:00"/>
        <d v="2026-02-18T00:00:00"/>
        <d v="2026-11-01T00:00:00"/>
        <d v="2026-03-19T00:00:00"/>
        <d v="2026-08-08T00:00:00"/>
        <d v="2026-01-19T00:00:00"/>
        <d v="2026-04-16T00:00:00"/>
        <d v="2026-03-28T00:00:00"/>
        <d v="2026-03-23T00:00:00"/>
        <d v="2026-09-04T00:00:00"/>
        <d v="2026-06-28T00:00:00"/>
        <d v="2026-02-15T00:00:00"/>
        <d v="2026-11-16T00:00:00"/>
        <d v="2026-04-24T00:00:00"/>
        <d v="2026-04-02T00:00:00"/>
        <d v="2026-09-22T00:00:00"/>
        <d v="2026-12-03T00:00:00"/>
        <d v="2026-06-30T00:00:00"/>
        <d v="2026-04-26T00:00:00"/>
        <d v="2026-03-03T00:00:00"/>
        <d v="2026-08-24T00:00:00"/>
        <d v="2026-07-10T00:00:00"/>
        <d v="2026-12-12T00:00:00"/>
        <d v="2026-09-25T00:00:00"/>
        <d v="2026-01-07T00:00:00"/>
        <d v="2026-12-30T00:00:00"/>
        <d v="2026-05-28T00:00:00"/>
        <d v="2026-01-13T00:00:00"/>
        <d v="2026-11-20T00:00:00"/>
        <d v="2026-04-08T00:00:00"/>
        <d v="2026-09-27T00:00:00"/>
        <d v="2026-02-09T00:00:00"/>
        <d v="2026-05-27T00:00:00"/>
        <d v="2026-10-06T00:00:00"/>
        <d v="2026-09-21T00:00:00"/>
        <d v="2026-11-11T00:00:00"/>
        <d v="2026-07-31T00:00:00"/>
        <d v="2026-12-04T00:00:00"/>
        <d v="2026-12-02T00:00:00"/>
        <d v="2026-08-30T00:00:00"/>
        <d v="2026-04-03T00:00:00"/>
        <d v="2026-07-08T00:00:00"/>
        <d v="2026-05-14T00:00:00"/>
        <d v="2026-09-13T00:00:00"/>
        <d v="2026-10-24T00:00:00"/>
        <d v="2026-10-20T00:00:00"/>
        <d v="2026-10-05T00:00:00"/>
        <d v="2026-06-06T00:00:00"/>
        <d v="2026-08-22T00:00:00"/>
        <d v="2026-08-07T00:00:00"/>
        <d v="2026-02-17T00:00:00"/>
        <d v="2026-03-26T00:00:00"/>
        <d v="2026-04-27T00:00:00"/>
        <d v="2026-07-24T00:00:00"/>
        <d v="2026-06-03T00:00:00"/>
        <d v="2026-09-01T00:00:00"/>
        <d v="2026-08-05T00:00:00"/>
        <d v="2026-09-12T00:00:00"/>
        <d v="2026-01-02T00:00:00"/>
        <d v="2026-09-14T00:00:00"/>
        <d v="2026-09-06T00:00:00"/>
        <d v="2026-05-19T00:00:00"/>
        <d v="2026-01-12T00:00:00"/>
        <d v="2026-09-02T00:00:00"/>
        <d v="2026-01-06T00:00:00"/>
        <d v="2026-01-18T00:00:00"/>
        <d v="2026-09-17T00:00:00"/>
        <d v="2026-07-28T00:00:00"/>
        <d v="2026-07-11T00:00:00"/>
        <d v="2026-07-12T00:00:00"/>
        <d v="2026-12-25T00:00:00"/>
        <d v="2026-10-23T00:00:00"/>
        <d v="2026-01-09T00:00:00"/>
        <d v="2026-04-30T00:00:00"/>
        <d v="2026-05-21T00:00:00"/>
        <d v="2026-07-15T00:00:00"/>
        <d v="2026-05-24T00:00:00"/>
        <d v="2026-01-08T00:00:00"/>
        <d v="2026-01-27T00:00:00"/>
        <d v="2026-05-04T00:00:00"/>
        <d v="2026-04-13T00:00:00"/>
        <d v="2026-03-05T00:00:00"/>
        <d v="2026-05-15T00:00:00"/>
        <d v="2026-10-19T00:00:00"/>
        <d v="2026-06-02T00:00:00"/>
        <d v="2026-05-17T00:00:00"/>
        <d v="2026-01-10T00:00:00"/>
        <d v="2026-10-21T00:00:00"/>
        <d v="2026-02-16T00:00:00"/>
        <d v="2026-04-12T00:00:00"/>
        <d v="2026-03-12T00:00:00"/>
        <d v="2026-02-26T00:00:00"/>
        <d v="2026-11-30T00:00:00"/>
        <d v="2026-03-24T00:00:00"/>
        <d v="2026-12-09T00:00:00"/>
        <d v="2026-08-04T00:00:00"/>
        <d v="2026-08-19T00:00:00"/>
        <d v="2026-01-23T00:00:00"/>
        <d v="2026-12-01T00:00:00"/>
        <d v="2026-06-22T00:00:00"/>
        <d v="2026-02-05T00:00:00"/>
        <d v="2026-02-20T00:00:00"/>
        <d v="2026-06-08T00:00:00"/>
        <d v="2026-03-06T00:00:00"/>
        <d v="2026-12-26T00:00:00"/>
        <d v="2026-01-20T00:00:00"/>
        <d v="2026-02-10T00:00:00"/>
        <d v="2026-09-18T00:00:00"/>
        <d v="2026-02-03T00:00:00"/>
        <d v="2026-09-20T00:00:00"/>
        <d v="2026-10-07T00:00:00"/>
        <d v="2026-09-11T00:00:00"/>
        <d v="2026-05-10T00:00:00"/>
        <d v="2026-11-03T00:00:00"/>
        <d v="2026-10-30T00:00:00"/>
        <d v="2026-10-03T00:00:00"/>
        <d v="2026-03-08T00:00:00"/>
        <d v="2026-10-08T00:00:00"/>
        <d v="2026-09-08T00:00:00"/>
        <d v="2026-08-18T00:00:00"/>
        <d v="2026-08-23T00:00:00"/>
        <d v="2026-02-24T00:00:00"/>
        <d v="2026-08-12T00:00:00"/>
        <d v="2026-06-01T00:00:00"/>
        <d v="2026-11-10T00:00:00"/>
        <d v="2026-12-17T00:00:00"/>
        <d v="2026-11-04T00:00:00"/>
        <d v="2026-01-22T00:00:00"/>
        <d v="2026-10-02T00:00:00"/>
        <d v="2026-04-05T00:00:00"/>
        <d v="2026-01-28T00:00:00"/>
        <d v="2026-04-04T00:00:00"/>
        <d v="2026-05-23T00:00:00"/>
        <d v="2026-02-01T00:00:00"/>
        <d v="2026-02-02T00:00:00"/>
        <d v="2026-05-07T00:00:00"/>
        <d v="2026-11-21T00:00:00"/>
        <d v="2026-12-24T00:00:00"/>
        <d v="2026-01-11T00:00:00"/>
        <d v="2026-11-29T00:00:00"/>
        <d v="2026-09-29T00:00:00"/>
        <d v="2026-05-29T00:00:00"/>
        <d v="2026-03-27T00:00:00"/>
        <d v="2026-06-13T00:00:00"/>
        <d v="2026-05-31T00:00:00"/>
        <d v="2026-01-25T00:00:00"/>
        <d v="2026-07-05T00:00:00"/>
        <d v="2026-01-16T00:00:00"/>
        <d v="2026-05-30T00:00:00"/>
        <d v="2026-05-25T00:00:00"/>
        <d v="2026-07-18T00:00:00"/>
        <d v="2026-10-31T00:00:00"/>
        <d v="2026-10-22T00:00:00"/>
        <d v="2026-07-14T00:00:00"/>
        <d v="2026-07-06T00:00:00"/>
        <d v="2026-11-07T00:00:00"/>
        <d v="2026-12-06T00:00:00"/>
        <d v="2026-12-11T00:00:00"/>
        <d v="2026-05-20T00:00:00"/>
        <d v="2026-04-18T00:00:00"/>
        <d v="2026-07-09T00:00:00"/>
        <d v="2026-03-22T00:00:00"/>
        <d v="2026-10-01T00:00:00"/>
        <d v="2026-07-02T00:00:00"/>
        <d v="2026-08-06T00:00:00"/>
        <d v="2026-05-11T00:00:00"/>
        <d v="2026-02-27T00:00:00"/>
        <d v="2026-08-28T00:00:00"/>
        <d v="2026-11-17T00:00:00"/>
        <d v="2026-03-09T00:00:00"/>
        <d v="2026-12-23T00:00:00"/>
        <d v="2026-01-14T00:00:00"/>
        <d v="2026-01-15T00:00:00"/>
        <d v="2026-09-10T00:00:00"/>
        <d v="2026-05-18T00:00:00"/>
        <d v="2026-12-31T00:00:00"/>
        <d v="2026-11-27T00:00:00"/>
        <d v="2026-06-26T00:00:00"/>
        <d v="2026-07-22T00:00:00"/>
        <d v="2026-08-01T00:00:00"/>
        <d v="2026-09-16T00:00:00"/>
        <d v="2026-01-30T00:00:00"/>
        <d v="2026-03-18T00:00:00"/>
        <d v="2026-06-12T00:00:00"/>
        <d v="2026-09-30T00:00:00"/>
        <d v="2026-11-28T00:00:00"/>
        <d v="2026-07-03T00:00:00"/>
        <d v="2026-04-23T00:00:00"/>
        <d v="2026-11-23T00:00:00"/>
        <d v="2026-06-05T00:00:00"/>
        <d v="2026-10-10T00:00:00"/>
        <d v="2026-07-17T00:00:00"/>
        <d v="2026-08-15T00:00:00"/>
        <d v="2026-11-19T00:00:00"/>
        <d v="2026-11-06T00:00:00"/>
        <d v="2026-04-22T00:00:00"/>
        <d v="2026-03-20T00:00:00"/>
        <d v="2026-12-10T00:00:00"/>
        <d v="2026-11-05T00:00:00"/>
        <d v="2026-09-26T00:00:00"/>
        <d v="2026-05-09T00:00:00"/>
        <d v="2026-10-04T00:00:00"/>
        <d v="2026-12-08T00:00:00"/>
        <d v="2026-02-13T00:00:00"/>
        <d v="2026-02-25T00:00:00"/>
        <d v="2026-09-05T00:00:00"/>
        <d v="2026-04-01T00:00:00"/>
        <d v="2026-02-21T00:00:00"/>
        <d v="2026-07-23T00:00:00"/>
        <d v="2026-10-13T00:00:00"/>
        <d v="2026-07-30T00:00:00"/>
        <d v="2026-08-03T00:00:00"/>
        <d v="2026-04-21T00:00:00"/>
        <d v="2026-10-12T00:00:00"/>
        <d v="2026-09-19T00:00:00"/>
        <d v="2026-06-19T00:00:00"/>
        <d v="2026-10-28T00:00:00"/>
        <d v="2026-09-15T00:00:00"/>
        <d v="2026-06-10T00:00:00"/>
        <d v="2026-02-08T00:00:00"/>
        <d v="2026-04-06T00:00:00"/>
        <d v="2026-12-16T00:00:00"/>
        <d v="2026-12-13T00:00:00"/>
        <d v="2026-03-21T00:00:00"/>
        <d v="2026-05-26T00:00:00"/>
        <d v="2026-08-13T00:00:00"/>
        <d v="2026-12-18T00:00:00"/>
        <d v="2026-07-25T00:00:00"/>
      </sharedItems>
    </cacheField>
    <cacheField name="Delivery Date" numFmtId="14">
      <sharedItems containsSemiMixedTypes="0" containsNonDate="0" containsDate="1" containsString="0" minDate="2026-01-03T00:00:00" maxDate="2027-01-04T00:00:00"/>
    </cacheField>
    <cacheField name="Customer ID" numFmtId="0">
      <sharedItems/>
    </cacheField>
    <cacheField name="Customer Name" numFmtId="0">
      <sharedItems count="183">
        <s v="Rakesh Verma"/>
        <s v="Meera Gupta"/>
        <s v="Meera Kumar"/>
        <s v="Neha Kumar"/>
        <s v="Vivek Singh"/>
        <s v="Amit Singh"/>
        <s v="Sneha Kumar"/>
        <s v="Amit Kumar"/>
        <s v="Komal Patel"/>
        <s v="Sneha Patel"/>
        <s v="Aisha Mehta"/>
        <s v="Mohit Sharma"/>
        <s v="Rohan Desai"/>
        <s v="Rohan Gupta"/>
        <s v="Rakesh Gupta"/>
        <s v="Mohit Singh"/>
        <s v="Mohit Mehta"/>
        <s v="Kunal Patel"/>
        <s v="Riya Desai"/>
        <s v="Karan Shah"/>
        <s v="Riya Joshi"/>
        <s v="Meera Patel"/>
        <s v="Sagar Kumar"/>
        <s v="Rakesh Shah"/>
        <s v="Nisha Kumar"/>
        <s v="Karan Gupta"/>
        <s v="Meera Shah"/>
        <s v="Nisha Patel"/>
        <s v="Neha Gupta"/>
        <s v="Meera Joshi"/>
        <s v="Meera Verma"/>
        <s v="Pooja Verma"/>
        <s v="Rakesh Sharma"/>
        <s v="Pooja Gupta"/>
        <s v="Anjali Sharma"/>
        <s v="Pooja Shah"/>
        <s v="Aisha Shah"/>
        <s v="Mohit Gupta"/>
        <s v="Komal Verma"/>
        <s v="Aisha Singh"/>
        <s v="Meera Singh"/>
        <s v="Rohan Singh"/>
        <s v="Meera Mehta"/>
        <s v="Karan Joshi"/>
        <s v="Arjun Shah"/>
        <s v="Sagar Gupta"/>
        <s v="Rohan Mehta"/>
        <s v="Priya Singh"/>
        <s v="Karan Singh"/>
        <s v="Aisha Sharma"/>
        <s v="Priya Desai"/>
        <s v="Karan Sharma"/>
        <s v="Amit Desai"/>
        <s v="Pooja Patel"/>
        <s v="Priya Gupta"/>
        <s v="Sagar Patel"/>
        <s v="Rakesh Kumar"/>
        <s v="Riya Shah"/>
        <s v="Pooja Desai"/>
        <s v="Pooja Mehta"/>
        <s v="Neha Mehta"/>
        <s v="Pooja Joshi"/>
        <s v="Komal Shah"/>
        <s v="Sagar Singh"/>
        <s v="Sagar Mehta"/>
        <s v="Neha Desai"/>
        <s v="Sneha Sharma"/>
        <s v="Rahul Singh"/>
        <s v="Nisha Gupta"/>
        <s v="Neha Patel"/>
        <s v="Rohan Verma"/>
        <s v="Anjali Gupta"/>
        <s v="Kunal Verma"/>
        <s v="Vivek Shah"/>
        <s v="Vivek Verma"/>
        <s v="Meera Sharma"/>
        <s v="Aisha Desai"/>
        <s v="Amit Joshi"/>
        <s v="Priya Patel"/>
        <s v="Nisha Mehta"/>
        <s v="Komal Singh"/>
        <s v="Anjali Mehta"/>
        <s v="Mohit Patel"/>
        <s v="Aisha Patel"/>
        <s v="Sneha Mehta"/>
        <s v="Amit Verma"/>
        <s v="Rahul Kumar"/>
        <s v="Arjun Sharma"/>
        <s v="Rahul Shah"/>
        <s v="Rahul Patel"/>
        <s v="Sneha Joshi"/>
        <s v="Rahul Verma"/>
        <s v="Nisha Joshi"/>
        <s v="Amit Gupta"/>
        <s v="Rahul Gupta"/>
        <s v="Arjun Patel"/>
        <s v="Riya Patel"/>
        <s v="Sagar Shah"/>
        <s v="Amit Patel"/>
        <s v="Riya Kumar"/>
        <s v="Rahul Joshi"/>
        <s v="Sneha Desai"/>
        <s v="Riya Gupta"/>
        <s v="Priya Verma"/>
        <s v="Anjali Singh"/>
        <s v="Komal Joshi"/>
        <s v="Rohan Kumar"/>
        <s v="Amit Sharma"/>
        <s v="Arjun Kumar"/>
        <s v="Vivek Sharma"/>
        <s v="Priya Sharma"/>
        <s v="Sneha Shah"/>
        <s v="Neha Joshi"/>
        <s v="Kunal Shah"/>
        <s v="Anjali Verma"/>
        <s v="Amit Mehta"/>
        <s v="Arjun Verma"/>
        <s v="Nisha Desai"/>
        <s v="Karan Mehta"/>
        <s v="Rahul Desai"/>
        <s v="Sneha Gupta"/>
        <s v="Neha Sharma"/>
        <s v="Nisha Sharma"/>
        <s v="Rakesh Joshi"/>
        <s v="Mohit Joshi"/>
        <s v="Vivek Desai"/>
        <s v="Mohit Verma"/>
        <s v="Nisha Shah"/>
        <s v="Kunal Sharma"/>
        <s v="Aisha Verma"/>
        <s v="Komal Desai"/>
        <s v="Karan Kumar"/>
        <s v="Arjun Mehta"/>
        <s v="Arjun Joshi"/>
        <s v="Rohan Sharma"/>
        <s v="Karan Desai"/>
        <s v="Aisha Gupta"/>
        <s v="Komal Kumar"/>
        <s v="Rakesh Singh"/>
        <s v="Rahul Mehta"/>
        <s v="Sagar Verma"/>
        <s v="Vivek Patel"/>
        <s v="Vivek Joshi"/>
        <s v="Priya Kumar"/>
        <s v="Pooja Sharma"/>
        <s v="Vivek Gupta"/>
        <s v="Kunal Singh"/>
        <s v="Komal Sharma"/>
        <s v="Rohan Shah"/>
        <s v="Rakesh Patel"/>
        <s v="Neha Singh"/>
        <s v="Mohit Shah"/>
        <s v="Priya Mehta"/>
        <s v="Meera Desai"/>
        <s v="Riya Singh"/>
        <s v="Arjun Singh"/>
        <s v="Priya Joshi"/>
        <s v="Rohan Patel"/>
        <s v="Komal Gupta"/>
        <s v="Anjali Kumar"/>
        <s v="Neha Shah"/>
        <s v="Sneha Singh"/>
        <s v="Rahul Sharma"/>
        <s v="Rakesh Desai"/>
        <s v="Anjali Desai"/>
        <s v="Vivek Mehta"/>
        <s v="Sneha Verma"/>
        <s v="Kunal Joshi"/>
        <s v="Rakesh Mehta"/>
        <s v="Pooja Kumar"/>
        <s v="Aisha Joshi"/>
        <s v="Anjali Joshi"/>
        <s v="Mohit Desai"/>
        <s v="Arjun Desai"/>
        <s v="Amit Shah"/>
        <s v="Komal Mehta"/>
        <s v="Rohan Joshi"/>
        <s v="Sagar Desai"/>
        <s v="Riya Verma"/>
        <s v="Nisha Verma"/>
        <s v="Anjali Patel"/>
        <s v="Kunal Kumar"/>
        <s v="Karan Verma"/>
      </sharedItems>
    </cacheField>
    <cacheField name="Gender" numFmtId="0">
      <sharedItems/>
    </cacheField>
    <cacheField name="Age" numFmtId="0">
      <sharedItems containsSemiMixedTypes="0" containsString="0" containsNumber="1" containsInteger="1" minValue="20" maxValue="50"/>
    </cacheField>
    <cacheField name="City" numFmtId="0">
      <sharedItems/>
    </cacheField>
    <cacheField name="State" numFmtId="0">
      <sharedItems count="7">
        <s v="Tamil Nadu"/>
        <s v="Telangana"/>
        <s v="Maharashtra"/>
        <s v="West Bengal"/>
        <s v="Delhi"/>
        <s v="Karnataka"/>
        <s v="Gujarat"/>
      </sharedItems>
    </cacheField>
    <cacheField name="Region" numFmtId="0">
      <sharedItems count="4">
        <s v="South"/>
        <s v="West"/>
        <s v="East"/>
        <s v="North"/>
      </sharedItems>
    </cacheField>
    <cacheField name="Product ID" numFmtId="0">
      <sharedItems/>
    </cacheField>
    <cacheField name="Product Name" numFmtId="0">
      <sharedItems count="8">
        <s v="HP Pavilion"/>
        <s v="Nike Shoes"/>
        <s v="Prestige Mixer"/>
        <s v="LG Smart TV"/>
        <s v="Dell Inspiron"/>
        <s v="Boat Earbuds"/>
        <s v="iPhone 16"/>
        <s v="Samsung Galaxy A55"/>
      </sharedItems>
    </cacheField>
    <cacheField name="Category" numFmtId="0">
      <sharedItems count="3">
        <s v="Electronics"/>
        <s v="Fashion"/>
        <s v="Home &amp; Kitchen"/>
      </sharedItems>
    </cacheField>
    <cacheField name="Sub Category" numFmtId="0">
      <sharedItems/>
    </cacheField>
    <cacheField name="Brand" numFmtId="0">
      <sharedItems count="8">
        <s v="HP"/>
        <s v="Nike"/>
        <s v="Prestige"/>
        <s v="LG"/>
        <s v="Dell"/>
        <s v="Boat"/>
        <s v="Apple"/>
        <s v="Samsung"/>
      </sharedItems>
    </cacheField>
    <cacheField name="Qty" numFmtId="0">
      <sharedItems containsSemiMixedTypes="0" containsString="0" containsNumber="1" containsInteger="1" minValue="1" maxValue="5"/>
    </cacheField>
    <cacheField name="Unit Price" numFmtId="164">
      <sharedItems containsSemiMixedTypes="0" containsString="0" containsNumber="1" containsInteger="1" minValue="2500" maxValue="79900"/>
    </cacheField>
    <cacheField name="Discount %" numFmtId="10">
      <sharedItems containsSemiMixedTypes="0" containsString="0" containsNumber="1" minValue="0.05" maxValue="0.2"/>
    </cacheField>
    <cacheField name="Sales Amount" numFmtId="44">
      <sharedItems containsSemiMixedTypes="0" containsString="0" containsNumber="1" containsInteger="1" minValue="2000" maxValue="379525" count="215">
        <n v="167400"/>
        <n v="57040"/>
        <n v="19800"/>
        <n v="12880"/>
        <n v="199500"/>
        <n v="171120"/>
        <n v="220400"/>
        <n v="105400"/>
        <n v="54560"/>
        <n v="9500"/>
        <n v="37800"/>
        <n v="294032"/>
        <n v="232000"/>
        <n v="11900"/>
        <n v="33600"/>
        <n v="215730"/>
        <n v="11475"/>
        <n v="151810"/>
        <n v="20250"/>
        <n v="77280"/>
        <n v="176700"/>
        <n v="4400"/>
        <n v="193200"/>
        <n v="6160"/>
        <n v="18000"/>
        <n v="20700"/>
        <n v="4000"/>
        <n v="52200"/>
        <n v="2125"/>
        <n v="2000"/>
        <n v="102080"/>
        <n v="104880"/>
        <n v="106720"/>
        <n v="14400"/>
        <n v="143820"/>
        <n v="6900"/>
        <n v="8100"/>
        <n v="119700"/>
        <n v="25080"/>
        <n v="158100"/>
        <n v="178500"/>
        <n v="303620"/>
        <n v="4140"/>
        <n v="125400"/>
        <n v="12150"/>
        <n v="92800"/>
        <n v="109120"/>
        <n v="165300"/>
        <n v="121125"/>
        <n v="2975"/>
        <n v="115920"/>
        <n v="4050"/>
        <n v="135830"/>
        <n v="147840"/>
        <n v="76950"/>
        <n v="339575"/>
        <n v="235600"/>
        <n v="5600"/>
        <n v="67200"/>
        <n v="11880"/>
        <n v="3220"/>
        <n v="11500"/>
        <n v="107100"/>
        <n v="15400"/>
        <n v="6000"/>
        <n v="8400"/>
        <n v="248000"/>
        <n v="6300"/>
        <n v="8500"/>
        <n v="50160"/>
        <n v="11875"/>
        <n v="58900"/>
        <n v="148800"/>
        <n v="102600"/>
        <n v="135375"/>
        <n v="100800"/>
        <n v="70312"/>
        <n v="4750"/>
        <n v="10625"/>
        <n v="8000"/>
        <n v="197200"/>
        <n v="91200"/>
        <n v="9240"/>
        <n v="9000"/>
        <n v="266800"/>
        <n v="22800"/>
        <n v="113400"/>
        <n v="246500"/>
        <n v="13300"/>
        <n v="3960"/>
        <n v="151200"/>
        <n v="213440"/>
        <n v="96900"/>
        <n v="4275"/>
        <n v="2250"/>
        <n v="154560"/>
        <n v="8800"/>
        <n v="71400"/>
        <n v="4250"/>
        <n v="210800"/>
        <n v="127840"/>
        <n v="142800"/>
        <n v="111600"/>
        <n v="72675"/>
        <n v="16625"/>
        <n v="208800"/>
        <n v="15300"/>
        <n v="2300"/>
        <n v="156600"/>
        <n v="271660"/>
        <n v="55800"/>
        <n v="263500"/>
        <n v="12600"/>
        <n v="104400"/>
        <n v="220524"/>
        <n v="100320"/>
        <n v="10800"/>
        <n v="12320"/>
        <n v="26220"/>
        <n v="6600"/>
        <n v="39900"/>
        <n v="128250"/>
        <n v="4600"/>
        <n v="98600"/>
        <n v="7125"/>
        <n v="275500"/>
        <n v="9975"/>
        <n v="379525"/>
        <n v="8550"/>
        <n v="2375"/>
        <n v="11250"/>
        <n v="15840"/>
        <n v="17100"/>
        <n v="203745"/>
        <n v="3600"/>
        <n v="272800"/>
        <n v="255200"/>
        <n v="78660"/>
        <n v="45600"/>
        <n v="27075"/>
        <n v="14000"/>
        <n v="140624"/>
        <n v="287640"/>
        <n v="147900"/>
        <n v="15750"/>
        <n v="79800"/>
        <n v="99200"/>
        <n v="285200"/>
        <n v="25650"/>
        <n v="160080"/>
        <n v="7920"/>
        <n v="319600"/>
        <n v="5950"/>
        <n v="147016"/>
        <n v="255680"/>
        <n v="52440"/>
        <n v="204160"/>
        <n v="10000"/>
        <n v="359550"/>
        <n v="108300"/>
        <n v="7650"/>
        <n v="16560"/>
        <n v="51300"/>
        <n v="134400"/>
        <n v="3150"/>
        <n v="24225"/>
        <n v="3825"/>
        <n v="261000"/>
        <n v="12825"/>
        <n v="351560"/>
        <n v="67915"/>
        <n v="14875"/>
        <n v="9200"/>
        <n v="7200"/>
        <n v="3080"/>
        <n v="54150"/>
        <n v="228160"/>
        <n v="294500"/>
        <n v="198400"/>
        <n v="16100"/>
        <n v="52700"/>
        <n v="2200"/>
        <n v="12420"/>
        <n v="75905"/>
        <n v="53360"/>
        <n v="367540"/>
        <n v="114000"/>
        <n v="110880"/>
        <n v="159600"/>
        <n v="6750"/>
        <n v="6375"/>
        <n v="71910"/>
        <n v="139200"/>
        <n v="117800"/>
        <n v="6440"/>
        <n v="48450"/>
        <n v="210936"/>
        <n v="75600"/>
        <n v="218240"/>
        <n v="281248"/>
        <n v="73920"/>
        <n v="185600"/>
        <n v="51040"/>
        <n v="8925"/>
        <n v="63920"/>
        <n v="9660"/>
        <n v="49300"/>
        <n v="2800"/>
        <n v="6650"/>
        <n v="38640"/>
        <n v="153120"/>
        <n v="49600"/>
        <n v="131100"/>
        <n v="110200"/>
        <n v="279000"/>
      </sharedItems>
    </cacheField>
    <cacheField name="Cost Price" numFmtId="44">
      <sharedItems containsSemiMixedTypes="0" containsString="0" containsNumber="1" containsInteger="1" minValue="1700" maxValue="65000"/>
    </cacheField>
    <cacheField name="Profit" numFmtId="164">
      <sharedItems containsSemiMixedTypes="0" containsString="0" containsNumber="1" containsInteger="1" minValue="-13000" maxValue="54525"/>
    </cacheField>
    <cacheField name="Profit %" numFmtId="10">
      <sharedItems containsSemiMixedTypes="0" containsString="0" containsNumber="1" minValue="-5.6034482758620691E-2" maxValue="0.2982456140350877"/>
    </cacheField>
    <cacheField name="Payment Mode" numFmtId="0">
      <sharedItems count="6">
        <s v="UPI"/>
        <s v="Net Banking"/>
        <s v="Debit Card"/>
        <s v="Wallet"/>
        <s v="Credit Card"/>
        <s v="Cash on Delivery"/>
      </sharedItems>
    </cacheField>
    <cacheField name="Order Status" numFmtId="0">
      <sharedItems count="4">
        <s v="Cancelled"/>
        <s v="Delivered"/>
        <s v="Returned"/>
        <s v="Pending"/>
      </sharedItems>
    </cacheField>
    <cacheField name="Delivery Days" numFmtId="0">
      <sharedItems containsSemiMixedTypes="0" containsString="0" containsNumber="1" containsInteger="1" minValue="2" maxValue="6"/>
    </cacheField>
    <cacheField name="Customer Type" numFmtId="0">
      <sharedItems count="2">
        <s v="Premium"/>
        <s v="Regular"/>
      </sharedItems>
    </cacheField>
    <cacheField name="Rating" numFmtId="0">
      <sharedItems containsSemiMixedTypes="0" containsString="0" containsNumber="1" containsInteger="1" minValue="2" maxValue="5"/>
    </cacheField>
    <cacheField name="Rating Category" numFmtId="0">
      <sharedItems/>
    </cacheField>
    <cacheField name="Month" numFmtId="0">
      <sharedItems count="12">
        <s v="January"/>
        <s v="October"/>
        <s v="November"/>
        <s v="April"/>
        <s v="July"/>
        <s v="September"/>
        <s v="August"/>
        <s v="May"/>
        <s v="December"/>
        <s v="February"/>
        <s v="March"/>
        <s v="June"/>
      </sharedItems>
    </cacheField>
    <cacheField name="Quarter" numFmtId="0">
      <sharedItems/>
    </cacheField>
    <cacheField name="Year" numFmtId="0">
      <sharedItems containsSemiMixedTypes="0" containsString="0" containsNumber="1" containsInteger="1" minValue="2026" maxValue="2026" count="1">
        <n v="2026"/>
      </sharedItems>
    </cacheField>
    <cacheField name="Weekday" numFmtId="0">
      <sharedItems/>
    </cacheField>
    <cacheField name="Age Group" numFmtId="0">
      <sharedItems/>
    </cacheField>
    <cacheField name="Order Size" numFmtId="0">
      <sharedItems count="3">
        <s v="Large"/>
        <s v="Medium"/>
        <s v="Small"/>
      </sharedItems>
    </cacheField>
    <cacheField name="Discount Category" numFmtId="0">
      <sharedItems/>
    </cacheField>
    <cacheField name="Customer Segment" numFmtId="0">
      <sharedItems/>
    </cacheField>
  </cacheFields>
  <extLst>
    <ext xmlns:x14="http://schemas.microsoft.com/office/spreadsheetml/2009/9/main" uri="{725AE2AE-9491-48be-B2B4-4EB974FC3084}">
      <x14:pivotCacheDefinition pivotCacheId="1672968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d v="2026-02-02T00:00:00"/>
    <s v="CUST001"/>
    <x v="0"/>
    <s v="Female"/>
    <n v="37"/>
    <s v="Chennai"/>
    <x v="0"/>
    <x v="0"/>
    <s v="P103"/>
    <x v="0"/>
    <x v="0"/>
    <s v="Laptop"/>
    <x v="0"/>
    <n v="3"/>
    <n v="62000"/>
    <n v="0.1"/>
    <x v="0"/>
    <n v="52000"/>
    <n v="11400"/>
    <n v="6.8100358422939072E-2"/>
    <x v="0"/>
    <x v="0"/>
    <n v="4"/>
    <x v="0"/>
    <n v="4"/>
    <s v="Excellent"/>
    <x v="0"/>
    <s v="Q1"/>
    <x v="0"/>
    <s v="Thursday"/>
    <s v="36-45"/>
    <x v="0"/>
    <s v="Medium"/>
    <s v="VIP"/>
  </r>
  <r>
    <x v="1"/>
    <x v="1"/>
    <d v="2026-10-16T00:00:00"/>
    <s v="CUST002"/>
    <x v="1"/>
    <s v="Female"/>
    <n v="38"/>
    <s v="Hyderabad"/>
    <x v="1"/>
    <x v="0"/>
    <s v="P103"/>
    <x v="0"/>
    <x v="0"/>
    <s v="Laptop"/>
    <x v="0"/>
    <n v="1"/>
    <n v="62000"/>
    <n v="0.08"/>
    <x v="1"/>
    <n v="52000"/>
    <n v="5040"/>
    <n v="8.8359046283309955E-2"/>
    <x v="1"/>
    <x v="1"/>
    <n v="5"/>
    <x v="0"/>
    <n v="3"/>
    <s v="Average"/>
    <x v="1"/>
    <s v="Q4"/>
    <x v="0"/>
    <s v="Sunday"/>
    <s v="36-45"/>
    <x v="0"/>
    <s v="Medium"/>
    <s v="Gold"/>
  </r>
  <r>
    <x v="2"/>
    <x v="2"/>
    <d v="2026-10-30T00:00:00"/>
    <s v="CUST003"/>
    <x v="2"/>
    <s v="Female"/>
    <n v="45"/>
    <s v="Hyderabad"/>
    <x v="1"/>
    <x v="0"/>
    <s v="P107"/>
    <x v="1"/>
    <x v="1"/>
    <s v="Shoes"/>
    <x v="1"/>
    <n v="5"/>
    <n v="4500"/>
    <n v="0.12"/>
    <x v="2"/>
    <n v="3000"/>
    <n v="4800"/>
    <n v="0.24242424242424243"/>
    <x v="2"/>
    <x v="0"/>
    <n v="4"/>
    <x v="1"/>
    <n v="4"/>
    <s v="Excellent"/>
    <x v="1"/>
    <s v="Q4"/>
    <x v="0"/>
    <s v="Monday"/>
    <s v="36-45"/>
    <x v="1"/>
    <s v="Medium"/>
    <s v="Silver"/>
  </r>
  <r>
    <x v="3"/>
    <x v="3"/>
    <d v="2026-12-02T00:00:00"/>
    <s v="CUST004"/>
    <x v="3"/>
    <s v="Male"/>
    <n v="41"/>
    <s v="Mumbai"/>
    <x v="2"/>
    <x v="1"/>
    <s v="P108"/>
    <x v="2"/>
    <x v="2"/>
    <s v="Mixer"/>
    <x v="2"/>
    <n v="4"/>
    <n v="3500"/>
    <n v="0.08"/>
    <x v="3"/>
    <n v="2500"/>
    <n v="2880"/>
    <n v="0.2236024844720497"/>
    <x v="3"/>
    <x v="2"/>
    <n v="6"/>
    <x v="1"/>
    <n v="2"/>
    <s v="Average"/>
    <x v="2"/>
    <s v="Q4"/>
    <x v="0"/>
    <s v="Thursday"/>
    <s v="36-45"/>
    <x v="1"/>
    <s v="Medium"/>
    <s v="Bronze"/>
  </r>
  <r>
    <x v="4"/>
    <x v="4"/>
    <d v="2026-04-27T00:00:00"/>
    <s v="CUST005"/>
    <x v="4"/>
    <s v="Female"/>
    <n v="46"/>
    <s v="Kolkata"/>
    <x v="3"/>
    <x v="2"/>
    <s v="P105"/>
    <x v="3"/>
    <x v="0"/>
    <s v="Television"/>
    <x v="3"/>
    <n v="5"/>
    <n v="42000"/>
    <n v="0.05"/>
    <x v="4"/>
    <n v="35000"/>
    <n v="24500"/>
    <n v="0.12280701754385964"/>
    <x v="4"/>
    <x v="2"/>
    <n v="2"/>
    <x v="0"/>
    <n v="4"/>
    <s v="Excellent"/>
    <x v="3"/>
    <s v="Q2"/>
    <x v="0"/>
    <s v="Saturday"/>
    <s v="46+"/>
    <x v="0"/>
    <s v="Low"/>
    <s v="VIP"/>
  </r>
  <r>
    <x v="5"/>
    <x v="5"/>
    <d v="2026-07-09T00:00:00"/>
    <s v="CUST006"/>
    <x v="5"/>
    <s v="Male"/>
    <n v="27"/>
    <s v="Mumbai"/>
    <x v="2"/>
    <x v="1"/>
    <s v="P103"/>
    <x v="0"/>
    <x v="0"/>
    <s v="Laptop"/>
    <x v="0"/>
    <n v="3"/>
    <n v="62000"/>
    <n v="0.08"/>
    <x v="5"/>
    <n v="52000"/>
    <n v="15120"/>
    <n v="8.8359046283309955E-2"/>
    <x v="2"/>
    <x v="2"/>
    <n v="5"/>
    <x v="0"/>
    <n v="4"/>
    <s v="Excellent"/>
    <x v="4"/>
    <s v="Q3"/>
    <x v="0"/>
    <s v="Saturday"/>
    <s v="26-35"/>
    <x v="0"/>
    <s v="Medium"/>
    <s v="VIP"/>
  </r>
  <r>
    <x v="6"/>
    <x v="6"/>
    <d v="2026-11-01T00:00:00"/>
    <s v="CUST007"/>
    <x v="2"/>
    <s v="Female"/>
    <n v="41"/>
    <s v="Delhi"/>
    <x v="4"/>
    <x v="3"/>
    <s v="P104"/>
    <x v="4"/>
    <x v="0"/>
    <s v="Laptop"/>
    <x v="4"/>
    <n v="4"/>
    <n v="58000"/>
    <n v="0.05"/>
    <x v="6"/>
    <n v="49000"/>
    <n v="24400"/>
    <n v="0.11070780399274047"/>
    <x v="3"/>
    <x v="0"/>
    <n v="5"/>
    <x v="0"/>
    <n v="4"/>
    <s v="Excellent"/>
    <x v="1"/>
    <s v="Q4"/>
    <x v="0"/>
    <s v="Tuesday"/>
    <s v="36-45"/>
    <x v="0"/>
    <s v="Low"/>
    <s v="VIP"/>
  </r>
  <r>
    <x v="7"/>
    <x v="7"/>
    <d v="2026-09-27T00:00:00"/>
    <s v="CUST008"/>
    <x v="6"/>
    <s v="Female"/>
    <n v="23"/>
    <s v="Mumbai"/>
    <x v="2"/>
    <x v="1"/>
    <s v="P103"/>
    <x v="0"/>
    <x v="0"/>
    <s v="Laptop"/>
    <x v="0"/>
    <n v="2"/>
    <n v="62000"/>
    <n v="0.15"/>
    <x v="7"/>
    <n v="52000"/>
    <n v="1400"/>
    <n v="1.3282732447817837E-2"/>
    <x v="4"/>
    <x v="0"/>
    <n v="4"/>
    <x v="0"/>
    <n v="5"/>
    <s v="Excellent"/>
    <x v="5"/>
    <s v="Q3"/>
    <x v="0"/>
    <s v="Wednesday"/>
    <s v="18-25"/>
    <x v="0"/>
    <s v="Medium"/>
    <s v="VIP"/>
  </r>
  <r>
    <x v="8"/>
    <x v="8"/>
    <d v="2026-08-22T00:00:00"/>
    <s v="CUST009"/>
    <x v="7"/>
    <s v="Female"/>
    <n v="41"/>
    <s v="Delhi"/>
    <x v="4"/>
    <x v="3"/>
    <s v="P103"/>
    <x v="0"/>
    <x v="0"/>
    <s v="Laptop"/>
    <x v="0"/>
    <n v="1"/>
    <n v="62000"/>
    <n v="0.12"/>
    <x v="8"/>
    <n v="52000"/>
    <n v="2560"/>
    <n v="4.6920821114369501E-2"/>
    <x v="0"/>
    <x v="3"/>
    <n v="6"/>
    <x v="0"/>
    <n v="2"/>
    <s v="Average"/>
    <x v="6"/>
    <s v="Q3"/>
    <x v="0"/>
    <s v="Sunday"/>
    <s v="36-45"/>
    <x v="0"/>
    <s v="Medium"/>
    <s v="Gold"/>
  </r>
  <r>
    <x v="9"/>
    <x v="9"/>
    <d v="2026-05-22T00:00:00"/>
    <s v="CUST010"/>
    <x v="8"/>
    <s v="Male"/>
    <n v="49"/>
    <s v="Chennai"/>
    <x v="0"/>
    <x v="0"/>
    <s v="P106"/>
    <x v="5"/>
    <x v="0"/>
    <s v="Headphones"/>
    <x v="5"/>
    <n v="4"/>
    <n v="2500"/>
    <n v="0.05"/>
    <x v="9"/>
    <n v="1700"/>
    <n v="2700"/>
    <n v="0.28421052631578947"/>
    <x v="2"/>
    <x v="1"/>
    <n v="6"/>
    <x v="1"/>
    <n v="5"/>
    <s v="Excellent"/>
    <x v="7"/>
    <s v="Q2"/>
    <x v="0"/>
    <s v="Saturday"/>
    <s v="46+"/>
    <x v="2"/>
    <s v="Low"/>
    <s v="Bronze"/>
  </r>
  <r>
    <x v="10"/>
    <x v="10"/>
    <d v="2026-10-04T00:00:00"/>
    <s v="CUST011"/>
    <x v="9"/>
    <s v="Female"/>
    <n v="38"/>
    <s v="Bengaluru"/>
    <x v="5"/>
    <x v="0"/>
    <s v="P105"/>
    <x v="3"/>
    <x v="0"/>
    <s v="Television"/>
    <x v="3"/>
    <n v="1"/>
    <n v="42000"/>
    <n v="0.1"/>
    <x v="10"/>
    <n v="35000"/>
    <n v="2800"/>
    <n v="7.407407407407407E-2"/>
    <x v="4"/>
    <x v="3"/>
    <n v="6"/>
    <x v="1"/>
    <n v="5"/>
    <s v="Excellent"/>
    <x v="5"/>
    <s v="Q3"/>
    <x v="0"/>
    <s v="Monday"/>
    <s v="36-45"/>
    <x v="0"/>
    <s v="Medium"/>
    <s v="Silver"/>
  </r>
  <r>
    <x v="11"/>
    <x v="11"/>
    <d v="2026-05-11T00:00:00"/>
    <s v="CUST012"/>
    <x v="10"/>
    <s v="Male"/>
    <n v="25"/>
    <s v="Delhi"/>
    <x v="4"/>
    <x v="3"/>
    <s v="P102"/>
    <x v="6"/>
    <x v="0"/>
    <s v="Mobile"/>
    <x v="6"/>
    <n v="4"/>
    <n v="79900"/>
    <n v="0.08"/>
    <x v="11"/>
    <n v="65000"/>
    <n v="34032"/>
    <n v="0.11574250421722805"/>
    <x v="0"/>
    <x v="2"/>
    <n v="5"/>
    <x v="0"/>
    <n v="4"/>
    <s v="Excellent"/>
    <x v="7"/>
    <s v="Q2"/>
    <x v="0"/>
    <s v="Wednesday"/>
    <s v="18-25"/>
    <x v="0"/>
    <s v="Medium"/>
    <s v="VIP"/>
  </r>
  <r>
    <x v="12"/>
    <x v="12"/>
    <d v="2026-12-09T00:00:00"/>
    <s v="CUST013"/>
    <x v="11"/>
    <s v="Male"/>
    <n v="28"/>
    <s v="Ahmedabad"/>
    <x v="6"/>
    <x v="1"/>
    <s v="P104"/>
    <x v="4"/>
    <x v="0"/>
    <s v="Laptop"/>
    <x v="4"/>
    <n v="5"/>
    <n v="58000"/>
    <n v="0.2"/>
    <x v="12"/>
    <n v="49000"/>
    <n v="-13000"/>
    <n v="-5.6034482758620691E-2"/>
    <x v="1"/>
    <x v="0"/>
    <n v="2"/>
    <x v="0"/>
    <n v="4"/>
    <s v="Excellent"/>
    <x v="8"/>
    <s v="Q4"/>
    <x v="0"/>
    <s v="Monday"/>
    <s v="26-35"/>
    <x v="0"/>
    <s v="High"/>
    <s v="VIP"/>
  </r>
  <r>
    <x v="13"/>
    <x v="13"/>
    <d v="2026-03-04T00:00:00"/>
    <s v="CUST014"/>
    <x v="12"/>
    <s v="Male"/>
    <n v="32"/>
    <s v="Ahmedabad"/>
    <x v="6"/>
    <x v="1"/>
    <s v="P108"/>
    <x v="2"/>
    <x v="2"/>
    <s v="Mixer"/>
    <x v="2"/>
    <n v="4"/>
    <n v="3500"/>
    <n v="0.15"/>
    <x v="13"/>
    <n v="2500"/>
    <n v="1900"/>
    <n v="0.15966386554621848"/>
    <x v="3"/>
    <x v="3"/>
    <n v="4"/>
    <x v="1"/>
    <n v="3"/>
    <s v="Average"/>
    <x v="9"/>
    <s v="Q1"/>
    <x v="0"/>
    <s v="Saturday"/>
    <s v="26-35"/>
    <x v="1"/>
    <s v="Medium"/>
    <s v="Bronze"/>
  </r>
  <r>
    <x v="14"/>
    <x v="14"/>
    <d v="2026-09-10T00:00:00"/>
    <s v="CUST015"/>
    <x v="13"/>
    <s v="Male"/>
    <n v="50"/>
    <s v="Chennai"/>
    <x v="0"/>
    <x v="0"/>
    <s v="P105"/>
    <x v="3"/>
    <x v="0"/>
    <s v="Television"/>
    <x v="3"/>
    <n v="1"/>
    <n v="42000"/>
    <n v="0.2"/>
    <x v="14"/>
    <n v="35000"/>
    <n v="-1400"/>
    <n v="-4.1666666666666664E-2"/>
    <x v="2"/>
    <x v="1"/>
    <n v="3"/>
    <x v="1"/>
    <n v="5"/>
    <s v="Excellent"/>
    <x v="5"/>
    <s v="Q3"/>
    <x v="0"/>
    <s v="Monday"/>
    <s v="46+"/>
    <x v="0"/>
    <s v="High"/>
    <s v="Silver"/>
  </r>
  <r>
    <x v="15"/>
    <x v="15"/>
    <d v="2026-03-16T00:00:00"/>
    <s v="CUST016"/>
    <x v="14"/>
    <s v="Female"/>
    <n v="50"/>
    <s v="Surat"/>
    <x v="6"/>
    <x v="1"/>
    <s v="P102"/>
    <x v="6"/>
    <x v="0"/>
    <s v="Mobile"/>
    <x v="6"/>
    <n v="3"/>
    <n v="79900"/>
    <n v="0.1"/>
    <x v="15"/>
    <n v="65000"/>
    <n v="20730"/>
    <n v="9.6092337644277576E-2"/>
    <x v="0"/>
    <x v="0"/>
    <n v="3"/>
    <x v="0"/>
    <n v="2"/>
    <s v="Average"/>
    <x v="10"/>
    <s v="Q1"/>
    <x v="0"/>
    <s v="Friday"/>
    <s v="46+"/>
    <x v="0"/>
    <s v="Medium"/>
    <s v="VIP"/>
  </r>
  <r>
    <x v="16"/>
    <x v="16"/>
    <d v="2026-04-04T00:00:00"/>
    <s v="CUST017"/>
    <x v="15"/>
    <s v="Female"/>
    <n v="21"/>
    <s v="Mumbai"/>
    <x v="2"/>
    <x v="1"/>
    <s v="P107"/>
    <x v="1"/>
    <x v="1"/>
    <s v="Shoes"/>
    <x v="1"/>
    <n v="3"/>
    <n v="4500"/>
    <n v="0.15"/>
    <x v="16"/>
    <n v="3000"/>
    <n v="2475"/>
    <n v="0.21568627450980393"/>
    <x v="2"/>
    <x v="2"/>
    <n v="6"/>
    <x v="1"/>
    <n v="4"/>
    <s v="Excellent"/>
    <x v="10"/>
    <s v="Q1"/>
    <x v="0"/>
    <s v="Sunday"/>
    <s v="18-25"/>
    <x v="1"/>
    <s v="Medium"/>
    <s v="Bronze"/>
  </r>
  <r>
    <x v="17"/>
    <x v="17"/>
    <d v="2026-03-08T00:00:00"/>
    <s v="CUST018"/>
    <x v="16"/>
    <s v="Male"/>
    <n v="46"/>
    <s v="Delhi"/>
    <x v="4"/>
    <x v="3"/>
    <s v="P102"/>
    <x v="6"/>
    <x v="0"/>
    <s v="Mobile"/>
    <x v="6"/>
    <n v="2"/>
    <n v="79900"/>
    <n v="0.05"/>
    <x v="17"/>
    <n v="65000"/>
    <n v="21810"/>
    <n v="0.14366642513668401"/>
    <x v="0"/>
    <x v="0"/>
    <n v="6"/>
    <x v="0"/>
    <n v="2"/>
    <s v="Average"/>
    <x v="10"/>
    <s v="Q1"/>
    <x v="0"/>
    <s v="Monday"/>
    <s v="46+"/>
    <x v="0"/>
    <s v="Low"/>
    <s v="VIP"/>
  </r>
  <r>
    <x v="18"/>
    <x v="18"/>
    <d v="2026-10-19T00:00:00"/>
    <s v="CUST019"/>
    <x v="17"/>
    <s v="Female"/>
    <n v="27"/>
    <s v="Chennai"/>
    <x v="0"/>
    <x v="0"/>
    <s v="P107"/>
    <x v="1"/>
    <x v="1"/>
    <s v="Shoes"/>
    <x v="1"/>
    <n v="5"/>
    <n v="4500"/>
    <n v="0.1"/>
    <x v="18"/>
    <n v="3000"/>
    <n v="5250"/>
    <n v="0.25925925925925924"/>
    <x v="5"/>
    <x v="1"/>
    <n v="2"/>
    <x v="1"/>
    <n v="2"/>
    <s v="Average"/>
    <x v="1"/>
    <s v="Q4"/>
    <x v="0"/>
    <s v="Saturday"/>
    <s v="26-35"/>
    <x v="1"/>
    <s v="Medium"/>
    <s v="Silver"/>
  </r>
  <r>
    <x v="19"/>
    <x v="19"/>
    <d v="2026-03-01T00:00:00"/>
    <s v="CUST020"/>
    <x v="18"/>
    <s v="Female"/>
    <n v="36"/>
    <s v="Surat"/>
    <x v="6"/>
    <x v="1"/>
    <s v="P105"/>
    <x v="3"/>
    <x v="0"/>
    <s v="Television"/>
    <x v="3"/>
    <n v="2"/>
    <n v="42000"/>
    <n v="0.08"/>
    <x v="19"/>
    <n v="35000"/>
    <n v="7280"/>
    <n v="9.420289855072464E-2"/>
    <x v="5"/>
    <x v="1"/>
    <n v="6"/>
    <x v="0"/>
    <n v="3"/>
    <s v="Average"/>
    <x v="9"/>
    <s v="Q1"/>
    <x v="0"/>
    <s v="Monday"/>
    <s v="36-45"/>
    <x v="0"/>
    <s v="Medium"/>
    <s v="Gold"/>
  </r>
  <r>
    <x v="20"/>
    <x v="20"/>
    <d v="2026-08-12T00:00:00"/>
    <s v="CUST021"/>
    <x v="19"/>
    <s v="Male"/>
    <n v="38"/>
    <s v="Chennai"/>
    <x v="0"/>
    <x v="0"/>
    <s v="P103"/>
    <x v="0"/>
    <x v="0"/>
    <s v="Laptop"/>
    <x v="0"/>
    <n v="3"/>
    <n v="62000"/>
    <n v="0.05"/>
    <x v="20"/>
    <n v="52000"/>
    <n v="20700"/>
    <n v="0.11714770797962648"/>
    <x v="2"/>
    <x v="2"/>
    <n v="3"/>
    <x v="0"/>
    <n v="5"/>
    <s v="Excellent"/>
    <x v="6"/>
    <s v="Q3"/>
    <x v="0"/>
    <s v="Sunday"/>
    <s v="36-45"/>
    <x v="0"/>
    <s v="Low"/>
    <s v="VIP"/>
  </r>
  <r>
    <x v="21"/>
    <x v="21"/>
    <d v="2026-03-11T00:00:00"/>
    <s v="CUST022"/>
    <x v="20"/>
    <s v="Male"/>
    <n v="48"/>
    <s v="Chennai"/>
    <x v="0"/>
    <x v="0"/>
    <s v="P106"/>
    <x v="5"/>
    <x v="0"/>
    <s v="Headphones"/>
    <x v="5"/>
    <n v="2"/>
    <n v="2500"/>
    <n v="0.12"/>
    <x v="21"/>
    <n v="1700"/>
    <n v="1000"/>
    <n v="0.22727272727272727"/>
    <x v="3"/>
    <x v="0"/>
    <n v="4"/>
    <x v="1"/>
    <n v="5"/>
    <s v="Excellent"/>
    <x v="10"/>
    <s v="Q1"/>
    <x v="0"/>
    <s v="Saturday"/>
    <s v="46+"/>
    <x v="2"/>
    <s v="Medium"/>
    <s v="Bronze"/>
  </r>
  <r>
    <x v="22"/>
    <x v="22"/>
    <d v="2026-03-03T00:00:00"/>
    <s v="CUST023"/>
    <x v="21"/>
    <s v="Female"/>
    <n v="30"/>
    <s v="Ahmedabad"/>
    <x v="6"/>
    <x v="1"/>
    <s v="P105"/>
    <x v="3"/>
    <x v="0"/>
    <s v="Television"/>
    <x v="3"/>
    <n v="5"/>
    <n v="42000"/>
    <n v="0.08"/>
    <x v="22"/>
    <n v="35000"/>
    <n v="18200"/>
    <n v="9.420289855072464E-2"/>
    <x v="1"/>
    <x v="1"/>
    <n v="2"/>
    <x v="0"/>
    <n v="4"/>
    <s v="Excellent"/>
    <x v="10"/>
    <s v="Q1"/>
    <x v="0"/>
    <s v="Sunday"/>
    <s v="26-35"/>
    <x v="0"/>
    <s v="Medium"/>
    <s v="VIP"/>
  </r>
  <r>
    <x v="23"/>
    <x v="23"/>
    <d v="2026-08-24T00:00:00"/>
    <s v="CUST024"/>
    <x v="22"/>
    <s v="Female"/>
    <n v="29"/>
    <s v="Chennai"/>
    <x v="0"/>
    <x v="0"/>
    <s v="P105"/>
    <x v="3"/>
    <x v="0"/>
    <s v="Television"/>
    <x v="3"/>
    <n v="5"/>
    <n v="42000"/>
    <n v="0.05"/>
    <x v="4"/>
    <n v="35000"/>
    <n v="24500"/>
    <n v="0.12280701754385964"/>
    <x v="4"/>
    <x v="3"/>
    <n v="3"/>
    <x v="0"/>
    <n v="4"/>
    <s v="Excellent"/>
    <x v="6"/>
    <s v="Q3"/>
    <x v="0"/>
    <s v="Friday"/>
    <s v="26-35"/>
    <x v="0"/>
    <s v="Low"/>
    <s v="VIP"/>
  </r>
  <r>
    <x v="24"/>
    <x v="24"/>
    <d v="2026-10-21T00:00:00"/>
    <s v="CUST025"/>
    <x v="23"/>
    <s v="Male"/>
    <n v="25"/>
    <s v="Kolkata"/>
    <x v="3"/>
    <x v="2"/>
    <s v="P108"/>
    <x v="2"/>
    <x v="2"/>
    <s v="Mixer"/>
    <x v="2"/>
    <n v="2"/>
    <n v="3500"/>
    <n v="0.12"/>
    <x v="23"/>
    <n v="2500"/>
    <n v="1160"/>
    <n v="0.18831168831168832"/>
    <x v="4"/>
    <x v="1"/>
    <n v="6"/>
    <x v="1"/>
    <n v="3"/>
    <s v="Average"/>
    <x v="1"/>
    <s v="Q4"/>
    <x v="0"/>
    <s v="Thursday"/>
    <s v="18-25"/>
    <x v="2"/>
    <s v="Medium"/>
    <s v="Bronze"/>
  </r>
  <r>
    <x v="25"/>
    <x v="25"/>
    <d v="2026-09-07T00:00:00"/>
    <s v="CUST026"/>
    <x v="24"/>
    <s v="Female"/>
    <n v="49"/>
    <s v="Mumbai"/>
    <x v="2"/>
    <x v="1"/>
    <s v="P107"/>
    <x v="1"/>
    <x v="1"/>
    <s v="Shoes"/>
    <x v="1"/>
    <n v="5"/>
    <n v="4500"/>
    <n v="0.2"/>
    <x v="24"/>
    <n v="3000"/>
    <n v="3000"/>
    <n v="0.16666666666666666"/>
    <x v="4"/>
    <x v="0"/>
    <n v="4"/>
    <x v="1"/>
    <n v="4"/>
    <s v="Excellent"/>
    <x v="5"/>
    <s v="Q3"/>
    <x v="0"/>
    <s v="Thursday"/>
    <s v="46+"/>
    <x v="1"/>
    <s v="High"/>
    <s v="Silver"/>
  </r>
  <r>
    <x v="26"/>
    <x v="26"/>
    <d v="2026-11-29T00:00:00"/>
    <s v="CUST027"/>
    <x v="25"/>
    <s v="Female"/>
    <n v="25"/>
    <s v="Chennai"/>
    <x v="0"/>
    <x v="0"/>
    <s v="P107"/>
    <x v="1"/>
    <x v="1"/>
    <s v="Shoes"/>
    <x v="1"/>
    <n v="5"/>
    <n v="4500"/>
    <n v="0.08"/>
    <x v="25"/>
    <n v="3000"/>
    <n v="5700"/>
    <n v="0.27536231884057971"/>
    <x v="4"/>
    <x v="0"/>
    <n v="5"/>
    <x v="1"/>
    <n v="3"/>
    <s v="Average"/>
    <x v="2"/>
    <s v="Q4"/>
    <x v="0"/>
    <s v="Tuesday"/>
    <s v="18-25"/>
    <x v="1"/>
    <s v="Medium"/>
    <s v="Silver"/>
  </r>
  <r>
    <x v="27"/>
    <x v="27"/>
    <d v="2026-12-22T00:00:00"/>
    <s v="CUST028"/>
    <x v="26"/>
    <s v="Female"/>
    <n v="33"/>
    <s v="Surat"/>
    <x v="6"/>
    <x v="1"/>
    <s v="P106"/>
    <x v="5"/>
    <x v="0"/>
    <s v="Headphones"/>
    <x v="5"/>
    <n v="2"/>
    <n v="2500"/>
    <n v="0.2"/>
    <x v="26"/>
    <n v="1700"/>
    <n v="600"/>
    <n v="0.15"/>
    <x v="0"/>
    <x v="1"/>
    <n v="3"/>
    <x v="1"/>
    <n v="2"/>
    <s v="Average"/>
    <x v="8"/>
    <s v="Q4"/>
    <x v="0"/>
    <s v="Saturday"/>
    <s v="26-35"/>
    <x v="2"/>
    <s v="High"/>
    <s v="Bronze"/>
  </r>
  <r>
    <x v="28"/>
    <x v="28"/>
    <d v="2026-04-11T00:00:00"/>
    <s v="CUST029"/>
    <x v="27"/>
    <s v="Female"/>
    <n v="47"/>
    <s v="Mumbai"/>
    <x v="2"/>
    <x v="1"/>
    <s v="P104"/>
    <x v="4"/>
    <x v="0"/>
    <s v="Laptop"/>
    <x v="4"/>
    <n v="1"/>
    <n v="58000"/>
    <n v="0.1"/>
    <x v="27"/>
    <n v="49000"/>
    <n v="3200"/>
    <n v="6.1302681992337162E-2"/>
    <x v="4"/>
    <x v="2"/>
    <n v="2"/>
    <x v="0"/>
    <n v="2"/>
    <s v="Average"/>
    <x v="3"/>
    <s v="Q2"/>
    <x v="0"/>
    <s v="Thursday"/>
    <s v="46+"/>
    <x v="0"/>
    <s v="Medium"/>
    <s v="Gold"/>
  </r>
  <r>
    <x v="29"/>
    <x v="29"/>
    <d v="2026-09-30T00:00:00"/>
    <s v="CUST030"/>
    <x v="28"/>
    <s v="Male"/>
    <n v="29"/>
    <s v="Bengaluru"/>
    <x v="5"/>
    <x v="0"/>
    <s v="P106"/>
    <x v="5"/>
    <x v="0"/>
    <s v="Headphones"/>
    <x v="5"/>
    <n v="1"/>
    <n v="2500"/>
    <n v="0.15"/>
    <x v="28"/>
    <n v="1700"/>
    <n v="425"/>
    <n v="0.2"/>
    <x v="0"/>
    <x v="2"/>
    <n v="6"/>
    <x v="1"/>
    <n v="5"/>
    <s v="Excellent"/>
    <x v="5"/>
    <s v="Q3"/>
    <x v="0"/>
    <s v="Thursday"/>
    <s v="26-35"/>
    <x v="2"/>
    <s v="Medium"/>
    <s v="Bronze"/>
  </r>
  <r>
    <x v="30"/>
    <x v="30"/>
    <d v="2026-06-21T00:00:00"/>
    <s v="CUST031"/>
    <x v="29"/>
    <s v="Male"/>
    <n v="43"/>
    <s v="Mumbai"/>
    <x v="2"/>
    <x v="1"/>
    <s v="P106"/>
    <x v="5"/>
    <x v="0"/>
    <s v="Headphones"/>
    <x v="5"/>
    <n v="1"/>
    <n v="2500"/>
    <n v="0.2"/>
    <x v="29"/>
    <n v="1700"/>
    <n v="300"/>
    <n v="0.15"/>
    <x v="5"/>
    <x v="1"/>
    <n v="4"/>
    <x v="1"/>
    <n v="2"/>
    <s v="Average"/>
    <x v="11"/>
    <s v="Q2"/>
    <x v="0"/>
    <s v="Wednesday"/>
    <s v="36-45"/>
    <x v="2"/>
    <s v="High"/>
    <s v="Bronze"/>
  </r>
  <r>
    <x v="31"/>
    <x v="31"/>
    <d v="2026-07-05T00:00:00"/>
    <s v="CUST032"/>
    <x v="12"/>
    <s v="Female"/>
    <n v="31"/>
    <s v="Delhi"/>
    <x v="4"/>
    <x v="3"/>
    <s v="P104"/>
    <x v="4"/>
    <x v="0"/>
    <s v="Laptop"/>
    <x v="4"/>
    <n v="2"/>
    <n v="58000"/>
    <n v="0.12"/>
    <x v="30"/>
    <n v="49000"/>
    <n v="4080"/>
    <n v="3.9968652037617555E-2"/>
    <x v="2"/>
    <x v="0"/>
    <n v="6"/>
    <x v="0"/>
    <n v="5"/>
    <s v="Excellent"/>
    <x v="11"/>
    <s v="Q2"/>
    <x v="0"/>
    <s v="Monday"/>
    <s v="26-35"/>
    <x v="0"/>
    <s v="Medium"/>
    <s v="VIP"/>
  </r>
  <r>
    <x v="32"/>
    <x v="32"/>
    <d v="2026-02-12T00:00:00"/>
    <s v="CUST033"/>
    <x v="30"/>
    <s v="Male"/>
    <n v="25"/>
    <s v="Bengaluru"/>
    <x v="5"/>
    <x v="0"/>
    <s v="P101"/>
    <x v="7"/>
    <x v="0"/>
    <s v="Mobile"/>
    <x v="7"/>
    <n v="4"/>
    <n v="28500"/>
    <n v="0.08"/>
    <x v="31"/>
    <n v="22000"/>
    <n v="16880"/>
    <n v="0.16094584286803967"/>
    <x v="4"/>
    <x v="0"/>
    <n v="5"/>
    <x v="0"/>
    <n v="2"/>
    <s v="Average"/>
    <x v="9"/>
    <s v="Q1"/>
    <x v="0"/>
    <s v="Saturday"/>
    <s v="18-25"/>
    <x v="0"/>
    <s v="Medium"/>
    <s v="VIP"/>
  </r>
  <r>
    <x v="33"/>
    <x v="33"/>
    <d v="2026-08-31T00:00:00"/>
    <s v="CUST034"/>
    <x v="31"/>
    <s v="Male"/>
    <n v="45"/>
    <s v="Delhi"/>
    <x v="4"/>
    <x v="3"/>
    <s v="P104"/>
    <x v="4"/>
    <x v="0"/>
    <s v="Laptop"/>
    <x v="4"/>
    <n v="2"/>
    <n v="58000"/>
    <n v="0.08"/>
    <x v="32"/>
    <n v="49000"/>
    <n v="8720"/>
    <n v="8.1709145427286356E-2"/>
    <x v="2"/>
    <x v="1"/>
    <n v="4"/>
    <x v="0"/>
    <n v="4"/>
    <s v="Excellent"/>
    <x v="6"/>
    <s v="Q3"/>
    <x v="0"/>
    <s v="Thursday"/>
    <s v="36-45"/>
    <x v="0"/>
    <s v="Medium"/>
    <s v="VIP"/>
  </r>
  <r>
    <x v="34"/>
    <x v="34"/>
    <d v="2026-04-21T00:00:00"/>
    <s v="CUST035"/>
    <x v="32"/>
    <s v="Male"/>
    <n v="33"/>
    <s v="Surat"/>
    <x v="6"/>
    <x v="1"/>
    <s v="P107"/>
    <x v="1"/>
    <x v="1"/>
    <s v="Shoes"/>
    <x v="1"/>
    <n v="4"/>
    <n v="4500"/>
    <n v="0.2"/>
    <x v="33"/>
    <n v="3000"/>
    <n v="2400"/>
    <n v="0.16666666666666666"/>
    <x v="5"/>
    <x v="2"/>
    <n v="4"/>
    <x v="1"/>
    <n v="3"/>
    <s v="Average"/>
    <x v="3"/>
    <s v="Q2"/>
    <x v="0"/>
    <s v="Friday"/>
    <s v="26-35"/>
    <x v="1"/>
    <s v="High"/>
    <s v="Bronze"/>
  </r>
  <r>
    <x v="35"/>
    <x v="35"/>
    <d v="2026-07-23T00:00:00"/>
    <s v="CUST036"/>
    <x v="33"/>
    <s v="Male"/>
    <n v="33"/>
    <s v="Hyderabad"/>
    <x v="1"/>
    <x v="0"/>
    <s v="P102"/>
    <x v="6"/>
    <x v="0"/>
    <s v="Mobile"/>
    <x v="6"/>
    <n v="2"/>
    <n v="79900"/>
    <n v="0.1"/>
    <x v="34"/>
    <n v="65000"/>
    <n v="13820"/>
    <n v="9.6092337644277576E-2"/>
    <x v="1"/>
    <x v="3"/>
    <n v="4"/>
    <x v="0"/>
    <n v="2"/>
    <s v="Average"/>
    <x v="4"/>
    <s v="Q3"/>
    <x v="0"/>
    <s v="Sunday"/>
    <s v="26-35"/>
    <x v="0"/>
    <s v="Medium"/>
    <s v="VIP"/>
  </r>
  <r>
    <x v="36"/>
    <x v="36"/>
    <d v="2027-01-03T00:00:00"/>
    <s v="CUST037"/>
    <x v="34"/>
    <s v="Female"/>
    <n v="33"/>
    <s v="Delhi"/>
    <x v="4"/>
    <x v="3"/>
    <s v="P106"/>
    <x v="5"/>
    <x v="0"/>
    <s v="Headphones"/>
    <x v="5"/>
    <n v="3"/>
    <n v="2500"/>
    <n v="0.08"/>
    <x v="35"/>
    <n v="1700"/>
    <n v="1800"/>
    <n v="0.2608695652173913"/>
    <x v="1"/>
    <x v="1"/>
    <n v="6"/>
    <x v="1"/>
    <n v="4"/>
    <s v="Excellent"/>
    <x v="8"/>
    <s v="Q4"/>
    <x v="0"/>
    <s v="Monday"/>
    <s v="26-35"/>
    <x v="2"/>
    <s v="Medium"/>
    <s v="Bronze"/>
  </r>
  <r>
    <x v="37"/>
    <x v="37"/>
    <d v="2026-06-28T00:00:00"/>
    <s v="CUST038"/>
    <x v="35"/>
    <s v="Male"/>
    <n v="40"/>
    <s v="Ahmedabad"/>
    <x v="6"/>
    <x v="1"/>
    <s v="P107"/>
    <x v="1"/>
    <x v="1"/>
    <s v="Shoes"/>
    <x v="1"/>
    <n v="2"/>
    <n v="4500"/>
    <n v="0.1"/>
    <x v="36"/>
    <n v="3000"/>
    <n v="2100"/>
    <n v="0.25925925925925924"/>
    <x v="5"/>
    <x v="1"/>
    <n v="4"/>
    <x v="1"/>
    <n v="4"/>
    <s v="Excellent"/>
    <x v="11"/>
    <s v="Q2"/>
    <x v="0"/>
    <s v="Wednesday"/>
    <s v="36-45"/>
    <x v="2"/>
    <s v="Medium"/>
    <s v="Bronze"/>
  </r>
  <r>
    <x v="38"/>
    <x v="38"/>
    <d v="2026-06-16T00:00:00"/>
    <s v="CUST039"/>
    <x v="36"/>
    <s v="Male"/>
    <n v="31"/>
    <s v="Surat"/>
    <x v="6"/>
    <x v="1"/>
    <s v="P104"/>
    <x v="4"/>
    <x v="0"/>
    <s v="Laptop"/>
    <x v="4"/>
    <n v="1"/>
    <n v="58000"/>
    <n v="0.1"/>
    <x v="27"/>
    <n v="49000"/>
    <n v="3200"/>
    <n v="6.1302681992337162E-2"/>
    <x v="5"/>
    <x v="3"/>
    <n v="5"/>
    <x v="0"/>
    <n v="4"/>
    <s v="Excellent"/>
    <x v="11"/>
    <s v="Q2"/>
    <x v="0"/>
    <s v="Thursday"/>
    <s v="26-35"/>
    <x v="0"/>
    <s v="Medium"/>
    <s v="Gold"/>
  </r>
  <r>
    <x v="39"/>
    <x v="39"/>
    <d v="2026-01-26T00:00:00"/>
    <s v="CUST040"/>
    <x v="37"/>
    <s v="Male"/>
    <n v="41"/>
    <s v="Ahmedabad"/>
    <x v="6"/>
    <x v="1"/>
    <s v="P105"/>
    <x v="3"/>
    <x v="0"/>
    <s v="Television"/>
    <x v="3"/>
    <n v="3"/>
    <n v="42000"/>
    <n v="0.05"/>
    <x v="37"/>
    <n v="35000"/>
    <n v="14700"/>
    <n v="0.12280701754385964"/>
    <x v="1"/>
    <x v="0"/>
    <n v="2"/>
    <x v="0"/>
    <n v="4"/>
    <s v="Excellent"/>
    <x v="0"/>
    <s v="Q1"/>
    <x v="0"/>
    <s v="Saturday"/>
    <s v="36-45"/>
    <x v="0"/>
    <s v="Low"/>
    <s v="VIP"/>
  </r>
  <r>
    <x v="40"/>
    <x v="40"/>
    <d v="2026-08-02T00:00:00"/>
    <s v="CUST041"/>
    <x v="38"/>
    <s v="Male"/>
    <n v="23"/>
    <s v="Hyderabad"/>
    <x v="1"/>
    <x v="0"/>
    <s v="P101"/>
    <x v="7"/>
    <x v="0"/>
    <s v="Mobile"/>
    <x v="7"/>
    <n v="1"/>
    <n v="28500"/>
    <n v="0.12"/>
    <x v="38"/>
    <n v="22000"/>
    <n v="3080"/>
    <n v="0.12280701754385964"/>
    <x v="3"/>
    <x v="0"/>
    <n v="4"/>
    <x v="1"/>
    <n v="3"/>
    <s v="Average"/>
    <x v="4"/>
    <s v="Q3"/>
    <x v="0"/>
    <s v="Wednesday"/>
    <s v="18-25"/>
    <x v="1"/>
    <s v="Medium"/>
    <s v="Silver"/>
  </r>
  <r>
    <x v="41"/>
    <x v="41"/>
    <d v="2026-01-07T00:00:00"/>
    <s v="CUST042"/>
    <x v="39"/>
    <s v="Male"/>
    <n v="25"/>
    <s v="Kolkata"/>
    <x v="3"/>
    <x v="2"/>
    <s v="P103"/>
    <x v="0"/>
    <x v="0"/>
    <s v="Laptop"/>
    <x v="0"/>
    <n v="3"/>
    <n v="62000"/>
    <n v="0.15"/>
    <x v="39"/>
    <n v="52000"/>
    <n v="2100"/>
    <n v="1.3282732447817837E-2"/>
    <x v="2"/>
    <x v="0"/>
    <n v="6"/>
    <x v="0"/>
    <n v="3"/>
    <s v="Average"/>
    <x v="0"/>
    <s v="Q1"/>
    <x v="0"/>
    <s v="Thursday"/>
    <s v="18-25"/>
    <x v="0"/>
    <s v="Medium"/>
    <s v="VIP"/>
  </r>
  <r>
    <x v="42"/>
    <x v="42"/>
    <d v="2026-11-21T00:00:00"/>
    <s v="CUST043"/>
    <x v="40"/>
    <s v="Male"/>
    <n v="26"/>
    <s v="Ahmedabad"/>
    <x v="6"/>
    <x v="1"/>
    <s v="P105"/>
    <x v="3"/>
    <x v="0"/>
    <s v="Television"/>
    <x v="3"/>
    <n v="5"/>
    <n v="42000"/>
    <n v="0.15"/>
    <x v="40"/>
    <n v="35000"/>
    <n v="3500"/>
    <n v="1.9607843137254902E-2"/>
    <x v="4"/>
    <x v="1"/>
    <n v="3"/>
    <x v="0"/>
    <n v="2"/>
    <s v="Average"/>
    <x v="2"/>
    <s v="Q4"/>
    <x v="0"/>
    <s v="Wednesday"/>
    <s v="26-35"/>
    <x v="0"/>
    <s v="Medium"/>
    <s v="VIP"/>
  </r>
  <r>
    <x v="43"/>
    <x v="43"/>
    <d v="2026-12-17T00:00:00"/>
    <s v="CUST044"/>
    <x v="41"/>
    <s v="Male"/>
    <n v="38"/>
    <s v="Chennai"/>
    <x v="0"/>
    <x v="0"/>
    <s v="P104"/>
    <x v="4"/>
    <x v="0"/>
    <s v="Laptop"/>
    <x v="4"/>
    <n v="4"/>
    <n v="58000"/>
    <n v="0.05"/>
    <x v="6"/>
    <n v="49000"/>
    <n v="24400"/>
    <n v="0.11070780399274047"/>
    <x v="0"/>
    <x v="1"/>
    <n v="2"/>
    <x v="0"/>
    <n v="4"/>
    <s v="Excellent"/>
    <x v="8"/>
    <s v="Q4"/>
    <x v="0"/>
    <s v="Tuesday"/>
    <s v="36-45"/>
    <x v="0"/>
    <s v="Low"/>
    <s v="VIP"/>
  </r>
  <r>
    <x v="44"/>
    <x v="44"/>
    <d v="2026-02-20T00:00:00"/>
    <s v="CUST045"/>
    <x v="42"/>
    <s v="Male"/>
    <n v="41"/>
    <s v="Surat"/>
    <x v="6"/>
    <x v="1"/>
    <s v="P102"/>
    <x v="6"/>
    <x v="0"/>
    <s v="Mobile"/>
    <x v="6"/>
    <n v="4"/>
    <n v="79900"/>
    <n v="0.05"/>
    <x v="41"/>
    <n v="65000"/>
    <n v="43620"/>
    <n v="0.14366642513668401"/>
    <x v="2"/>
    <x v="3"/>
    <n v="2"/>
    <x v="0"/>
    <n v="2"/>
    <s v="Average"/>
    <x v="9"/>
    <s v="Q1"/>
    <x v="0"/>
    <s v="Wednesday"/>
    <s v="36-45"/>
    <x v="0"/>
    <s v="Low"/>
    <s v="VIP"/>
  </r>
  <r>
    <x v="45"/>
    <x v="40"/>
    <d v="2026-07-31T00:00:00"/>
    <s v="CUST046"/>
    <x v="43"/>
    <s v="Female"/>
    <n v="41"/>
    <s v="Kolkata"/>
    <x v="3"/>
    <x v="2"/>
    <s v="P107"/>
    <x v="1"/>
    <x v="1"/>
    <s v="Shoes"/>
    <x v="1"/>
    <n v="1"/>
    <n v="4500"/>
    <n v="0.08"/>
    <x v="42"/>
    <n v="3000"/>
    <n v="1140"/>
    <n v="0.27536231884057971"/>
    <x v="3"/>
    <x v="3"/>
    <n v="2"/>
    <x v="1"/>
    <n v="3"/>
    <s v="Average"/>
    <x v="4"/>
    <s v="Q3"/>
    <x v="0"/>
    <s v="Wednesday"/>
    <s v="36-45"/>
    <x v="2"/>
    <s v="Medium"/>
    <s v="Bronze"/>
  </r>
  <r>
    <x v="46"/>
    <x v="45"/>
    <d v="2026-11-04T00:00:00"/>
    <s v="CUST047"/>
    <x v="44"/>
    <s v="Female"/>
    <n v="36"/>
    <s v="Bengaluru"/>
    <x v="5"/>
    <x v="0"/>
    <s v="P105"/>
    <x v="3"/>
    <x v="0"/>
    <s v="Television"/>
    <x v="3"/>
    <n v="1"/>
    <n v="42000"/>
    <n v="0.2"/>
    <x v="14"/>
    <n v="35000"/>
    <n v="-1400"/>
    <n v="-4.1666666666666664E-2"/>
    <x v="3"/>
    <x v="3"/>
    <n v="3"/>
    <x v="1"/>
    <n v="2"/>
    <s v="Average"/>
    <x v="2"/>
    <s v="Q4"/>
    <x v="0"/>
    <s v="Sunday"/>
    <s v="36-45"/>
    <x v="0"/>
    <s v="High"/>
    <s v="Silver"/>
  </r>
  <r>
    <x v="47"/>
    <x v="46"/>
    <d v="2026-03-24T00:00:00"/>
    <s v="CUST048"/>
    <x v="45"/>
    <s v="Female"/>
    <n v="48"/>
    <s v="Bengaluru"/>
    <x v="5"/>
    <x v="0"/>
    <s v="P101"/>
    <x v="7"/>
    <x v="0"/>
    <s v="Mobile"/>
    <x v="7"/>
    <n v="5"/>
    <n v="28500"/>
    <n v="0.12"/>
    <x v="43"/>
    <n v="22000"/>
    <n v="15400"/>
    <n v="0.12280701754385964"/>
    <x v="1"/>
    <x v="0"/>
    <n v="5"/>
    <x v="0"/>
    <n v="5"/>
    <s v="Excellent"/>
    <x v="10"/>
    <s v="Q1"/>
    <x v="0"/>
    <s v="Thursday"/>
    <s v="46+"/>
    <x v="0"/>
    <s v="Medium"/>
    <s v="VIP"/>
  </r>
  <r>
    <x v="48"/>
    <x v="47"/>
    <d v="2026-08-13T00:00:00"/>
    <s v="CUST049"/>
    <x v="46"/>
    <s v="Female"/>
    <n v="42"/>
    <s v="Delhi"/>
    <x v="4"/>
    <x v="3"/>
    <s v="P107"/>
    <x v="1"/>
    <x v="1"/>
    <s v="Shoes"/>
    <x v="1"/>
    <n v="3"/>
    <n v="4500"/>
    <n v="0.1"/>
    <x v="44"/>
    <n v="3000"/>
    <n v="3150"/>
    <n v="0.25925925925925924"/>
    <x v="1"/>
    <x v="3"/>
    <n v="5"/>
    <x v="1"/>
    <n v="5"/>
    <s v="Excellent"/>
    <x v="6"/>
    <s v="Q3"/>
    <x v="0"/>
    <s v="Saturday"/>
    <s v="36-45"/>
    <x v="1"/>
    <s v="Medium"/>
    <s v="Bronze"/>
  </r>
  <r>
    <x v="49"/>
    <x v="48"/>
    <d v="2026-01-23T00:00:00"/>
    <s v="CUST050"/>
    <x v="47"/>
    <s v="Male"/>
    <n v="24"/>
    <s v="Bengaluru"/>
    <x v="5"/>
    <x v="0"/>
    <s v="P104"/>
    <x v="4"/>
    <x v="0"/>
    <s v="Laptop"/>
    <x v="4"/>
    <n v="2"/>
    <n v="58000"/>
    <n v="0.2"/>
    <x v="45"/>
    <n v="49000"/>
    <n v="-5200"/>
    <n v="-5.6034482758620691E-2"/>
    <x v="4"/>
    <x v="3"/>
    <n v="4"/>
    <x v="0"/>
    <n v="4"/>
    <s v="Excellent"/>
    <x v="0"/>
    <s v="Q1"/>
    <x v="0"/>
    <s v="Monday"/>
    <s v="18-25"/>
    <x v="0"/>
    <s v="High"/>
    <s v="VIP"/>
  </r>
  <r>
    <x v="50"/>
    <x v="49"/>
    <d v="2026-04-18T00:00:00"/>
    <s v="CUST051"/>
    <x v="48"/>
    <s v="Female"/>
    <n v="49"/>
    <s v="Delhi"/>
    <x v="4"/>
    <x v="3"/>
    <s v="P103"/>
    <x v="0"/>
    <x v="0"/>
    <s v="Laptop"/>
    <x v="0"/>
    <n v="2"/>
    <n v="62000"/>
    <n v="0.12"/>
    <x v="46"/>
    <n v="52000"/>
    <n v="5120"/>
    <n v="4.6920821114369501E-2"/>
    <x v="0"/>
    <x v="3"/>
    <n v="2"/>
    <x v="0"/>
    <n v="5"/>
    <s v="Excellent"/>
    <x v="3"/>
    <s v="Q2"/>
    <x v="0"/>
    <s v="Thursday"/>
    <s v="46+"/>
    <x v="0"/>
    <s v="Medium"/>
    <s v="VIP"/>
  </r>
  <r>
    <x v="51"/>
    <x v="50"/>
    <d v="2026-04-01T00:00:00"/>
    <s v="CUST052"/>
    <x v="49"/>
    <s v="Male"/>
    <n v="49"/>
    <s v="Chennai"/>
    <x v="0"/>
    <x v="0"/>
    <s v="P104"/>
    <x v="4"/>
    <x v="0"/>
    <s v="Laptop"/>
    <x v="4"/>
    <n v="3"/>
    <n v="58000"/>
    <n v="0.05"/>
    <x v="47"/>
    <n v="49000"/>
    <n v="18300"/>
    <n v="0.11070780399274047"/>
    <x v="5"/>
    <x v="2"/>
    <n v="4"/>
    <x v="0"/>
    <n v="2"/>
    <s v="Average"/>
    <x v="10"/>
    <s v="Q1"/>
    <x v="0"/>
    <s v="Saturday"/>
    <s v="46+"/>
    <x v="0"/>
    <s v="Low"/>
    <s v="VIP"/>
  </r>
  <r>
    <x v="52"/>
    <x v="51"/>
    <d v="2026-03-26T00:00:00"/>
    <s v="CUST053"/>
    <x v="50"/>
    <s v="Female"/>
    <n v="26"/>
    <s v="Mumbai"/>
    <x v="2"/>
    <x v="1"/>
    <s v="P105"/>
    <x v="3"/>
    <x v="0"/>
    <s v="Television"/>
    <x v="3"/>
    <n v="5"/>
    <n v="42000"/>
    <n v="0.15"/>
    <x v="40"/>
    <n v="35000"/>
    <n v="3500"/>
    <n v="1.9607843137254902E-2"/>
    <x v="0"/>
    <x v="2"/>
    <n v="3"/>
    <x v="0"/>
    <n v="5"/>
    <s v="Excellent"/>
    <x v="10"/>
    <s v="Q1"/>
    <x v="0"/>
    <s v="Monday"/>
    <s v="26-35"/>
    <x v="0"/>
    <s v="Medium"/>
    <s v="VIP"/>
  </r>
  <r>
    <x v="53"/>
    <x v="52"/>
    <d v="2026-09-10T00:00:00"/>
    <s v="CUST054"/>
    <x v="51"/>
    <s v="Female"/>
    <n v="44"/>
    <s v="Hyderabad"/>
    <x v="1"/>
    <x v="0"/>
    <s v="P107"/>
    <x v="1"/>
    <x v="1"/>
    <s v="Shoes"/>
    <x v="1"/>
    <n v="5"/>
    <n v="4500"/>
    <n v="0.12"/>
    <x v="2"/>
    <n v="3000"/>
    <n v="4800"/>
    <n v="0.24242424242424243"/>
    <x v="0"/>
    <x v="0"/>
    <n v="6"/>
    <x v="1"/>
    <n v="3"/>
    <s v="Average"/>
    <x v="5"/>
    <s v="Q3"/>
    <x v="0"/>
    <s v="Friday"/>
    <s v="36-45"/>
    <x v="1"/>
    <s v="Medium"/>
    <s v="Silver"/>
  </r>
  <r>
    <x v="54"/>
    <x v="53"/>
    <d v="2026-07-04T00:00:00"/>
    <s v="CUST055"/>
    <x v="52"/>
    <s v="Female"/>
    <n v="25"/>
    <s v="Bengaluru"/>
    <x v="5"/>
    <x v="0"/>
    <s v="P102"/>
    <x v="6"/>
    <x v="0"/>
    <s v="Mobile"/>
    <x v="6"/>
    <n v="4"/>
    <n v="79900"/>
    <n v="0.05"/>
    <x v="41"/>
    <n v="65000"/>
    <n v="43620"/>
    <n v="0.14366642513668401"/>
    <x v="1"/>
    <x v="2"/>
    <n v="6"/>
    <x v="0"/>
    <n v="4"/>
    <s v="Excellent"/>
    <x v="11"/>
    <s v="Q2"/>
    <x v="0"/>
    <s v="Sunday"/>
    <s v="18-25"/>
    <x v="0"/>
    <s v="Low"/>
    <s v="VIP"/>
  </r>
  <r>
    <x v="55"/>
    <x v="14"/>
    <d v="2026-09-09T00:00:00"/>
    <s v="CUST056"/>
    <x v="53"/>
    <s v="Female"/>
    <n v="21"/>
    <s v="Surat"/>
    <x v="6"/>
    <x v="1"/>
    <s v="P101"/>
    <x v="7"/>
    <x v="0"/>
    <s v="Mobile"/>
    <x v="7"/>
    <n v="5"/>
    <n v="28500"/>
    <n v="0.15"/>
    <x v="48"/>
    <n v="22000"/>
    <n v="11125"/>
    <n v="9.1847265221878222E-2"/>
    <x v="5"/>
    <x v="2"/>
    <n v="2"/>
    <x v="0"/>
    <n v="2"/>
    <s v="Average"/>
    <x v="5"/>
    <s v="Q3"/>
    <x v="0"/>
    <s v="Monday"/>
    <s v="18-25"/>
    <x v="0"/>
    <s v="Medium"/>
    <s v="VIP"/>
  </r>
  <r>
    <x v="56"/>
    <x v="54"/>
    <d v="2026-02-21T00:00:00"/>
    <s v="CUST057"/>
    <x v="54"/>
    <s v="Female"/>
    <n v="47"/>
    <s v="Bengaluru"/>
    <x v="5"/>
    <x v="0"/>
    <s v="P108"/>
    <x v="2"/>
    <x v="2"/>
    <s v="Mixer"/>
    <x v="2"/>
    <n v="1"/>
    <n v="3500"/>
    <n v="0.15"/>
    <x v="49"/>
    <n v="2500"/>
    <n v="475"/>
    <n v="0.15966386554621848"/>
    <x v="1"/>
    <x v="1"/>
    <n v="6"/>
    <x v="1"/>
    <n v="2"/>
    <s v="Average"/>
    <x v="9"/>
    <s v="Q1"/>
    <x v="0"/>
    <s v="Sunday"/>
    <s v="46+"/>
    <x v="2"/>
    <s v="Medium"/>
    <s v="Bronze"/>
  </r>
  <r>
    <x v="57"/>
    <x v="55"/>
    <d v="2026-11-20T00:00:00"/>
    <s v="CUST058"/>
    <x v="55"/>
    <s v="Male"/>
    <n v="29"/>
    <s v="Surat"/>
    <x v="6"/>
    <x v="1"/>
    <s v="P105"/>
    <x v="3"/>
    <x v="0"/>
    <s v="Television"/>
    <x v="3"/>
    <n v="3"/>
    <n v="42000"/>
    <n v="0.08"/>
    <x v="50"/>
    <n v="35000"/>
    <n v="10920"/>
    <n v="9.420289855072464E-2"/>
    <x v="4"/>
    <x v="2"/>
    <n v="4"/>
    <x v="0"/>
    <n v="2"/>
    <s v="Average"/>
    <x v="2"/>
    <s v="Q4"/>
    <x v="0"/>
    <s v="Monday"/>
    <s v="26-35"/>
    <x v="0"/>
    <s v="Medium"/>
    <s v="VIP"/>
  </r>
  <r>
    <x v="58"/>
    <x v="56"/>
    <d v="2026-04-27T00:00:00"/>
    <s v="CUST059"/>
    <x v="56"/>
    <s v="Male"/>
    <n v="20"/>
    <s v="Delhi"/>
    <x v="4"/>
    <x v="3"/>
    <s v="P102"/>
    <x v="6"/>
    <x v="0"/>
    <s v="Mobile"/>
    <x v="6"/>
    <n v="2"/>
    <n v="79900"/>
    <n v="0.1"/>
    <x v="34"/>
    <n v="65000"/>
    <n v="13820"/>
    <n v="9.6092337644277576E-2"/>
    <x v="4"/>
    <x v="2"/>
    <n v="3"/>
    <x v="0"/>
    <n v="4"/>
    <s v="Excellent"/>
    <x v="3"/>
    <s v="Q2"/>
    <x v="0"/>
    <s v="Friday"/>
    <s v="18-25"/>
    <x v="0"/>
    <s v="Medium"/>
    <s v="VIP"/>
  </r>
  <r>
    <x v="59"/>
    <x v="57"/>
    <d v="2026-04-05T00:00:00"/>
    <s v="CUST060"/>
    <x v="57"/>
    <s v="Male"/>
    <n v="25"/>
    <s v="Bengaluru"/>
    <x v="5"/>
    <x v="0"/>
    <s v="P107"/>
    <x v="1"/>
    <x v="1"/>
    <s v="Shoes"/>
    <x v="1"/>
    <n v="1"/>
    <n v="4500"/>
    <n v="0.1"/>
    <x v="51"/>
    <n v="3000"/>
    <n v="1050"/>
    <n v="0.25925925925925924"/>
    <x v="3"/>
    <x v="0"/>
    <n v="3"/>
    <x v="1"/>
    <n v="5"/>
    <s v="Excellent"/>
    <x v="3"/>
    <s v="Q2"/>
    <x v="0"/>
    <s v="Thursday"/>
    <s v="18-25"/>
    <x v="2"/>
    <s v="Medium"/>
    <s v="Bronze"/>
  </r>
  <r>
    <x v="60"/>
    <x v="58"/>
    <d v="2026-09-24T00:00:00"/>
    <s v="CUST061"/>
    <x v="58"/>
    <s v="Male"/>
    <n v="35"/>
    <s v="Delhi"/>
    <x v="4"/>
    <x v="3"/>
    <s v="P102"/>
    <x v="6"/>
    <x v="0"/>
    <s v="Mobile"/>
    <x v="6"/>
    <n v="2"/>
    <n v="79900"/>
    <n v="0.15"/>
    <x v="52"/>
    <n v="65000"/>
    <n v="5830"/>
    <n v="4.292129868217625E-2"/>
    <x v="0"/>
    <x v="0"/>
    <n v="2"/>
    <x v="0"/>
    <n v="3"/>
    <s v="Average"/>
    <x v="5"/>
    <s v="Q3"/>
    <x v="0"/>
    <s v="Tuesday"/>
    <s v="26-35"/>
    <x v="0"/>
    <s v="Medium"/>
    <s v="VIP"/>
  </r>
  <r>
    <x v="61"/>
    <x v="1"/>
    <d v="2026-10-15T00:00:00"/>
    <s v="CUST062"/>
    <x v="12"/>
    <s v="Female"/>
    <n v="31"/>
    <s v="Mumbai"/>
    <x v="2"/>
    <x v="1"/>
    <s v="P105"/>
    <x v="3"/>
    <x v="0"/>
    <s v="Television"/>
    <x v="3"/>
    <n v="4"/>
    <n v="42000"/>
    <n v="0.12"/>
    <x v="53"/>
    <n v="35000"/>
    <n v="7840"/>
    <n v="5.3030303030303032E-2"/>
    <x v="0"/>
    <x v="3"/>
    <n v="4"/>
    <x v="0"/>
    <n v="3"/>
    <s v="Average"/>
    <x v="1"/>
    <s v="Q4"/>
    <x v="0"/>
    <s v="Sunday"/>
    <s v="26-35"/>
    <x v="0"/>
    <s v="Medium"/>
    <s v="VIP"/>
  </r>
  <r>
    <x v="62"/>
    <x v="59"/>
    <d v="2026-12-06T00:00:00"/>
    <s v="CUST063"/>
    <x v="59"/>
    <s v="Male"/>
    <n v="26"/>
    <s v="Chennai"/>
    <x v="0"/>
    <x v="0"/>
    <s v="P101"/>
    <x v="7"/>
    <x v="0"/>
    <s v="Mobile"/>
    <x v="7"/>
    <n v="3"/>
    <n v="28500"/>
    <n v="0.1"/>
    <x v="54"/>
    <n v="22000"/>
    <n v="10950"/>
    <n v="0.14230019493177387"/>
    <x v="2"/>
    <x v="1"/>
    <n v="3"/>
    <x v="0"/>
    <n v="4"/>
    <s v="Excellent"/>
    <x v="8"/>
    <s v="Q4"/>
    <x v="0"/>
    <s v="Thursday"/>
    <s v="26-35"/>
    <x v="0"/>
    <s v="Medium"/>
    <s v="Gold"/>
  </r>
  <r>
    <x v="63"/>
    <x v="31"/>
    <d v="2026-07-02T00:00:00"/>
    <s v="CUST064"/>
    <x v="60"/>
    <s v="Male"/>
    <n v="45"/>
    <s v="Kolkata"/>
    <x v="3"/>
    <x v="2"/>
    <s v="P102"/>
    <x v="6"/>
    <x v="0"/>
    <s v="Mobile"/>
    <x v="6"/>
    <n v="5"/>
    <n v="79900"/>
    <n v="0.15"/>
    <x v="55"/>
    <n v="65000"/>
    <n v="14575"/>
    <n v="4.292129868217625E-2"/>
    <x v="5"/>
    <x v="0"/>
    <n v="3"/>
    <x v="0"/>
    <n v="3"/>
    <s v="Average"/>
    <x v="11"/>
    <s v="Q2"/>
    <x v="0"/>
    <s v="Monday"/>
    <s v="36-45"/>
    <x v="0"/>
    <s v="Medium"/>
    <s v="VIP"/>
  </r>
  <r>
    <x v="64"/>
    <x v="11"/>
    <d v="2026-05-09T00:00:00"/>
    <s v="CUST065"/>
    <x v="30"/>
    <s v="Female"/>
    <n v="24"/>
    <s v="Surat"/>
    <x v="6"/>
    <x v="1"/>
    <s v="P108"/>
    <x v="2"/>
    <x v="2"/>
    <s v="Mixer"/>
    <x v="2"/>
    <n v="4"/>
    <n v="3500"/>
    <n v="0.08"/>
    <x v="3"/>
    <n v="2500"/>
    <n v="2880"/>
    <n v="0.2236024844720497"/>
    <x v="1"/>
    <x v="0"/>
    <n v="3"/>
    <x v="1"/>
    <n v="3"/>
    <s v="Average"/>
    <x v="7"/>
    <s v="Q2"/>
    <x v="0"/>
    <s v="Wednesday"/>
    <s v="18-25"/>
    <x v="1"/>
    <s v="Medium"/>
    <s v="Bronze"/>
  </r>
  <r>
    <x v="65"/>
    <x v="60"/>
    <d v="2026-07-06T00:00:00"/>
    <s v="CUST066"/>
    <x v="42"/>
    <s v="Female"/>
    <n v="28"/>
    <s v="Ahmedabad"/>
    <x v="6"/>
    <x v="1"/>
    <s v="P103"/>
    <x v="0"/>
    <x v="0"/>
    <s v="Laptop"/>
    <x v="0"/>
    <n v="4"/>
    <n v="62000"/>
    <n v="0.05"/>
    <x v="56"/>
    <n v="52000"/>
    <n v="27600"/>
    <n v="0.11714770797962648"/>
    <x v="4"/>
    <x v="3"/>
    <n v="6"/>
    <x v="0"/>
    <n v="5"/>
    <s v="Excellent"/>
    <x v="11"/>
    <s v="Q2"/>
    <x v="0"/>
    <s v="Tuesday"/>
    <s v="26-35"/>
    <x v="0"/>
    <s v="Low"/>
    <s v="VIP"/>
  </r>
  <r>
    <x v="66"/>
    <x v="61"/>
    <d v="2026-05-02T00:00:00"/>
    <s v="CUST067"/>
    <x v="24"/>
    <s v="Female"/>
    <n v="42"/>
    <s v="Ahmedabad"/>
    <x v="6"/>
    <x v="1"/>
    <s v="P108"/>
    <x v="2"/>
    <x v="2"/>
    <s v="Mixer"/>
    <x v="2"/>
    <n v="2"/>
    <n v="3500"/>
    <n v="0.2"/>
    <x v="57"/>
    <n v="2500"/>
    <n v="600"/>
    <n v="0.10714285714285714"/>
    <x v="3"/>
    <x v="0"/>
    <n v="6"/>
    <x v="1"/>
    <n v="5"/>
    <s v="Excellent"/>
    <x v="3"/>
    <s v="Q2"/>
    <x v="0"/>
    <s v="Sunday"/>
    <s v="36-45"/>
    <x v="2"/>
    <s v="High"/>
    <s v="Bronze"/>
  </r>
  <r>
    <x v="67"/>
    <x v="62"/>
    <d v="2026-03-08T00:00:00"/>
    <s v="CUST068"/>
    <x v="61"/>
    <s v="Female"/>
    <n v="30"/>
    <s v="Ahmedabad"/>
    <x v="6"/>
    <x v="1"/>
    <s v="P105"/>
    <x v="3"/>
    <x v="0"/>
    <s v="Television"/>
    <x v="3"/>
    <n v="2"/>
    <n v="42000"/>
    <n v="0.2"/>
    <x v="58"/>
    <n v="35000"/>
    <n v="-2800"/>
    <n v="-4.1666666666666664E-2"/>
    <x v="5"/>
    <x v="1"/>
    <n v="5"/>
    <x v="0"/>
    <n v="3"/>
    <s v="Average"/>
    <x v="10"/>
    <s v="Q1"/>
    <x v="0"/>
    <s v="Tuesday"/>
    <s v="26-35"/>
    <x v="0"/>
    <s v="High"/>
    <s v="Gold"/>
  </r>
  <r>
    <x v="68"/>
    <x v="63"/>
    <d v="2026-08-30T00:00:00"/>
    <s v="CUST069"/>
    <x v="62"/>
    <s v="Female"/>
    <n v="23"/>
    <s v="Kolkata"/>
    <x v="3"/>
    <x v="2"/>
    <s v="P107"/>
    <x v="1"/>
    <x v="1"/>
    <s v="Shoes"/>
    <x v="1"/>
    <n v="3"/>
    <n v="4500"/>
    <n v="0.12"/>
    <x v="59"/>
    <n v="3000"/>
    <n v="2880"/>
    <n v="0.24242424242424243"/>
    <x v="0"/>
    <x v="2"/>
    <n v="6"/>
    <x v="1"/>
    <n v="4"/>
    <s v="Excellent"/>
    <x v="6"/>
    <s v="Q3"/>
    <x v="0"/>
    <s v="Monday"/>
    <s v="18-25"/>
    <x v="1"/>
    <s v="Medium"/>
    <s v="Bronze"/>
  </r>
  <r>
    <x v="69"/>
    <x v="64"/>
    <d v="2026-07-15T00:00:00"/>
    <s v="CUST070"/>
    <x v="63"/>
    <s v="Male"/>
    <n v="35"/>
    <s v="Bengaluru"/>
    <x v="5"/>
    <x v="0"/>
    <s v="P105"/>
    <x v="3"/>
    <x v="0"/>
    <s v="Television"/>
    <x v="3"/>
    <n v="1"/>
    <n v="42000"/>
    <n v="0.1"/>
    <x v="10"/>
    <n v="35000"/>
    <n v="2800"/>
    <n v="7.407407407407407E-2"/>
    <x v="5"/>
    <x v="3"/>
    <n v="5"/>
    <x v="1"/>
    <n v="2"/>
    <s v="Average"/>
    <x v="4"/>
    <s v="Q3"/>
    <x v="0"/>
    <s v="Friday"/>
    <s v="26-35"/>
    <x v="0"/>
    <s v="Medium"/>
    <s v="Silver"/>
  </r>
  <r>
    <x v="70"/>
    <x v="65"/>
    <d v="2026-12-18T00:00:00"/>
    <s v="CUST071"/>
    <x v="64"/>
    <s v="Female"/>
    <n v="47"/>
    <s v="Delhi"/>
    <x v="4"/>
    <x v="3"/>
    <s v="P108"/>
    <x v="2"/>
    <x v="2"/>
    <s v="Mixer"/>
    <x v="2"/>
    <n v="1"/>
    <n v="3500"/>
    <n v="0.08"/>
    <x v="60"/>
    <n v="2500"/>
    <n v="720"/>
    <n v="0.2236024844720497"/>
    <x v="2"/>
    <x v="2"/>
    <n v="6"/>
    <x v="1"/>
    <n v="3"/>
    <s v="Average"/>
    <x v="8"/>
    <s v="Q4"/>
    <x v="0"/>
    <s v="Saturday"/>
    <s v="46+"/>
    <x v="2"/>
    <s v="Medium"/>
    <s v="Bronze"/>
  </r>
  <r>
    <x v="71"/>
    <x v="40"/>
    <d v="2026-08-01T00:00:00"/>
    <s v="CUST072"/>
    <x v="65"/>
    <s v="Male"/>
    <n v="49"/>
    <s v="Ahmedabad"/>
    <x v="6"/>
    <x v="1"/>
    <s v="P106"/>
    <x v="5"/>
    <x v="0"/>
    <s v="Headphones"/>
    <x v="5"/>
    <n v="5"/>
    <n v="2500"/>
    <n v="0.08"/>
    <x v="61"/>
    <n v="1700"/>
    <n v="3000"/>
    <n v="0.2608695652173913"/>
    <x v="1"/>
    <x v="1"/>
    <n v="3"/>
    <x v="1"/>
    <n v="2"/>
    <s v="Average"/>
    <x v="4"/>
    <s v="Q3"/>
    <x v="0"/>
    <s v="Wednesday"/>
    <s v="46+"/>
    <x v="1"/>
    <s v="Medium"/>
    <s v="Bronze"/>
  </r>
  <r>
    <x v="72"/>
    <x v="66"/>
    <d v="2026-10-01T00:00:00"/>
    <s v="CUST073"/>
    <x v="66"/>
    <s v="Male"/>
    <n v="40"/>
    <s v="Kolkata"/>
    <x v="3"/>
    <x v="2"/>
    <s v="P105"/>
    <x v="3"/>
    <x v="0"/>
    <s v="Television"/>
    <x v="3"/>
    <n v="3"/>
    <n v="42000"/>
    <n v="0.15"/>
    <x v="62"/>
    <n v="35000"/>
    <n v="2100"/>
    <n v="1.9607843137254902E-2"/>
    <x v="2"/>
    <x v="2"/>
    <n v="6"/>
    <x v="0"/>
    <n v="2"/>
    <s v="Average"/>
    <x v="5"/>
    <s v="Q3"/>
    <x v="0"/>
    <s v="Friday"/>
    <s v="36-45"/>
    <x v="0"/>
    <s v="Medium"/>
    <s v="VIP"/>
  </r>
  <r>
    <x v="73"/>
    <x v="67"/>
    <d v="2026-01-13T00:00:00"/>
    <s v="CUST074"/>
    <x v="31"/>
    <s v="Male"/>
    <n v="31"/>
    <s v="Ahmedabad"/>
    <x v="6"/>
    <x v="1"/>
    <s v="P108"/>
    <x v="2"/>
    <x v="2"/>
    <s v="Mixer"/>
    <x v="2"/>
    <n v="5"/>
    <n v="3500"/>
    <n v="0.12"/>
    <x v="63"/>
    <n v="2500"/>
    <n v="2900"/>
    <n v="0.18831168831168832"/>
    <x v="2"/>
    <x v="1"/>
    <n v="6"/>
    <x v="1"/>
    <n v="4"/>
    <s v="Excellent"/>
    <x v="0"/>
    <s v="Q1"/>
    <x v="0"/>
    <s v="Wednesday"/>
    <s v="26-35"/>
    <x v="1"/>
    <s v="Medium"/>
    <s v="Silver"/>
  </r>
  <r>
    <x v="74"/>
    <x v="68"/>
    <d v="2027-01-03T00:00:00"/>
    <s v="CUST075"/>
    <x v="67"/>
    <s v="Female"/>
    <n v="47"/>
    <s v="Ahmedabad"/>
    <x v="6"/>
    <x v="1"/>
    <s v="P106"/>
    <x v="5"/>
    <x v="0"/>
    <s v="Headphones"/>
    <x v="5"/>
    <n v="3"/>
    <n v="2500"/>
    <n v="0.2"/>
    <x v="64"/>
    <n v="1700"/>
    <n v="900"/>
    <n v="0.15"/>
    <x v="4"/>
    <x v="1"/>
    <n v="4"/>
    <x v="1"/>
    <n v="5"/>
    <s v="Excellent"/>
    <x v="8"/>
    <s v="Q4"/>
    <x v="0"/>
    <s v="Wednesday"/>
    <s v="46+"/>
    <x v="2"/>
    <s v="High"/>
    <s v="Bronze"/>
  </r>
  <r>
    <x v="75"/>
    <x v="69"/>
    <d v="2026-05-31T00:00:00"/>
    <s v="CUST076"/>
    <x v="42"/>
    <s v="Male"/>
    <n v="37"/>
    <s v="Bengaluru"/>
    <x v="5"/>
    <x v="0"/>
    <s v="P108"/>
    <x v="2"/>
    <x v="2"/>
    <s v="Mixer"/>
    <x v="2"/>
    <n v="3"/>
    <n v="3500"/>
    <n v="0.2"/>
    <x v="65"/>
    <n v="2500"/>
    <n v="900"/>
    <n v="0.10714285714285714"/>
    <x v="1"/>
    <x v="3"/>
    <n v="3"/>
    <x v="1"/>
    <n v="2"/>
    <s v="Average"/>
    <x v="7"/>
    <s v="Q2"/>
    <x v="0"/>
    <s v="Thursday"/>
    <s v="36-45"/>
    <x v="2"/>
    <s v="High"/>
    <s v="Bronze"/>
  </r>
  <r>
    <x v="76"/>
    <x v="70"/>
    <d v="2026-01-18T00:00:00"/>
    <s v="CUST077"/>
    <x v="68"/>
    <s v="Female"/>
    <n v="22"/>
    <s v="Kolkata"/>
    <x v="3"/>
    <x v="2"/>
    <s v="P103"/>
    <x v="0"/>
    <x v="0"/>
    <s v="Laptop"/>
    <x v="0"/>
    <n v="5"/>
    <n v="62000"/>
    <n v="0.2"/>
    <x v="66"/>
    <n v="52000"/>
    <n v="-12000"/>
    <n v="-4.8387096774193547E-2"/>
    <x v="4"/>
    <x v="1"/>
    <n v="5"/>
    <x v="0"/>
    <n v="2"/>
    <s v="Average"/>
    <x v="0"/>
    <s v="Q1"/>
    <x v="0"/>
    <s v="Tuesday"/>
    <s v="18-25"/>
    <x v="0"/>
    <s v="High"/>
    <s v="VIP"/>
  </r>
  <r>
    <x v="77"/>
    <x v="71"/>
    <d v="2026-11-23T00:00:00"/>
    <s v="CUST078"/>
    <x v="69"/>
    <s v="Female"/>
    <n v="32"/>
    <s v="Ahmedabad"/>
    <x v="6"/>
    <x v="1"/>
    <s v="P108"/>
    <x v="2"/>
    <x v="2"/>
    <s v="Mixer"/>
    <x v="2"/>
    <n v="2"/>
    <n v="3500"/>
    <n v="0.1"/>
    <x v="67"/>
    <n v="2500"/>
    <n v="1300"/>
    <n v="0.20634920634920634"/>
    <x v="0"/>
    <x v="3"/>
    <n v="3"/>
    <x v="1"/>
    <n v="2"/>
    <s v="Average"/>
    <x v="2"/>
    <s v="Q4"/>
    <x v="0"/>
    <s v="Friday"/>
    <s v="26-35"/>
    <x v="2"/>
    <s v="Medium"/>
    <s v="Bronze"/>
  </r>
  <r>
    <x v="78"/>
    <x v="70"/>
    <d v="2026-01-16T00:00:00"/>
    <s v="CUST079"/>
    <x v="50"/>
    <s v="Female"/>
    <n v="47"/>
    <s v="Hyderabad"/>
    <x v="1"/>
    <x v="0"/>
    <s v="P105"/>
    <x v="3"/>
    <x v="0"/>
    <s v="Television"/>
    <x v="3"/>
    <n v="1"/>
    <n v="42000"/>
    <n v="0.2"/>
    <x v="14"/>
    <n v="35000"/>
    <n v="-1400"/>
    <n v="-4.1666666666666664E-2"/>
    <x v="0"/>
    <x v="2"/>
    <n v="3"/>
    <x v="1"/>
    <n v="5"/>
    <s v="Excellent"/>
    <x v="0"/>
    <s v="Q1"/>
    <x v="0"/>
    <s v="Tuesday"/>
    <s v="46+"/>
    <x v="0"/>
    <s v="High"/>
    <s v="Silver"/>
  </r>
  <r>
    <x v="79"/>
    <x v="72"/>
    <d v="2026-04-10T00:00:00"/>
    <s v="CUST080"/>
    <x v="70"/>
    <s v="Male"/>
    <n v="37"/>
    <s v="Chennai"/>
    <x v="0"/>
    <x v="0"/>
    <s v="P106"/>
    <x v="5"/>
    <x v="0"/>
    <s v="Headphones"/>
    <x v="5"/>
    <n v="4"/>
    <n v="2500"/>
    <n v="0.15"/>
    <x v="68"/>
    <n v="1700"/>
    <n v="1700"/>
    <n v="0.2"/>
    <x v="1"/>
    <x v="0"/>
    <n v="2"/>
    <x v="1"/>
    <n v="3"/>
    <s v="Average"/>
    <x v="3"/>
    <s v="Q2"/>
    <x v="0"/>
    <s v="Wednesday"/>
    <s v="36-45"/>
    <x v="2"/>
    <s v="Medium"/>
    <s v="Bronze"/>
  </r>
  <r>
    <x v="80"/>
    <x v="73"/>
    <d v="2026-09-30T00:00:00"/>
    <s v="CUST081"/>
    <x v="71"/>
    <s v="Female"/>
    <n v="28"/>
    <s v="Chennai"/>
    <x v="0"/>
    <x v="0"/>
    <s v="P101"/>
    <x v="7"/>
    <x v="0"/>
    <s v="Mobile"/>
    <x v="7"/>
    <n v="2"/>
    <n v="28500"/>
    <n v="0.12"/>
    <x v="69"/>
    <n v="22000"/>
    <n v="6160"/>
    <n v="0.12280701754385964"/>
    <x v="3"/>
    <x v="2"/>
    <n v="3"/>
    <x v="0"/>
    <n v="3"/>
    <s v="Average"/>
    <x v="5"/>
    <s v="Q3"/>
    <x v="0"/>
    <s v="Sunday"/>
    <s v="26-35"/>
    <x v="0"/>
    <s v="Medium"/>
    <s v="Gold"/>
  </r>
  <r>
    <x v="81"/>
    <x v="48"/>
    <d v="2026-01-21T00:00:00"/>
    <s v="CUST082"/>
    <x v="72"/>
    <s v="Male"/>
    <n v="31"/>
    <s v="Ahmedabad"/>
    <x v="6"/>
    <x v="1"/>
    <s v="P106"/>
    <x v="5"/>
    <x v="0"/>
    <s v="Headphones"/>
    <x v="5"/>
    <n v="5"/>
    <n v="2500"/>
    <n v="0.05"/>
    <x v="70"/>
    <n v="1700"/>
    <n v="3375"/>
    <n v="0.28421052631578947"/>
    <x v="5"/>
    <x v="0"/>
    <n v="2"/>
    <x v="1"/>
    <n v="5"/>
    <s v="Excellent"/>
    <x v="0"/>
    <s v="Q1"/>
    <x v="0"/>
    <s v="Monday"/>
    <s v="26-35"/>
    <x v="1"/>
    <s v="Low"/>
    <s v="Bronze"/>
  </r>
  <r>
    <x v="82"/>
    <x v="74"/>
    <d v="2026-02-13T00:00:00"/>
    <s v="CUST083"/>
    <x v="73"/>
    <s v="Male"/>
    <n v="22"/>
    <s v="Chennai"/>
    <x v="0"/>
    <x v="0"/>
    <s v="P103"/>
    <x v="0"/>
    <x v="0"/>
    <s v="Laptop"/>
    <x v="0"/>
    <n v="1"/>
    <n v="62000"/>
    <n v="0.05"/>
    <x v="71"/>
    <n v="52000"/>
    <n v="6900"/>
    <n v="0.11714770797962648"/>
    <x v="5"/>
    <x v="1"/>
    <n v="4"/>
    <x v="0"/>
    <n v="4"/>
    <s v="Excellent"/>
    <x v="9"/>
    <s v="Q1"/>
    <x v="0"/>
    <s v="Monday"/>
    <s v="18-25"/>
    <x v="0"/>
    <s v="Low"/>
    <s v="Gold"/>
  </r>
  <r>
    <x v="83"/>
    <x v="75"/>
    <d v="2026-05-30T00:00:00"/>
    <s v="CUST084"/>
    <x v="74"/>
    <s v="Male"/>
    <n v="23"/>
    <s v="Bengaluru"/>
    <x v="5"/>
    <x v="0"/>
    <s v="P103"/>
    <x v="0"/>
    <x v="0"/>
    <s v="Laptop"/>
    <x v="0"/>
    <n v="3"/>
    <n v="62000"/>
    <n v="0.2"/>
    <x v="72"/>
    <n v="52000"/>
    <n v="-7200"/>
    <n v="-4.8387096774193547E-2"/>
    <x v="1"/>
    <x v="3"/>
    <n v="3"/>
    <x v="0"/>
    <n v="3"/>
    <s v="Average"/>
    <x v="7"/>
    <s v="Q2"/>
    <x v="0"/>
    <s v="Wednesday"/>
    <s v="18-25"/>
    <x v="0"/>
    <s v="High"/>
    <s v="VIP"/>
  </r>
  <r>
    <x v="84"/>
    <x v="76"/>
    <d v="2026-10-11T00:00:00"/>
    <s v="CUST085"/>
    <x v="75"/>
    <s v="Female"/>
    <n v="41"/>
    <s v="Ahmedabad"/>
    <x v="6"/>
    <x v="1"/>
    <s v="P103"/>
    <x v="0"/>
    <x v="0"/>
    <s v="Laptop"/>
    <x v="0"/>
    <n v="3"/>
    <n v="62000"/>
    <n v="0.2"/>
    <x v="72"/>
    <n v="52000"/>
    <n v="-7200"/>
    <n v="-4.8387096774193547E-2"/>
    <x v="5"/>
    <x v="2"/>
    <n v="5"/>
    <x v="0"/>
    <n v="4"/>
    <s v="Excellent"/>
    <x v="1"/>
    <s v="Q4"/>
    <x v="0"/>
    <s v="Tuesday"/>
    <s v="36-45"/>
    <x v="0"/>
    <s v="High"/>
    <s v="VIP"/>
  </r>
  <r>
    <x v="85"/>
    <x v="77"/>
    <d v="2026-09-27T00:00:00"/>
    <s v="CUST086"/>
    <x v="76"/>
    <s v="Male"/>
    <n v="33"/>
    <s v="Chennai"/>
    <x v="0"/>
    <x v="0"/>
    <s v="P101"/>
    <x v="7"/>
    <x v="0"/>
    <s v="Mobile"/>
    <x v="7"/>
    <n v="4"/>
    <n v="28500"/>
    <n v="0.1"/>
    <x v="73"/>
    <n v="22000"/>
    <n v="14600"/>
    <n v="0.14230019493177387"/>
    <x v="0"/>
    <x v="0"/>
    <n v="6"/>
    <x v="0"/>
    <n v="2"/>
    <s v="Average"/>
    <x v="5"/>
    <s v="Q3"/>
    <x v="0"/>
    <s v="Monday"/>
    <s v="26-35"/>
    <x v="0"/>
    <s v="Medium"/>
    <s v="VIP"/>
  </r>
  <r>
    <x v="86"/>
    <x v="43"/>
    <d v="2026-12-20T00:00:00"/>
    <s v="CUST087"/>
    <x v="77"/>
    <s v="Male"/>
    <n v="33"/>
    <s v="Ahmedabad"/>
    <x v="6"/>
    <x v="1"/>
    <s v="P101"/>
    <x v="7"/>
    <x v="0"/>
    <s v="Mobile"/>
    <x v="7"/>
    <n v="5"/>
    <n v="28500"/>
    <n v="0.05"/>
    <x v="74"/>
    <n v="22000"/>
    <n v="25375"/>
    <n v="0.18744228993536471"/>
    <x v="0"/>
    <x v="1"/>
    <n v="5"/>
    <x v="0"/>
    <n v="3"/>
    <s v="Average"/>
    <x v="8"/>
    <s v="Q4"/>
    <x v="0"/>
    <s v="Tuesday"/>
    <s v="26-35"/>
    <x v="0"/>
    <s v="Low"/>
    <s v="VIP"/>
  </r>
  <r>
    <x v="87"/>
    <x v="78"/>
    <d v="2026-11-17T00:00:00"/>
    <s v="CUST088"/>
    <x v="78"/>
    <s v="Male"/>
    <n v="50"/>
    <s v="Mumbai"/>
    <x v="2"/>
    <x v="1"/>
    <s v="P105"/>
    <x v="3"/>
    <x v="0"/>
    <s v="Television"/>
    <x v="3"/>
    <n v="3"/>
    <n v="42000"/>
    <n v="0.2"/>
    <x v="75"/>
    <n v="35000"/>
    <n v="-4200"/>
    <n v="-4.1666666666666664E-2"/>
    <x v="3"/>
    <x v="2"/>
    <n v="6"/>
    <x v="0"/>
    <n v="3"/>
    <s v="Average"/>
    <x v="2"/>
    <s v="Q4"/>
    <x v="0"/>
    <s v="Wednesday"/>
    <s v="46+"/>
    <x v="0"/>
    <s v="High"/>
    <s v="VIP"/>
  </r>
  <r>
    <x v="88"/>
    <x v="27"/>
    <d v="2026-12-23T00:00:00"/>
    <s v="CUST089"/>
    <x v="79"/>
    <s v="Female"/>
    <n v="44"/>
    <s v="Bengaluru"/>
    <x v="5"/>
    <x v="0"/>
    <s v="P102"/>
    <x v="6"/>
    <x v="0"/>
    <s v="Mobile"/>
    <x v="6"/>
    <n v="1"/>
    <n v="79900"/>
    <n v="0.12"/>
    <x v="76"/>
    <n v="65000"/>
    <n v="5312"/>
    <n v="7.5548981681647517E-2"/>
    <x v="3"/>
    <x v="1"/>
    <n v="4"/>
    <x v="0"/>
    <n v="5"/>
    <s v="Excellent"/>
    <x v="8"/>
    <s v="Q4"/>
    <x v="0"/>
    <s v="Saturday"/>
    <s v="36-45"/>
    <x v="0"/>
    <s v="Medium"/>
    <s v="Gold"/>
  </r>
  <r>
    <x v="89"/>
    <x v="79"/>
    <d v="2026-08-02T00:00:00"/>
    <s v="CUST090"/>
    <x v="80"/>
    <s v="Male"/>
    <n v="45"/>
    <s v="Surat"/>
    <x v="6"/>
    <x v="1"/>
    <s v="P106"/>
    <x v="5"/>
    <x v="0"/>
    <s v="Headphones"/>
    <x v="5"/>
    <n v="2"/>
    <n v="2500"/>
    <n v="0.05"/>
    <x v="77"/>
    <n v="1700"/>
    <n v="1350"/>
    <n v="0.28421052631578947"/>
    <x v="3"/>
    <x v="0"/>
    <n v="2"/>
    <x v="1"/>
    <n v="3"/>
    <s v="Average"/>
    <x v="4"/>
    <s v="Q3"/>
    <x v="0"/>
    <s v="Friday"/>
    <s v="36-45"/>
    <x v="2"/>
    <s v="Low"/>
    <s v="Bronze"/>
  </r>
  <r>
    <x v="90"/>
    <x v="80"/>
    <d v="2026-12-09T00:00:00"/>
    <s v="CUST091"/>
    <x v="81"/>
    <s v="Female"/>
    <n v="31"/>
    <s v="Kolkata"/>
    <x v="3"/>
    <x v="2"/>
    <s v="P108"/>
    <x v="2"/>
    <x v="2"/>
    <s v="Mixer"/>
    <x v="2"/>
    <n v="2"/>
    <n v="3500"/>
    <n v="0.2"/>
    <x v="57"/>
    <n v="2500"/>
    <n v="600"/>
    <n v="0.10714285714285714"/>
    <x v="1"/>
    <x v="1"/>
    <n v="5"/>
    <x v="1"/>
    <n v="3"/>
    <s v="Average"/>
    <x v="8"/>
    <s v="Q4"/>
    <x v="0"/>
    <s v="Friday"/>
    <s v="26-35"/>
    <x v="2"/>
    <s v="High"/>
    <s v="Bronze"/>
  </r>
  <r>
    <x v="91"/>
    <x v="81"/>
    <d v="2026-12-06T00:00:00"/>
    <s v="CUST092"/>
    <x v="82"/>
    <s v="Male"/>
    <n v="49"/>
    <s v="Ahmedabad"/>
    <x v="6"/>
    <x v="1"/>
    <s v="P106"/>
    <x v="5"/>
    <x v="0"/>
    <s v="Headphones"/>
    <x v="5"/>
    <n v="5"/>
    <n v="2500"/>
    <n v="0.15"/>
    <x v="78"/>
    <n v="1700"/>
    <n v="2125"/>
    <n v="0.2"/>
    <x v="1"/>
    <x v="3"/>
    <n v="4"/>
    <x v="1"/>
    <n v="3"/>
    <s v="Average"/>
    <x v="8"/>
    <s v="Q4"/>
    <x v="0"/>
    <s v="Wednesday"/>
    <s v="46+"/>
    <x v="1"/>
    <s v="Medium"/>
    <s v="Bronze"/>
  </r>
  <r>
    <x v="92"/>
    <x v="56"/>
    <d v="2026-04-28T00:00:00"/>
    <s v="CUST093"/>
    <x v="83"/>
    <s v="Male"/>
    <n v="29"/>
    <s v="Bengaluru"/>
    <x v="5"/>
    <x v="0"/>
    <s v="P106"/>
    <x v="5"/>
    <x v="0"/>
    <s v="Headphones"/>
    <x v="5"/>
    <n v="4"/>
    <n v="2500"/>
    <n v="0.2"/>
    <x v="79"/>
    <n v="1700"/>
    <n v="1200"/>
    <n v="0.15"/>
    <x v="2"/>
    <x v="2"/>
    <n v="4"/>
    <x v="1"/>
    <n v="2"/>
    <s v="Average"/>
    <x v="3"/>
    <s v="Q2"/>
    <x v="0"/>
    <s v="Friday"/>
    <s v="26-35"/>
    <x v="2"/>
    <s v="High"/>
    <s v="Bronze"/>
  </r>
  <r>
    <x v="93"/>
    <x v="82"/>
    <d v="2026-09-03T00:00:00"/>
    <s v="CUST094"/>
    <x v="84"/>
    <s v="Female"/>
    <n v="46"/>
    <s v="Kolkata"/>
    <x v="3"/>
    <x v="2"/>
    <s v="P104"/>
    <x v="4"/>
    <x v="0"/>
    <s v="Laptop"/>
    <x v="4"/>
    <n v="4"/>
    <n v="58000"/>
    <n v="0.15"/>
    <x v="80"/>
    <n v="49000"/>
    <n v="1200"/>
    <n v="6.0851926977687626E-3"/>
    <x v="3"/>
    <x v="3"/>
    <n v="4"/>
    <x v="0"/>
    <n v="2"/>
    <s v="Average"/>
    <x v="6"/>
    <s v="Q3"/>
    <x v="0"/>
    <s v="Sunday"/>
    <s v="46+"/>
    <x v="0"/>
    <s v="Medium"/>
    <s v="VIP"/>
  </r>
  <r>
    <x v="94"/>
    <x v="83"/>
    <d v="2026-04-09T00:00:00"/>
    <s v="CUST095"/>
    <x v="48"/>
    <s v="Female"/>
    <n v="36"/>
    <s v="Kolkata"/>
    <x v="3"/>
    <x v="2"/>
    <s v="P101"/>
    <x v="7"/>
    <x v="0"/>
    <s v="Mobile"/>
    <x v="7"/>
    <n v="4"/>
    <n v="28500"/>
    <n v="0.2"/>
    <x v="81"/>
    <n v="22000"/>
    <n v="3200"/>
    <n v="3.5087719298245612E-2"/>
    <x v="2"/>
    <x v="3"/>
    <n v="6"/>
    <x v="0"/>
    <n v="5"/>
    <s v="Excellent"/>
    <x v="3"/>
    <s v="Q2"/>
    <x v="0"/>
    <s v="Friday"/>
    <s v="36-45"/>
    <x v="0"/>
    <s v="High"/>
    <s v="VIP"/>
  </r>
  <r>
    <x v="95"/>
    <x v="84"/>
    <d v="2026-07-12T00:00:00"/>
    <s v="CUST096"/>
    <x v="85"/>
    <s v="Female"/>
    <n v="31"/>
    <s v="Chennai"/>
    <x v="0"/>
    <x v="0"/>
    <s v="P108"/>
    <x v="2"/>
    <x v="2"/>
    <s v="Mixer"/>
    <x v="2"/>
    <n v="3"/>
    <n v="3500"/>
    <n v="0.12"/>
    <x v="82"/>
    <n v="2500"/>
    <n v="1740"/>
    <n v="0.18831168831168832"/>
    <x v="0"/>
    <x v="1"/>
    <n v="4"/>
    <x v="1"/>
    <n v="4"/>
    <s v="Excellent"/>
    <x v="4"/>
    <s v="Q3"/>
    <x v="0"/>
    <s v="Wednesday"/>
    <s v="26-35"/>
    <x v="2"/>
    <s v="Medium"/>
    <s v="Bronze"/>
  </r>
  <r>
    <x v="96"/>
    <x v="85"/>
    <d v="2026-05-20T00:00:00"/>
    <s v="CUST097"/>
    <x v="86"/>
    <s v="Male"/>
    <n v="28"/>
    <s v="Surat"/>
    <x v="6"/>
    <x v="1"/>
    <s v="P105"/>
    <x v="3"/>
    <x v="0"/>
    <s v="Television"/>
    <x v="3"/>
    <n v="3"/>
    <n v="42000"/>
    <n v="0.15"/>
    <x v="62"/>
    <n v="35000"/>
    <n v="2100"/>
    <n v="1.9607843137254902E-2"/>
    <x v="1"/>
    <x v="3"/>
    <n v="6"/>
    <x v="0"/>
    <n v="5"/>
    <s v="Excellent"/>
    <x v="7"/>
    <s v="Q2"/>
    <x v="0"/>
    <s v="Thursday"/>
    <s v="26-35"/>
    <x v="0"/>
    <s v="Medium"/>
    <s v="VIP"/>
  </r>
  <r>
    <x v="97"/>
    <x v="86"/>
    <d v="2026-09-19T00:00:00"/>
    <s v="CUST098"/>
    <x v="87"/>
    <s v="Male"/>
    <n v="26"/>
    <s v="Kolkata"/>
    <x v="3"/>
    <x v="2"/>
    <s v="P106"/>
    <x v="5"/>
    <x v="0"/>
    <s v="Headphones"/>
    <x v="5"/>
    <n v="4"/>
    <n v="2500"/>
    <n v="0.1"/>
    <x v="83"/>
    <n v="1700"/>
    <n v="2200"/>
    <n v="0.24444444444444444"/>
    <x v="1"/>
    <x v="2"/>
    <n v="6"/>
    <x v="1"/>
    <n v="4"/>
    <s v="Excellent"/>
    <x v="5"/>
    <s v="Q3"/>
    <x v="0"/>
    <s v="Sunday"/>
    <s v="26-35"/>
    <x v="2"/>
    <s v="Medium"/>
    <s v="Bronze"/>
  </r>
  <r>
    <x v="98"/>
    <x v="87"/>
    <d v="2026-10-27T00:00:00"/>
    <s v="CUST099"/>
    <x v="88"/>
    <s v="Female"/>
    <n v="39"/>
    <s v="Surat"/>
    <x v="6"/>
    <x v="1"/>
    <s v="P106"/>
    <x v="5"/>
    <x v="0"/>
    <s v="Headphones"/>
    <x v="5"/>
    <n v="4"/>
    <n v="2500"/>
    <n v="0.1"/>
    <x v="83"/>
    <n v="1700"/>
    <n v="2200"/>
    <n v="0.24444444444444444"/>
    <x v="1"/>
    <x v="3"/>
    <n v="3"/>
    <x v="1"/>
    <n v="3"/>
    <s v="Average"/>
    <x v="1"/>
    <s v="Q4"/>
    <x v="0"/>
    <s v="Saturday"/>
    <s v="36-45"/>
    <x v="2"/>
    <s v="Medium"/>
    <s v="Bronze"/>
  </r>
  <r>
    <x v="99"/>
    <x v="88"/>
    <d v="2026-10-23T00:00:00"/>
    <s v="CUST100"/>
    <x v="89"/>
    <s v="Female"/>
    <n v="41"/>
    <s v="Hyderabad"/>
    <x v="1"/>
    <x v="0"/>
    <s v="P106"/>
    <x v="5"/>
    <x v="0"/>
    <s v="Headphones"/>
    <x v="5"/>
    <n v="4"/>
    <n v="2500"/>
    <n v="0.15"/>
    <x v="68"/>
    <n v="1700"/>
    <n v="1700"/>
    <n v="0.2"/>
    <x v="2"/>
    <x v="1"/>
    <n v="3"/>
    <x v="1"/>
    <n v="3"/>
    <s v="Average"/>
    <x v="1"/>
    <s v="Q4"/>
    <x v="0"/>
    <s v="Tuesday"/>
    <s v="36-45"/>
    <x v="2"/>
    <s v="Medium"/>
    <s v="Bronze"/>
  </r>
  <r>
    <x v="100"/>
    <x v="9"/>
    <d v="2026-05-22T00:00:00"/>
    <s v="CUST101"/>
    <x v="64"/>
    <s v="Female"/>
    <n v="46"/>
    <s v="Delhi"/>
    <x v="4"/>
    <x v="3"/>
    <s v="P104"/>
    <x v="4"/>
    <x v="0"/>
    <s v="Laptop"/>
    <x v="4"/>
    <n v="5"/>
    <n v="58000"/>
    <n v="0.08"/>
    <x v="84"/>
    <n v="49000"/>
    <n v="21800"/>
    <n v="8.1709145427286356E-2"/>
    <x v="4"/>
    <x v="2"/>
    <n v="6"/>
    <x v="0"/>
    <n v="5"/>
    <s v="Excellent"/>
    <x v="7"/>
    <s v="Q2"/>
    <x v="0"/>
    <s v="Saturday"/>
    <s v="46+"/>
    <x v="0"/>
    <s v="Medium"/>
    <s v="VIP"/>
  </r>
  <r>
    <x v="101"/>
    <x v="36"/>
    <d v="2026-12-30T00:00:00"/>
    <s v="CUST102"/>
    <x v="90"/>
    <s v="Male"/>
    <n v="46"/>
    <s v="Ahmedabad"/>
    <x v="6"/>
    <x v="1"/>
    <s v="P101"/>
    <x v="7"/>
    <x v="0"/>
    <s v="Mobile"/>
    <x v="7"/>
    <n v="1"/>
    <n v="28500"/>
    <n v="0.2"/>
    <x v="85"/>
    <n v="22000"/>
    <n v="800"/>
    <n v="3.5087719298245612E-2"/>
    <x v="0"/>
    <x v="1"/>
    <n v="2"/>
    <x v="1"/>
    <n v="2"/>
    <s v="Average"/>
    <x v="8"/>
    <s v="Q4"/>
    <x v="0"/>
    <s v="Monday"/>
    <s v="46+"/>
    <x v="1"/>
    <s v="High"/>
    <s v="Silver"/>
  </r>
  <r>
    <x v="102"/>
    <x v="18"/>
    <d v="2026-10-21T00:00:00"/>
    <s v="CUST103"/>
    <x v="91"/>
    <s v="Male"/>
    <n v="29"/>
    <s v="Hyderabad"/>
    <x v="1"/>
    <x v="0"/>
    <s v="P105"/>
    <x v="3"/>
    <x v="0"/>
    <s v="Television"/>
    <x v="3"/>
    <n v="3"/>
    <n v="42000"/>
    <n v="0.15"/>
    <x v="62"/>
    <n v="35000"/>
    <n v="2100"/>
    <n v="1.9607843137254902E-2"/>
    <x v="3"/>
    <x v="1"/>
    <n v="4"/>
    <x v="0"/>
    <n v="3"/>
    <s v="Average"/>
    <x v="1"/>
    <s v="Q4"/>
    <x v="0"/>
    <s v="Saturday"/>
    <s v="26-35"/>
    <x v="0"/>
    <s v="Medium"/>
    <s v="VIP"/>
  </r>
  <r>
    <x v="103"/>
    <x v="89"/>
    <d v="2026-10-07T00:00:00"/>
    <s v="CUST104"/>
    <x v="92"/>
    <s v="Male"/>
    <n v="22"/>
    <s v="Hyderabad"/>
    <x v="1"/>
    <x v="0"/>
    <s v="P105"/>
    <x v="3"/>
    <x v="0"/>
    <s v="Television"/>
    <x v="3"/>
    <n v="3"/>
    <n v="42000"/>
    <n v="0.15"/>
    <x v="62"/>
    <n v="35000"/>
    <n v="2100"/>
    <n v="1.9607843137254902E-2"/>
    <x v="2"/>
    <x v="0"/>
    <n v="2"/>
    <x v="0"/>
    <n v="2"/>
    <s v="Average"/>
    <x v="1"/>
    <s v="Q4"/>
    <x v="0"/>
    <s v="Monday"/>
    <s v="18-25"/>
    <x v="0"/>
    <s v="Medium"/>
    <s v="VIP"/>
  </r>
  <r>
    <x v="104"/>
    <x v="90"/>
    <d v="2026-06-11T00:00:00"/>
    <s v="CUST105"/>
    <x v="85"/>
    <s v="Female"/>
    <n v="26"/>
    <s v="Mumbai"/>
    <x v="2"/>
    <x v="1"/>
    <s v="P104"/>
    <x v="4"/>
    <x v="0"/>
    <s v="Laptop"/>
    <x v="4"/>
    <n v="5"/>
    <n v="58000"/>
    <n v="0.08"/>
    <x v="84"/>
    <n v="49000"/>
    <n v="21800"/>
    <n v="8.1709145427286356E-2"/>
    <x v="4"/>
    <x v="3"/>
    <n v="5"/>
    <x v="0"/>
    <n v="5"/>
    <s v="Excellent"/>
    <x v="11"/>
    <s v="Q2"/>
    <x v="0"/>
    <s v="Saturday"/>
    <s v="26-35"/>
    <x v="0"/>
    <s v="Medium"/>
    <s v="VIP"/>
  </r>
  <r>
    <x v="105"/>
    <x v="91"/>
    <d v="2026-08-26T00:00:00"/>
    <s v="CUST106"/>
    <x v="7"/>
    <s v="Female"/>
    <n v="26"/>
    <s v="Surat"/>
    <x v="6"/>
    <x v="1"/>
    <s v="P105"/>
    <x v="3"/>
    <x v="0"/>
    <s v="Television"/>
    <x v="3"/>
    <n v="3"/>
    <n v="42000"/>
    <n v="0.1"/>
    <x v="86"/>
    <n v="35000"/>
    <n v="8400"/>
    <n v="7.407407407407407E-2"/>
    <x v="3"/>
    <x v="3"/>
    <n v="4"/>
    <x v="0"/>
    <n v="5"/>
    <s v="Excellent"/>
    <x v="6"/>
    <s v="Q3"/>
    <x v="0"/>
    <s v="Saturday"/>
    <s v="26-35"/>
    <x v="0"/>
    <s v="Medium"/>
    <s v="VIP"/>
  </r>
  <r>
    <x v="106"/>
    <x v="60"/>
    <d v="2026-07-04T00:00:00"/>
    <s v="CUST107"/>
    <x v="93"/>
    <s v="Male"/>
    <n v="47"/>
    <s v="Kolkata"/>
    <x v="3"/>
    <x v="2"/>
    <s v="P107"/>
    <x v="1"/>
    <x v="1"/>
    <s v="Shoes"/>
    <x v="1"/>
    <n v="2"/>
    <n v="4500"/>
    <n v="0.1"/>
    <x v="36"/>
    <n v="3000"/>
    <n v="2100"/>
    <n v="0.25925925925925924"/>
    <x v="1"/>
    <x v="2"/>
    <n v="4"/>
    <x v="1"/>
    <n v="3"/>
    <s v="Average"/>
    <x v="11"/>
    <s v="Q2"/>
    <x v="0"/>
    <s v="Tuesday"/>
    <s v="46+"/>
    <x v="2"/>
    <s v="Medium"/>
    <s v="Bronze"/>
  </r>
  <r>
    <x v="107"/>
    <x v="30"/>
    <d v="2026-06-19T00:00:00"/>
    <s v="CUST108"/>
    <x v="88"/>
    <s v="Female"/>
    <n v="33"/>
    <s v="Delhi"/>
    <x v="4"/>
    <x v="3"/>
    <s v="P104"/>
    <x v="4"/>
    <x v="0"/>
    <s v="Laptop"/>
    <x v="4"/>
    <n v="5"/>
    <n v="58000"/>
    <n v="0.15"/>
    <x v="87"/>
    <n v="49000"/>
    <n v="1500"/>
    <n v="6.0851926977687626E-3"/>
    <x v="5"/>
    <x v="3"/>
    <n v="2"/>
    <x v="0"/>
    <n v="2"/>
    <s v="Average"/>
    <x v="11"/>
    <s v="Q2"/>
    <x v="0"/>
    <s v="Wednesday"/>
    <s v="26-35"/>
    <x v="0"/>
    <s v="Medium"/>
    <s v="VIP"/>
  </r>
  <r>
    <x v="108"/>
    <x v="92"/>
    <d v="2026-08-10T00:00:00"/>
    <s v="CUST109"/>
    <x v="44"/>
    <s v="Female"/>
    <n v="44"/>
    <s v="Ahmedabad"/>
    <x v="6"/>
    <x v="1"/>
    <s v="P108"/>
    <x v="2"/>
    <x v="2"/>
    <s v="Mixer"/>
    <x v="2"/>
    <n v="4"/>
    <n v="3500"/>
    <n v="0.05"/>
    <x v="88"/>
    <n v="2500"/>
    <n v="3300"/>
    <n v="0.24812030075187969"/>
    <x v="4"/>
    <x v="3"/>
    <n v="3"/>
    <x v="1"/>
    <n v="4"/>
    <s v="Excellent"/>
    <x v="6"/>
    <s v="Q3"/>
    <x v="0"/>
    <s v="Friday"/>
    <s v="36-45"/>
    <x v="1"/>
    <s v="Low"/>
    <s v="Bronze"/>
  </r>
  <r>
    <x v="109"/>
    <x v="93"/>
    <d v="2026-02-21T00:00:00"/>
    <s v="CUST110"/>
    <x v="87"/>
    <s v="Male"/>
    <n v="27"/>
    <s v="Bengaluru"/>
    <x v="5"/>
    <x v="0"/>
    <s v="P107"/>
    <x v="1"/>
    <x v="1"/>
    <s v="Shoes"/>
    <x v="1"/>
    <n v="1"/>
    <n v="4500"/>
    <n v="0.12"/>
    <x v="89"/>
    <n v="3000"/>
    <n v="960"/>
    <n v="0.24242424242424243"/>
    <x v="3"/>
    <x v="2"/>
    <n v="4"/>
    <x v="1"/>
    <n v="3"/>
    <s v="Average"/>
    <x v="9"/>
    <s v="Q1"/>
    <x v="0"/>
    <s v="Tuesday"/>
    <s v="26-35"/>
    <x v="2"/>
    <s v="Medium"/>
    <s v="Bronze"/>
  </r>
  <r>
    <x v="110"/>
    <x v="94"/>
    <d v="2026-03-28T00:00:00"/>
    <s v="CUST111"/>
    <x v="94"/>
    <s v="Male"/>
    <n v="40"/>
    <s v="Chennai"/>
    <x v="0"/>
    <x v="0"/>
    <s v="P107"/>
    <x v="1"/>
    <x v="1"/>
    <s v="Shoes"/>
    <x v="1"/>
    <n v="5"/>
    <n v="4500"/>
    <n v="0.2"/>
    <x v="24"/>
    <n v="3000"/>
    <n v="3000"/>
    <n v="0.16666666666666666"/>
    <x v="1"/>
    <x v="3"/>
    <n v="2"/>
    <x v="1"/>
    <n v="5"/>
    <s v="Excellent"/>
    <x v="10"/>
    <s v="Q1"/>
    <x v="0"/>
    <s v="Thursday"/>
    <s v="36-45"/>
    <x v="1"/>
    <s v="High"/>
    <s v="Silver"/>
  </r>
  <r>
    <x v="111"/>
    <x v="95"/>
    <d v="2026-04-29T00:00:00"/>
    <s v="CUST112"/>
    <x v="90"/>
    <s v="Male"/>
    <n v="32"/>
    <s v="Bengaluru"/>
    <x v="5"/>
    <x v="0"/>
    <s v="P108"/>
    <x v="2"/>
    <x v="2"/>
    <s v="Mixer"/>
    <x v="2"/>
    <n v="5"/>
    <n v="3500"/>
    <n v="0.12"/>
    <x v="63"/>
    <n v="2500"/>
    <n v="2900"/>
    <n v="0.18831168831168832"/>
    <x v="5"/>
    <x v="1"/>
    <n v="2"/>
    <x v="1"/>
    <n v="2"/>
    <s v="Average"/>
    <x v="3"/>
    <s v="Q2"/>
    <x v="0"/>
    <s v="Monday"/>
    <s v="26-35"/>
    <x v="1"/>
    <s v="Medium"/>
    <s v="Silver"/>
  </r>
  <r>
    <x v="112"/>
    <x v="96"/>
    <d v="2026-07-26T00:00:00"/>
    <s v="CUST113"/>
    <x v="18"/>
    <s v="Female"/>
    <n v="39"/>
    <s v="Hyderabad"/>
    <x v="1"/>
    <x v="0"/>
    <s v="P105"/>
    <x v="3"/>
    <x v="0"/>
    <s v="Television"/>
    <x v="3"/>
    <n v="4"/>
    <n v="42000"/>
    <n v="0.1"/>
    <x v="90"/>
    <n v="35000"/>
    <n v="11200"/>
    <n v="7.407407407407407E-2"/>
    <x v="1"/>
    <x v="1"/>
    <n v="2"/>
    <x v="0"/>
    <n v="4"/>
    <s v="Excellent"/>
    <x v="4"/>
    <s v="Q3"/>
    <x v="0"/>
    <s v="Friday"/>
    <s v="36-45"/>
    <x v="0"/>
    <s v="Medium"/>
    <s v="VIP"/>
  </r>
  <r>
    <x v="113"/>
    <x v="97"/>
    <d v="2026-06-07T00:00:00"/>
    <s v="CUST114"/>
    <x v="61"/>
    <s v="Female"/>
    <n v="39"/>
    <s v="Mumbai"/>
    <x v="2"/>
    <x v="1"/>
    <s v="P104"/>
    <x v="4"/>
    <x v="0"/>
    <s v="Laptop"/>
    <x v="4"/>
    <n v="4"/>
    <n v="58000"/>
    <n v="0.08"/>
    <x v="91"/>
    <n v="49000"/>
    <n v="17440"/>
    <n v="8.1709145427286356E-2"/>
    <x v="0"/>
    <x v="0"/>
    <n v="4"/>
    <x v="0"/>
    <n v="5"/>
    <s v="Excellent"/>
    <x v="11"/>
    <s v="Q2"/>
    <x v="0"/>
    <s v="Wednesday"/>
    <s v="36-45"/>
    <x v="0"/>
    <s v="Medium"/>
    <s v="VIP"/>
  </r>
  <r>
    <x v="114"/>
    <x v="11"/>
    <d v="2026-05-10T00:00:00"/>
    <s v="CUST115"/>
    <x v="62"/>
    <s v="Male"/>
    <n v="26"/>
    <s v="Mumbai"/>
    <x v="2"/>
    <x v="1"/>
    <s v="P101"/>
    <x v="7"/>
    <x v="0"/>
    <s v="Mobile"/>
    <x v="7"/>
    <n v="4"/>
    <n v="28500"/>
    <n v="0.15"/>
    <x v="92"/>
    <n v="22000"/>
    <n v="8900"/>
    <n v="9.1847265221878222E-2"/>
    <x v="1"/>
    <x v="1"/>
    <n v="4"/>
    <x v="0"/>
    <n v="3"/>
    <s v="Average"/>
    <x v="7"/>
    <s v="Q2"/>
    <x v="0"/>
    <s v="Wednesday"/>
    <s v="26-35"/>
    <x v="0"/>
    <s v="Medium"/>
    <s v="VIP"/>
  </r>
  <r>
    <x v="115"/>
    <x v="98"/>
    <d v="2026-09-03T00:00:00"/>
    <s v="CUST116"/>
    <x v="95"/>
    <s v="Female"/>
    <n v="38"/>
    <s v="Ahmedabad"/>
    <x v="6"/>
    <x v="1"/>
    <s v="P107"/>
    <x v="1"/>
    <x v="1"/>
    <s v="Shoes"/>
    <x v="1"/>
    <n v="1"/>
    <n v="4500"/>
    <n v="0.05"/>
    <x v="93"/>
    <n v="3000"/>
    <n v="1275"/>
    <n v="0.2982456140350877"/>
    <x v="1"/>
    <x v="0"/>
    <n v="2"/>
    <x v="1"/>
    <n v="4"/>
    <s v="Excellent"/>
    <x v="5"/>
    <s v="Q3"/>
    <x v="0"/>
    <s v="Tuesday"/>
    <s v="36-45"/>
    <x v="2"/>
    <s v="Low"/>
    <s v="Bronze"/>
  </r>
  <r>
    <x v="116"/>
    <x v="99"/>
    <d v="2026-08-09T00:00:00"/>
    <s v="CUST117"/>
    <x v="12"/>
    <s v="Female"/>
    <n v="37"/>
    <s v="Bengaluru"/>
    <x v="5"/>
    <x v="0"/>
    <s v="P102"/>
    <x v="6"/>
    <x v="0"/>
    <s v="Mobile"/>
    <x v="6"/>
    <n v="2"/>
    <n v="79900"/>
    <n v="0.05"/>
    <x v="17"/>
    <n v="65000"/>
    <n v="21810"/>
    <n v="0.14366642513668401"/>
    <x v="0"/>
    <x v="1"/>
    <n v="4"/>
    <x v="0"/>
    <n v="2"/>
    <s v="Average"/>
    <x v="6"/>
    <s v="Q3"/>
    <x v="0"/>
    <s v="Wednesday"/>
    <s v="36-45"/>
    <x v="0"/>
    <s v="Low"/>
    <s v="VIP"/>
  </r>
  <r>
    <x v="117"/>
    <x v="100"/>
    <d v="2026-09-17T00:00:00"/>
    <s v="CUST118"/>
    <x v="50"/>
    <s v="Male"/>
    <n v="42"/>
    <s v="Hyderabad"/>
    <x v="1"/>
    <x v="0"/>
    <s v="P106"/>
    <x v="5"/>
    <x v="0"/>
    <s v="Headphones"/>
    <x v="5"/>
    <n v="1"/>
    <n v="2500"/>
    <n v="0.1"/>
    <x v="94"/>
    <n v="1700"/>
    <n v="550"/>
    <n v="0.24444444444444444"/>
    <x v="5"/>
    <x v="2"/>
    <n v="5"/>
    <x v="1"/>
    <n v="4"/>
    <s v="Excellent"/>
    <x v="5"/>
    <s v="Q3"/>
    <x v="0"/>
    <s v="Saturday"/>
    <s v="36-45"/>
    <x v="2"/>
    <s v="Medium"/>
    <s v="Bronze"/>
  </r>
  <r>
    <x v="118"/>
    <x v="101"/>
    <d v="2026-01-07T00:00:00"/>
    <s v="CUST119"/>
    <x v="31"/>
    <s v="Female"/>
    <n v="39"/>
    <s v="Mumbai"/>
    <x v="2"/>
    <x v="1"/>
    <s v="P105"/>
    <x v="3"/>
    <x v="0"/>
    <s v="Television"/>
    <x v="3"/>
    <n v="4"/>
    <n v="42000"/>
    <n v="0.08"/>
    <x v="95"/>
    <n v="35000"/>
    <n v="14560"/>
    <n v="9.420289855072464E-2"/>
    <x v="3"/>
    <x v="0"/>
    <n v="5"/>
    <x v="0"/>
    <n v="4"/>
    <s v="Excellent"/>
    <x v="0"/>
    <s v="Q1"/>
    <x v="0"/>
    <s v="Friday"/>
    <s v="36-45"/>
    <x v="0"/>
    <s v="Medium"/>
    <s v="VIP"/>
  </r>
  <r>
    <x v="119"/>
    <x v="102"/>
    <d v="2026-09-17T00:00:00"/>
    <s v="CUST120"/>
    <x v="96"/>
    <s v="Female"/>
    <n v="35"/>
    <s v="Delhi"/>
    <x v="4"/>
    <x v="3"/>
    <s v="P106"/>
    <x v="5"/>
    <x v="0"/>
    <s v="Headphones"/>
    <x v="5"/>
    <n v="4"/>
    <n v="2500"/>
    <n v="0.12"/>
    <x v="96"/>
    <n v="1700"/>
    <n v="2000"/>
    <n v="0.22727272727272727"/>
    <x v="3"/>
    <x v="3"/>
    <n v="3"/>
    <x v="1"/>
    <n v="5"/>
    <s v="Excellent"/>
    <x v="5"/>
    <s v="Q3"/>
    <x v="0"/>
    <s v="Monday"/>
    <s v="26-35"/>
    <x v="2"/>
    <s v="Medium"/>
    <s v="Bronze"/>
  </r>
  <r>
    <x v="120"/>
    <x v="92"/>
    <d v="2026-08-10T00:00:00"/>
    <s v="CUST121"/>
    <x v="94"/>
    <s v="Female"/>
    <n v="34"/>
    <s v="Hyderabad"/>
    <x v="1"/>
    <x v="0"/>
    <s v="P105"/>
    <x v="3"/>
    <x v="0"/>
    <s v="Television"/>
    <x v="3"/>
    <n v="2"/>
    <n v="42000"/>
    <n v="0.15"/>
    <x v="97"/>
    <n v="35000"/>
    <n v="1400"/>
    <n v="1.9607843137254902E-2"/>
    <x v="1"/>
    <x v="3"/>
    <n v="3"/>
    <x v="0"/>
    <n v="3"/>
    <s v="Average"/>
    <x v="6"/>
    <s v="Q3"/>
    <x v="0"/>
    <s v="Friday"/>
    <s v="26-35"/>
    <x v="0"/>
    <s v="Medium"/>
    <s v="Gold"/>
  </r>
  <r>
    <x v="121"/>
    <x v="103"/>
    <d v="2026-09-08T00:00:00"/>
    <s v="CUST122"/>
    <x v="89"/>
    <s v="Male"/>
    <n v="45"/>
    <s v="Surat"/>
    <x v="6"/>
    <x v="1"/>
    <s v="P106"/>
    <x v="5"/>
    <x v="0"/>
    <s v="Headphones"/>
    <x v="5"/>
    <n v="2"/>
    <n v="2500"/>
    <n v="0.15"/>
    <x v="98"/>
    <n v="1700"/>
    <n v="850"/>
    <n v="0.2"/>
    <x v="3"/>
    <x v="2"/>
    <n v="2"/>
    <x v="1"/>
    <n v="2"/>
    <s v="Average"/>
    <x v="5"/>
    <s v="Q3"/>
    <x v="0"/>
    <s v="Sunday"/>
    <s v="36-45"/>
    <x v="2"/>
    <s v="Medium"/>
    <s v="Bronze"/>
  </r>
  <r>
    <x v="122"/>
    <x v="23"/>
    <d v="2026-08-24T00:00:00"/>
    <s v="CUST123"/>
    <x v="97"/>
    <s v="Male"/>
    <n v="43"/>
    <s v="Ahmedabad"/>
    <x v="6"/>
    <x v="1"/>
    <s v="P103"/>
    <x v="0"/>
    <x v="0"/>
    <s v="Laptop"/>
    <x v="0"/>
    <n v="4"/>
    <n v="62000"/>
    <n v="0.15"/>
    <x v="99"/>
    <n v="52000"/>
    <n v="2800"/>
    <n v="1.3282732447817837E-2"/>
    <x v="3"/>
    <x v="2"/>
    <n v="3"/>
    <x v="0"/>
    <n v="4"/>
    <s v="Excellent"/>
    <x v="6"/>
    <s v="Q3"/>
    <x v="0"/>
    <s v="Friday"/>
    <s v="36-45"/>
    <x v="0"/>
    <s v="Medium"/>
    <s v="VIP"/>
  </r>
  <r>
    <x v="123"/>
    <x v="104"/>
    <d v="2026-05-22T00:00:00"/>
    <s v="CUST124"/>
    <x v="98"/>
    <s v="Male"/>
    <n v="32"/>
    <s v="Surat"/>
    <x v="6"/>
    <x v="1"/>
    <s v="P102"/>
    <x v="6"/>
    <x v="0"/>
    <s v="Mobile"/>
    <x v="6"/>
    <n v="2"/>
    <n v="79900"/>
    <n v="0.2"/>
    <x v="100"/>
    <n v="65000"/>
    <n v="-2160"/>
    <n v="-1.6896120150187734E-2"/>
    <x v="5"/>
    <x v="3"/>
    <n v="3"/>
    <x v="0"/>
    <n v="2"/>
    <s v="Average"/>
    <x v="7"/>
    <s v="Q2"/>
    <x v="0"/>
    <s v="Tuesday"/>
    <s v="26-35"/>
    <x v="0"/>
    <s v="High"/>
    <s v="VIP"/>
  </r>
  <r>
    <x v="124"/>
    <x v="105"/>
    <d v="2026-01-16T00:00:00"/>
    <s v="CUST125"/>
    <x v="70"/>
    <s v="Female"/>
    <n v="32"/>
    <s v="Delhi"/>
    <x v="4"/>
    <x v="3"/>
    <s v="P105"/>
    <x v="3"/>
    <x v="0"/>
    <s v="Television"/>
    <x v="3"/>
    <n v="4"/>
    <n v="42000"/>
    <n v="0.15"/>
    <x v="101"/>
    <n v="35000"/>
    <n v="2800"/>
    <n v="1.9607843137254902E-2"/>
    <x v="1"/>
    <x v="0"/>
    <n v="4"/>
    <x v="0"/>
    <n v="5"/>
    <s v="Excellent"/>
    <x v="0"/>
    <s v="Q1"/>
    <x v="0"/>
    <s v="Monday"/>
    <s v="26-35"/>
    <x v="0"/>
    <s v="Medium"/>
    <s v="VIP"/>
  </r>
  <r>
    <x v="125"/>
    <x v="106"/>
    <d v="2026-09-05T00:00:00"/>
    <s v="CUST126"/>
    <x v="24"/>
    <s v="Female"/>
    <n v="45"/>
    <s v="Bengaluru"/>
    <x v="5"/>
    <x v="0"/>
    <s v="P103"/>
    <x v="0"/>
    <x v="0"/>
    <s v="Laptop"/>
    <x v="0"/>
    <n v="2"/>
    <n v="62000"/>
    <n v="0.1"/>
    <x v="102"/>
    <n v="52000"/>
    <n v="7600"/>
    <n v="6.8100358422939072E-2"/>
    <x v="2"/>
    <x v="3"/>
    <n v="3"/>
    <x v="0"/>
    <n v="5"/>
    <s v="Excellent"/>
    <x v="5"/>
    <s v="Q3"/>
    <x v="0"/>
    <s v="Wednesday"/>
    <s v="36-45"/>
    <x v="0"/>
    <s v="Medium"/>
    <s v="VIP"/>
  </r>
  <r>
    <x v="126"/>
    <x v="107"/>
    <d v="2026-01-08T00:00:00"/>
    <s v="CUST127"/>
    <x v="75"/>
    <s v="Male"/>
    <n v="35"/>
    <s v="Bengaluru"/>
    <x v="5"/>
    <x v="0"/>
    <s v="P101"/>
    <x v="7"/>
    <x v="0"/>
    <s v="Mobile"/>
    <x v="7"/>
    <n v="3"/>
    <n v="28500"/>
    <n v="0.15"/>
    <x v="103"/>
    <n v="22000"/>
    <n v="6675"/>
    <n v="9.1847265221878222E-2"/>
    <x v="4"/>
    <x v="2"/>
    <n v="2"/>
    <x v="0"/>
    <n v="5"/>
    <s v="Excellent"/>
    <x v="0"/>
    <s v="Q1"/>
    <x v="0"/>
    <s v="Tuesday"/>
    <s v="26-35"/>
    <x v="0"/>
    <s v="Medium"/>
    <s v="Gold"/>
  </r>
  <r>
    <x v="127"/>
    <x v="108"/>
    <d v="2026-01-24T00:00:00"/>
    <s v="CUST128"/>
    <x v="99"/>
    <s v="Female"/>
    <n v="29"/>
    <s v="Ahmedabad"/>
    <x v="6"/>
    <x v="1"/>
    <s v="P105"/>
    <x v="3"/>
    <x v="0"/>
    <s v="Television"/>
    <x v="3"/>
    <n v="4"/>
    <n v="42000"/>
    <n v="0.15"/>
    <x v="101"/>
    <n v="35000"/>
    <n v="2800"/>
    <n v="1.9607843137254902E-2"/>
    <x v="2"/>
    <x v="1"/>
    <n v="6"/>
    <x v="0"/>
    <n v="5"/>
    <s v="Excellent"/>
    <x v="0"/>
    <s v="Q1"/>
    <x v="0"/>
    <s v="Sunday"/>
    <s v="26-35"/>
    <x v="0"/>
    <s v="Medium"/>
    <s v="VIP"/>
  </r>
  <r>
    <x v="128"/>
    <x v="16"/>
    <d v="2026-04-02T00:00:00"/>
    <s v="CUST129"/>
    <x v="100"/>
    <s v="Female"/>
    <n v="45"/>
    <s v="Chennai"/>
    <x v="0"/>
    <x v="0"/>
    <s v="P108"/>
    <x v="2"/>
    <x v="2"/>
    <s v="Mixer"/>
    <x v="2"/>
    <n v="5"/>
    <n v="3500"/>
    <n v="0.05"/>
    <x v="104"/>
    <n v="2500"/>
    <n v="4125"/>
    <n v="0.24812030075187969"/>
    <x v="5"/>
    <x v="0"/>
    <n v="4"/>
    <x v="1"/>
    <n v="4"/>
    <s v="Excellent"/>
    <x v="10"/>
    <s v="Q1"/>
    <x v="0"/>
    <s v="Sunday"/>
    <s v="36-45"/>
    <x v="1"/>
    <s v="Low"/>
    <s v="Silver"/>
  </r>
  <r>
    <x v="129"/>
    <x v="109"/>
    <d v="2026-09-23T00:00:00"/>
    <s v="CUST130"/>
    <x v="101"/>
    <s v="Male"/>
    <n v="34"/>
    <s v="Kolkata"/>
    <x v="3"/>
    <x v="2"/>
    <s v="P101"/>
    <x v="7"/>
    <x v="0"/>
    <s v="Mobile"/>
    <x v="7"/>
    <n v="3"/>
    <n v="28500"/>
    <n v="0.15"/>
    <x v="103"/>
    <n v="22000"/>
    <n v="6675"/>
    <n v="9.1847265221878222E-2"/>
    <x v="4"/>
    <x v="1"/>
    <n v="6"/>
    <x v="0"/>
    <n v="5"/>
    <s v="Excellent"/>
    <x v="5"/>
    <s v="Q3"/>
    <x v="0"/>
    <s v="Thursday"/>
    <s v="26-35"/>
    <x v="0"/>
    <s v="Medium"/>
    <s v="Gold"/>
  </r>
  <r>
    <x v="130"/>
    <x v="104"/>
    <d v="2026-05-24T00:00:00"/>
    <s v="CUST131"/>
    <x v="102"/>
    <s v="Female"/>
    <n v="31"/>
    <s v="Surat"/>
    <x v="6"/>
    <x v="1"/>
    <s v="P104"/>
    <x v="4"/>
    <x v="0"/>
    <s v="Laptop"/>
    <x v="4"/>
    <n v="4"/>
    <n v="58000"/>
    <n v="0.1"/>
    <x v="105"/>
    <n v="49000"/>
    <n v="12800"/>
    <n v="6.1302681992337162E-2"/>
    <x v="0"/>
    <x v="1"/>
    <n v="5"/>
    <x v="0"/>
    <n v="4"/>
    <s v="Excellent"/>
    <x v="7"/>
    <s v="Q2"/>
    <x v="0"/>
    <s v="Tuesday"/>
    <s v="26-35"/>
    <x v="0"/>
    <s v="Medium"/>
    <s v="VIP"/>
  </r>
  <r>
    <x v="131"/>
    <x v="110"/>
    <d v="2026-08-03T00:00:00"/>
    <s v="CUST132"/>
    <x v="13"/>
    <s v="Female"/>
    <n v="41"/>
    <s v="Bengaluru"/>
    <x v="5"/>
    <x v="0"/>
    <s v="P105"/>
    <x v="3"/>
    <x v="0"/>
    <s v="Television"/>
    <x v="3"/>
    <n v="2"/>
    <n v="42000"/>
    <n v="0.2"/>
    <x v="58"/>
    <n v="35000"/>
    <n v="-2800"/>
    <n v="-4.1666666666666664E-2"/>
    <x v="2"/>
    <x v="1"/>
    <n v="6"/>
    <x v="0"/>
    <n v="2"/>
    <s v="Average"/>
    <x v="4"/>
    <s v="Q3"/>
    <x v="0"/>
    <s v="Tuesday"/>
    <s v="36-45"/>
    <x v="0"/>
    <s v="High"/>
    <s v="Gold"/>
  </r>
  <r>
    <x v="132"/>
    <x v="111"/>
    <d v="2026-07-13T00:00:00"/>
    <s v="CUST133"/>
    <x v="103"/>
    <s v="Female"/>
    <n v="20"/>
    <s v="Bengaluru"/>
    <x v="5"/>
    <x v="0"/>
    <s v="P107"/>
    <x v="1"/>
    <x v="1"/>
    <s v="Shoes"/>
    <x v="1"/>
    <n v="4"/>
    <n v="4500"/>
    <n v="0.15"/>
    <x v="106"/>
    <n v="3000"/>
    <n v="3300"/>
    <n v="0.21568627450980393"/>
    <x v="0"/>
    <x v="3"/>
    <n v="2"/>
    <x v="1"/>
    <n v="5"/>
    <s v="Excellent"/>
    <x v="4"/>
    <s v="Q3"/>
    <x v="0"/>
    <s v="Saturday"/>
    <s v="18-25"/>
    <x v="1"/>
    <s v="Medium"/>
    <s v="Silver"/>
  </r>
  <r>
    <x v="133"/>
    <x v="112"/>
    <d v="2026-07-17T00:00:00"/>
    <s v="CUST134"/>
    <x v="8"/>
    <s v="Female"/>
    <n v="27"/>
    <s v="Kolkata"/>
    <x v="3"/>
    <x v="2"/>
    <s v="P106"/>
    <x v="5"/>
    <x v="0"/>
    <s v="Headphones"/>
    <x v="5"/>
    <n v="2"/>
    <n v="2500"/>
    <n v="0.12"/>
    <x v="21"/>
    <n v="1700"/>
    <n v="1000"/>
    <n v="0.22727272727272727"/>
    <x v="0"/>
    <x v="3"/>
    <n v="5"/>
    <x v="1"/>
    <n v="5"/>
    <s v="Excellent"/>
    <x v="4"/>
    <s v="Q3"/>
    <x v="0"/>
    <s v="Sunday"/>
    <s v="26-35"/>
    <x v="2"/>
    <s v="Medium"/>
    <s v="Bronze"/>
  </r>
  <r>
    <x v="134"/>
    <x v="113"/>
    <d v="2026-12-31T00:00:00"/>
    <s v="CUST135"/>
    <x v="85"/>
    <s v="Female"/>
    <n v="21"/>
    <s v="Mumbai"/>
    <x v="2"/>
    <x v="1"/>
    <s v="P106"/>
    <x v="5"/>
    <x v="0"/>
    <s v="Headphones"/>
    <x v="5"/>
    <n v="1"/>
    <n v="2500"/>
    <n v="0.08"/>
    <x v="107"/>
    <n v="1700"/>
    <n v="600"/>
    <n v="0.2608695652173913"/>
    <x v="4"/>
    <x v="2"/>
    <n v="6"/>
    <x v="1"/>
    <n v="2"/>
    <s v="Average"/>
    <x v="8"/>
    <s v="Q4"/>
    <x v="0"/>
    <s v="Friday"/>
    <s v="18-25"/>
    <x v="2"/>
    <s v="Medium"/>
    <s v="Bronze"/>
  </r>
  <r>
    <x v="135"/>
    <x v="114"/>
    <d v="2026-10-25T00:00:00"/>
    <s v="CUST136"/>
    <x v="86"/>
    <s v="Male"/>
    <n v="23"/>
    <s v="Mumbai"/>
    <x v="2"/>
    <x v="1"/>
    <s v="P104"/>
    <x v="4"/>
    <x v="0"/>
    <s v="Laptop"/>
    <x v="4"/>
    <n v="3"/>
    <n v="58000"/>
    <n v="0.1"/>
    <x v="108"/>
    <n v="49000"/>
    <n v="9600"/>
    <n v="6.1302681992337162E-2"/>
    <x v="1"/>
    <x v="2"/>
    <n v="2"/>
    <x v="0"/>
    <n v="4"/>
    <s v="Excellent"/>
    <x v="1"/>
    <s v="Q4"/>
    <x v="0"/>
    <s v="Friday"/>
    <s v="18-25"/>
    <x v="0"/>
    <s v="Medium"/>
    <s v="VIP"/>
  </r>
  <r>
    <x v="136"/>
    <x v="115"/>
    <d v="2026-01-15T00:00:00"/>
    <s v="CUST137"/>
    <x v="104"/>
    <s v="Female"/>
    <n v="39"/>
    <s v="Ahmedabad"/>
    <x v="6"/>
    <x v="1"/>
    <s v="P102"/>
    <x v="6"/>
    <x v="0"/>
    <s v="Mobile"/>
    <x v="6"/>
    <n v="4"/>
    <n v="79900"/>
    <n v="0.15"/>
    <x v="109"/>
    <n v="65000"/>
    <n v="11660"/>
    <n v="4.292129868217625E-2"/>
    <x v="3"/>
    <x v="3"/>
    <n v="6"/>
    <x v="0"/>
    <n v="4"/>
    <s v="Excellent"/>
    <x v="0"/>
    <s v="Q1"/>
    <x v="0"/>
    <s v="Friday"/>
    <s v="36-45"/>
    <x v="0"/>
    <s v="Medium"/>
    <s v="VIP"/>
  </r>
  <r>
    <x v="137"/>
    <x v="116"/>
    <d v="2026-05-02T00:00:00"/>
    <s v="CUST138"/>
    <x v="59"/>
    <s v="Male"/>
    <n v="48"/>
    <s v="Ahmedabad"/>
    <x v="6"/>
    <x v="1"/>
    <s v="P103"/>
    <x v="0"/>
    <x v="0"/>
    <s v="Laptop"/>
    <x v="0"/>
    <n v="1"/>
    <n v="62000"/>
    <n v="0.1"/>
    <x v="110"/>
    <n v="52000"/>
    <n v="3800"/>
    <n v="6.8100358422939072E-2"/>
    <x v="5"/>
    <x v="0"/>
    <n v="2"/>
    <x v="0"/>
    <n v="2"/>
    <s v="Average"/>
    <x v="3"/>
    <s v="Q2"/>
    <x v="0"/>
    <s v="Thursday"/>
    <s v="46+"/>
    <x v="0"/>
    <s v="Medium"/>
    <s v="Gold"/>
  </r>
  <r>
    <x v="138"/>
    <x v="98"/>
    <d v="2026-09-07T00:00:00"/>
    <s v="CUST139"/>
    <x v="105"/>
    <s v="Male"/>
    <n v="31"/>
    <s v="Bengaluru"/>
    <x v="5"/>
    <x v="0"/>
    <s v="P104"/>
    <x v="4"/>
    <x v="0"/>
    <s v="Laptop"/>
    <x v="4"/>
    <n v="4"/>
    <n v="58000"/>
    <n v="0.1"/>
    <x v="105"/>
    <n v="49000"/>
    <n v="12800"/>
    <n v="6.1302681992337162E-2"/>
    <x v="2"/>
    <x v="2"/>
    <n v="6"/>
    <x v="0"/>
    <n v="4"/>
    <s v="Excellent"/>
    <x v="5"/>
    <s v="Q3"/>
    <x v="0"/>
    <s v="Tuesday"/>
    <s v="26-35"/>
    <x v="0"/>
    <s v="Medium"/>
    <s v="VIP"/>
  </r>
  <r>
    <x v="139"/>
    <x v="34"/>
    <d v="2026-04-19T00:00:00"/>
    <s v="CUST140"/>
    <x v="104"/>
    <s v="Female"/>
    <n v="40"/>
    <s v="Delhi"/>
    <x v="4"/>
    <x v="3"/>
    <s v="P108"/>
    <x v="2"/>
    <x v="2"/>
    <s v="Mixer"/>
    <x v="2"/>
    <n v="2"/>
    <n v="3500"/>
    <n v="0.1"/>
    <x v="67"/>
    <n v="2500"/>
    <n v="1300"/>
    <n v="0.20634920634920634"/>
    <x v="3"/>
    <x v="3"/>
    <n v="2"/>
    <x v="1"/>
    <n v="4"/>
    <s v="Excellent"/>
    <x v="3"/>
    <s v="Q2"/>
    <x v="0"/>
    <s v="Friday"/>
    <s v="36-45"/>
    <x v="2"/>
    <s v="Medium"/>
    <s v="Bronze"/>
  </r>
  <r>
    <x v="140"/>
    <x v="117"/>
    <d v="2026-05-27T00:00:00"/>
    <s v="CUST141"/>
    <x v="12"/>
    <s v="Female"/>
    <n v="35"/>
    <s v="Ahmedabad"/>
    <x v="6"/>
    <x v="1"/>
    <s v="P103"/>
    <x v="0"/>
    <x v="0"/>
    <s v="Laptop"/>
    <x v="0"/>
    <n v="5"/>
    <n v="62000"/>
    <n v="0.15"/>
    <x v="111"/>
    <n v="52000"/>
    <n v="3500"/>
    <n v="1.3282732447817837E-2"/>
    <x v="3"/>
    <x v="0"/>
    <n v="6"/>
    <x v="0"/>
    <n v="5"/>
    <s v="Excellent"/>
    <x v="7"/>
    <s v="Q2"/>
    <x v="0"/>
    <s v="Thursday"/>
    <s v="26-35"/>
    <x v="0"/>
    <s v="Medium"/>
    <s v="VIP"/>
  </r>
  <r>
    <x v="141"/>
    <x v="25"/>
    <d v="2026-09-07T00:00:00"/>
    <s v="CUST142"/>
    <x v="106"/>
    <s v="Male"/>
    <n v="40"/>
    <s v="Delhi"/>
    <x v="4"/>
    <x v="3"/>
    <s v="P101"/>
    <x v="7"/>
    <x v="0"/>
    <s v="Mobile"/>
    <x v="7"/>
    <n v="2"/>
    <n v="28500"/>
    <n v="0.12"/>
    <x v="69"/>
    <n v="22000"/>
    <n v="6160"/>
    <n v="0.12280701754385964"/>
    <x v="3"/>
    <x v="1"/>
    <n v="4"/>
    <x v="0"/>
    <n v="3"/>
    <s v="Average"/>
    <x v="5"/>
    <s v="Q3"/>
    <x v="0"/>
    <s v="Thursday"/>
    <s v="36-45"/>
    <x v="0"/>
    <s v="Medium"/>
    <s v="Gold"/>
  </r>
  <r>
    <x v="142"/>
    <x v="118"/>
    <d v="2026-07-17T00:00:00"/>
    <s v="CUST143"/>
    <x v="107"/>
    <s v="Female"/>
    <n v="26"/>
    <s v="Hyderabad"/>
    <x v="1"/>
    <x v="0"/>
    <s v="P108"/>
    <x v="2"/>
    <x v="2"/>
    <s v="Mixer"/>
    <x v="2"/>
    <n v="4"/>
    <n v="3500"/>
    <n v="0.1"/>
    <x v="112"/>
    <n v="2500"/>
    <n v="2600"/>
    <n v="0.20634920634920634"/>
    <x v="5"/>
    <x v="3"/>
    <n v="2"/>
    <x v="1"/>
    <n v="4"/>
    <s v="Excellent"/>
    <x v="4"/>
    <s v="Q3"/>
    <x v="0"/>
    <s v="Wednesday"/>
    <s v="26-35"/>
    <x v="1"/>
    <s v="Medium"/>
    <s v="Bronze"/>
  </r>
  <r>
    <x v="143"/>
    <x v="6"/>
    <d v="2026-10-29T00:00:00"/>
    <s v="CUST144"/>
    <x v="107"/>
    <s v="Male"/>
    <n v="23"/>
    <s v="Bengaluru"/>
    <x v="5"/>
    <x v="0"/>
    <s v="P106"/>
    <x v="5"/>
    <x v="0"/>
    <s v="Headphones"/>
    <x v="5"/>
    <n v="1"/>
    <n v="2500"/>
    <n v="0.1"/>
    <x v="94"/>
    <n v="1700"/>
    <n v="550"/>
    <n v="0.24444444444444444"/>
    <x v="2"/>
    <x v="3"/>
    <n v="2"/>
    <x v="1"/>
    <n v="3"/>
    <s v="Average"/>
    <x v="1"/>
    <s v="Q4"/>
    <x v="0"/>
    <s v="Tuesday"/>
    <s v="18-25"/>
    <x v="2"/>
    <s v="Medium"/>
    <s v="Bronze"/>
  </r>
  <r>
    <x v="144"/>
    <x v="119"/>
    <d v="2026-05-27T00:00:00"/>
    <s v="CUST145"/>
    <x v="108"/>
    <s v="Male"/>
    <n v="43"/>
    <s v="Chennai"/>
    <x v="0"/>
    <x v="0"/>
    <s v="P102"/>
    <x v="6"/>
    <x v="0"/>
    <s v="Mobile"/>
    <x v="6"/>
    <n v="2"/>
    <n v="79900"/>
    <n v="0.1"/>
    <x v="34"/>
    <n v="65000"/>
    <n v="13820"/>
    <n v="9.6092337644277576E-2"/>
    <x v="0"/>
    <x v="3"/>
    <n v="3"/>
    <x v="0"/>
    <n v="5"/>
    <s v="Excellent"/>
    <x v="7"/>
    <s v="Q2"/>
    <x v="0"/>
    <s v="Sunday"/>
    <s v="36-45"/>
    <x v="0"/>
    <s v="Medium"/>
    <s v="VIP"/>
  </r>
  <r>
    <x v="145"/>
    <x v="120"/>
    <d v="2026-01-12T00:00:00"/>
    <s v="CUST146"/>
    <x v="109"/>
    <s v="Female"/>
    <n v="46"/>
    <s v="Surat"/>
    <x v="6"/>
    <x v="1"/>
    <s v="P104"/>
    <x v="4"/>
    <x v="0"/>
    <s v="Laptop"/>
    <x v="4"/>
    <n v="2"/>
    <n v="58000"/>
    <n v="0.1"/>
    <x v="113"/>
    <n v="49000"/>
    <n v="6400"/>
    <n v="6.1302681992337162E-2"/>
    <x v="4"/>
    <x v="1"/>
    <n v="4"/>
    <x v="0"/>
    <n v="3"/>
    <s v="Average"/>
    <x v="0"/>
    <s v="Q1"/>
    <x v="0"/>
    <s v="Thursday"/>
    <s v="46+"/>
    <x v="0"/>
    <s v="Medium"/>
    <s v="VIP"/>
  </r>
  <r>
    <x v="146"/>
    <x v="62"/>
    <d v="2026-03-05T00:00:00"/>
    <s v="CUST147"/>
    <x v="110"/>
    <s v="Male"/>
    <n v="21"/>
    <s v="Bengaluru"/>
    <x v="5"/>
    <x v="0"/>
    <s v="P108"/>
    <x v="2"/>
    <x v="2"/>
    <s v="Mixer"/>
    <x v="2"/>
    <n v="2"/>
    <n v="3500"/>
    <n v="0.12"/>
    <x v="23"/>
    <n v="2500"/>
    <n v="1160"/>
    <n v="0.18831168831168832"/>
    <x v="3"/>
    <x v="2"/>
    <n v="2"/>
    <x v="1"/>
    <n v="4"/>
    <s v="Excellent"/>
    <x v="10"/>
    <s v="Q1"/>
    <x v="0"/>
    <s v="Tuesday"/>
    <s v="18-25"/>
    <x v="2"/>
    <s v="Medium"/>
    <s v="Bronze"/>
  </r>
  <r>
    <x v="147"/>
    <x v="121"/>
    <d v="2026-02-02T00:00:00"/>
    <s v="CUST148"/>
    <x v="90"/>
    <s v="Male"/>
    <n v="32"/>
    <s v="Mumbai"/>
    <x v="2"/>
    <x v="1"/>
    <s v="P102"/>
    <x v="6"/>
    <x v="0"/>
    <s v="Mobile"/>
    <x v="6"/>
    <n v="3"/>
    <n v="79900"/>
    <n v="0.08"/>
    <x v="114"/>
    <n v="65000"/>
    <n v="25524"/>
    <n v="0.11574250421722805"/>
    <x v="4"/>
    <x v="1"/>
    <n v="6"/>
    <x v="0"/>
    <n v="5"/>
    <s v="Excellent"/>
    <x v="0"/>
    <s v="Q1"/>
    <x v="0"/>
    <s v="Tuesday"/>
    <s v="26-35"/>
    <x v="0"/>
    <s v="Medium"/>
    <s v="VIP"/>
  </r>
  <r>
    <x v="148"/>
    <x v="8"/>
    <d v="2026-08-19T00:00:00"/>
    <s v="CUST149"/>
    <x v="71"/>
    <s v="Female"/>
    <n v="31"/>
    <s v="Chennai"/>
    <x v="0"/>
    <x v="0"/>
    <s v="P101"/>
    <x v="7"/>
    <x v="0"/>
    <s v="Mobile"/>
    <x v="7"/>
    <n v="4"/>
    <n v="28500"/>
    <n v="0.12"/>
    <x v="115"/>
    <n v="22000"/>
    <n v="12320"/>
    <n v="0.12280701754385964"/>
    <x v="1"/>
    <x v="3"/>
    <n v="3"/>
    <x v="0"/>
    <n v="2"/>
    <s v="Average"/>
    <x v="6"/>
    <s v="Q3"/>
    <x v="0"/>
    <s v="Sunday"/>
    <s v="26-35"/>
    <x v="0"/>
    <s v="Medium"/>
    <s v="VIP"/>
  </r>
  <r>
    <x v="149"/>
    <x v="85"/>
    <d v="2026-05-17T00:00:00"/>
    <s v="CUST150"/>
    <x v="52"/>
    <s v="Female"/>
    <n v="20"/>
    <s v="Hyderabad"/>
    <x v="1"/>
    <x v="0"/>
    <s v="P107"/>
    <x v="1"/>
    <x v="1"/>
    <s v="Shoes"/>
    <x v="1"/>
    <n v="3"/>
    <n v="4500"/>
    <n v="0.2"/>
    <x v="116"/>
    <n v="3000"/>
    <n v="1800"/>
    <n v="0.16666666666666666"/>
    <x v="2"/>
    <x v="1"/>
    <n v="3"/>
    <x v="1"/>
    <n v="3"/>
    <s v="Average"/>
    <x v="7"/>
    <s v="Q2"/>
    <x v="0"/>
    <s v="Thursday"/>
    <s v="18-25"/>
    <x v="1"/>
    <s v="High"/>
    <s v="Bronze"/>
  </r>
  <r>
    <x v="150"/>
    <x v="122"/>
    <d v="2026-05-06T00:00:00"/>
    <s v="CUST151"/>
    <x v="36"/>
    <s v="Male"/>
    <n v="20"/>
    <s v="Surat"/>
    <x v="6"/>
    <x v="1"/>
    <s v="P106"/>
    <x v="5"/>
    <x v="0"/>
    <s v="Headphones"/>
    <x v="5"/>
    <n v="3"/>
    <n v="2500"/>
    <n v="0.08"/>
    <x v="35"/>
    <n v="1700"/>
    <n v="1800"/>
    <n v="0.2608695652173913"/>
    <x v="0"/>
    <x v="0"/>
    <n v="2"/>
    <x v="1"/>
    <n v="4"/>
    <s v="Excellent"/>
    <x v="7"/>
    <s v="Q2"/>
    <x v="0"/>
    <s v="Monday"/>
    <s v="18-25"/>
    <x v="2"/>
    <s v="Medium"/>
    <s v="Bronze"/>
  </r>
  <r>
    <x v="151"/>
    <x v="123"/>
    <d v="2026-04-16T00:00:00"/>
    <s v="CUST152"/>
    <x v="111"/>
    <s v="Female"/>
    <n v="41"/>
    <s v="Bengaluru"/>
    <x v="5"/>
    <x v="0"/>
    <s v="P106"/>
    <x v="5"/>
    <x v="0"/>
    <s v="Headphones"/>
    <x v="5"/>
    <n v="4"/>
    <n v="2500"/>
    <n v="0.2"/>
    <x v="79"/>
    <n v="1700"/>
    <n v="1200"/>
    <n v="0.15"/>
    <x v="4"/>
    <x v="0"/>
    <n v="3"/>
    <x v="1"/>
    <n v="5"/>
    <s v="Excellent"/>
    <x v="3"/>
    <s v="Q2"/>
    <x v="0"/>
    <s v="Monday"/>
    <s v="36-45"/>
    <x v="2"/>
    <s v="High"/>
    <s v="Bronze"/>
  </r>
  <r>
    <x v="152"/>
    <x v="124"/>
    <d v="2026-03-09T00:00:00"/>
    <s v="CUST153"/>
    <x v="94"/>
    <s v="Male"/>
    <n v="36"/>
    <s v="Hyderabad"/>
    <x v="1"/>
    <x v="0"/>
    <s v="P101"/>
    <x v="7"/>
    <x v="0"/>
    <s v="Mobile"/>
    <x v="7"/>
    <n v="4"/>
    <n v="28500"/>
    <n v="0.2"/>
    <x v="81"/>
    <n v="22000"/>
    <n v="3200"/>
    <n v="3.5087719298245612E-2"/>
    <x v="0"/>
    <x v="3"/>
    <n v="4"/>
    <x v="0"/>
    <n v="4"/>
    <s v="Excellent"/>
    <x v="10"/>
    <s v="Q1"/>
    <x v="0"/>
    <s v="Thursday"/>
    <s v="36-45"/>
    <x v="0"/>
    <s v="High"/>
    <s v="VIP"/>
  </r>
  <r>
    <x v="153"/>
    <x v="125"/>
    <d v="2026-05-18T00:00:00"/>
    <s v="CUST154"/>
    <x v="1"/>
    <s v="Female"/>
    <n v="44"/>
    <s v="Hyderabad"/>
    <x v="1"/>
    <x v="0"/>
    <s v="P101"/>
    <x v="7"/>
    <x v="0"/>
    <s v="Mobile"/>
    <x v="7"/>
    <n v="4"/>
    <n v="28500"/>
    <n v="0.1"/>
    <x v="73"/>
    <n v="22000"/>
    <n v="14600"/>
    <n v="0.14230019493177387"/>
    <x v="2"/>
    <x v="3"/>
    <n v="3"/>
    <x v="0"/>
    <n v="4"/>
    <s v="Excellent"/>
    <x v="7"/>
    <s v="Q2"/>
    <x v="0"/>
    <s v="Friday"/>
    <s v="36-45"/>
    <x v="0"/>
    <s v="Medium"/>
    <s v="VIP"/>
  </r>
  <r>
    <x v="154"/>
    <x v="41"/>
    <d v="2026-01-06T00:00:00"/>
    <s v="CUST155"/>
    <x v="46"/>
    <s v="Female"/>
    <n v="34"/>
    <s v="Delhi"/>
    <x v="4"/>
    <x v="3"/>
    <s v="P102"/>
    <x v="6"/>
    <x v="0"/>
    <s v="Mobile"/>
    <x v="6"/>
    <n v="2"/>
    <n v="79900"/>
    <n v="0.1"/>
    <x v="34"/>
    <n v="65000"/>
    <n v="13820"/>
    <n v="9.6092337644277576E-2"/>
    <x v="4"/>
    <x v="1"/>
    <n v="5"/>
    <x v="0"/>
    <n v="3"/>
    <s v="Average"/>
    <x v="0"/>
    <s v="Q1"/>
    <x v="0"/>
    <s v="Thursday"/>
    <s v="26-35"/>
    <x v="0"/>
    <s v="Medium"/>
    <s v="VIP"/>
  </r>
  <r>
    <x v="155"/>
    <x v="123"/>
    <d v="2026-04-15T00:00:00"/>
    <s v="CUST156"/>
    <x v="97"/>
    <s v="Female"/>
    <n v="46"/>
    <s v="Mumbai"/>
    <x v="2"/>
    <x v="1"/>
    <s v="P108"/>
    <x v="2"/>
    <x v="2"/>
    <s v="Mixer"/>
    <x v="2"/>
    <n v="1"/>
    <n v="3500"/>
    <n v="0.15"/>
    <x v="49"/>
    <n v="2500"/>
    <n v="475"/>
    <n v="0.15966386554621848"/>
    <x v="1"/>
    <x v="0"/>
    <n v="2"/>
    <x v="1"/>
    <n v="2"/>
    <s v="Average"/>
    <x v="3"/>
    <s v="Q2"/>
    <x v="0"/>
    <s v="Monday"/>
    <s v="46+"/>
    <x v="2"/>
    <s v="Medium"/>
    <s v="Bronze"/>
  </r>
  <r>
    <x v="156"/>
    <x v="112"/>
    <d v="2026-07-14T00:00:00"/>
    <s v="CUST157"/>
    <x v="68"/>
    <s v="Male"/>
    <n v="39"/>
    <s v="Kolkata"/>
    <x v="3"/>
    <x v="2"/>
    <s v="P103"/>
    <x v="0"/>
    <x v="0"/>
    <s v="Laptop"/>
    <x v="0"/>
    <n v="2"/>
    <n v="62000"/>
    <n v="0.15"/>
    <x v="7"/>
    <n v="52000"/>
    <n v="1400"/>
    <n v="1.3282732447817837E-2"/>
    <x v="5"/>
    <x v="1"/>
    <n v="2"/>
    <x v="0"/>
    <n v="2"/>
    <s v="Average"/>
    <x v="4"/>
    <s v="Q3"/>
    <x v="0"/>
    <s v="Sunday"/>
    <s v="36-45"/>
    <x v="0"/>
    <s v="Medium"/>
    <s v="VIP"/>
  </r>
  <r>
    <x v="157"/>
    <x v="6"/>
    <d v="2026-10-29T00:00:00"/>
    <s v="CUST158"/>
    <x v="112"/>
    <s v="Female"/>
    <n v="28"/>
    <s v="Chennai"/>
    <x v="0"/>
    <x v="0"/>
    <s v="P102"/>
    <x v="6"/>
    <x v="0"/>
    <s v="Mobile"/>
    <x v="6"/>
    <n v="4"/>
    <n v="79900"/>
    <n v="0.05"/>
    <x v="41"/>
    <n v="65000"/>
    <n v="43620"/>
    <n v="0.14366642513668401"/>
    <x v="0"/>
    <x v="2"/>
    <n v="2"/>
    <x v="0"/>
    <n v="3"/>
    <s v="Average"/>
    <x v="1"/>
    <s v="Q4"/>
    <x v="0"/>
    <s v="Tuesday"/>
    <s v="26-35"/>
    <x v="0"/>
    <s v="Low"/>
    <s v="VIP"/>
  </r>
  <r>
    <x v="158"/>
    <x v="126"/>
    <d v="2026-10-25T00:00:00"/>
    <s v="CUST159"/>
    <x v="49"/>
    <s v="Male"/>
    <n v="47"/>
    <s v="Chennai"/>
    <x v="0"/>
    <x v="0"/>
    <s v="P108"/>
    <x v="2"/>
    <x v="2"/>
    <s v="Mixer"/>
    <x v="2"/>
    <n v="4"/>
    <n v="3500"/>
    <n v="0.05"/>
    <x v="88"/>
    <n v="2500"/>
    <n v="3300"/>
    <n v="0.24812030075187969"/>
    <x v="0"/>
    <x v="2"/>
    <n v="6"/>
    <x v="1"/>
    <n v="5"/>
    <s v="Excellent"/>
    <x v="1"/>
    <s v="Q4"/>
    <x v="0"/>
    <s v="Monday"/>
    <s v="46+"/>
    <x v="1"/>
    <s v="Low"/>
    <s v="Bronze"/>
  </r>
  <r>
    <x v="159"/>
    <x v="127"/>
    <d v="2026-06-08T00:00:00"/>
    <s v="CUST160"/>
    <x v="18"/>
    <s v="Male"/>
    <n v="24"/>
    <s v="Kolkata"/>
    <x v="3"/>
    <x v="2"/>
    <s v="P103"/>
    <x v="0"/>
    <x v="0"/>
    <s v="Laptop"/>
    <x v="0"/>
    <n v="1"/>
    <n v="62000"/>
    <n v="0.08"/>
    <x v="1"/>
    <n v="52000"/>
    <n v="5040"/>
    <n v="8.8359046283309955E-2"/>
    <x v="0"/>
    <x v="1"/>
    <n v="6"/>
    <x v="0"/>
    <n v="2"/>
    <s v="Average"/>
    <x v="11"/>
    <s v="Q2"/>
    <x v="0"/>
    <s v="Tuesday"/>
    <s v="18-25"/>
    <x v="0"/>
    <s v="Medium"/>
    <s v="Gold"/>
  </r>
  <r>
    <x v="160"/>
    <x v="89"/>
    <d v="2026-10-09T00:00:00"/>
    <s v="CUST161"/>
    <x v="3"/>
    <s v="Female"/>
    <n v="20"/>
    <s v="Hyderabad"/>
    <x v="1"/>
    <x v="0"/>
    <s v="P108"/>
    <x v="2"/>
    <x v="2"/>
    <s v="Mixer"/>
    <x v="2"/>
    <n v="4"/>
    <n v="3500"/>
    <n v="0.12"/>
    <x v="117"/>
    <n v="2500"/>
    <n v="2320"/>
    <n v="0.18831168831168832"/>
    <x v="5"/>
    <x v="0"/>
    <n v="4"/>
    <x v="1"/>
    <n v="5"/>
    <s v="Excellent"/>
    <x v="1"/>
    <s v="Q4"/>
    <x v="0"/>
    <s v="Monday"/>
    <s v="18-25"/>
    <x v="1"/>
    <s v="Medium"/>
    <s v="Bronze"/>
  </r>
  <r>
    <x v="161"/>
    <x v="128"/>
    <d v="2026-05-21T00:00:00"/>
    <s v="CUST162"/>
    <x v="113"/>
    <s v="Female"/>
    <n v="40"/>
    <s v="Delhi"/>
    <x v="4"/>
    <x v="3"/>
    <s v="P107"/>
    <x v="1"/>
    <x v="1"/>
    <s v="Shoes"/>
    <x v="1"/>
    <n v="3"/>
    <n v="4500"/>
    <n v="0.12"/>
    <x v="59"/>
    <n v="3000"/>
    <n v="2880"/>
    <n v="0.24242424242424243"/>
    <x v="3"/>
    <x v="0"/>
    <n v="4"/>
    <x v="1"/>
    <n v="4"/>
    <s v="Excellent"/>
    <x v="7"/>
    <s v="Q2"/>
    <x v="0"/>
    <s v="Sunday"/>
    <s v="36-45"/>
    <x v="1"/>
    <s v="Medium"/>
    <s v="Bronze"/>
  </r>
  <r>
    <x v="162"/>
    <x v="129"/>
    <d v="2026-01-16T00:00:00"/>
    <s v="CUST163"/>
    <x v="5"/>
    <s v="Female"/>
    <n v="38"/>
    <s v="Surat"/>
    <x v="6"/>
    <x v="1"/>
    <s v="P108"/>
    <x v="2"/>
    <x v="2"/>
    <s v="Mixer"/>
    <x v="2"/>
    <n v="3"/>
    <n v="3500"/>
    <n v="0.2"/>
    <x v="65"/>
    <n v="2500"/>
    <n v="900"/>
    <n v="0.10714285714285714"/>
    <x v="3"/>
    <x v="2"/>
    <n v="6"/>
    <x v="1"/>
    <n v="5"/>
    <s v="Excellent"/>
    <x v="0"/>
    <s v="Q1"/>
    <x v="0"/>
    <s v="Saturday"/>
    <s v="36-45"/>
    <x v="2"/>
    <s v="High"/>
    <s v="Bronze"/>
  </r>
  <r>
    <x v="163"/>
    <x v="62"/>
    <d v="2026-03-06T00:00:00"/>
    <s v="CUST164"/>
    <x v="114"/>
    <s v="Female"/>
    <n v="43"/>
    <s v="Bengaluru"/>
    <x v="5"/>
    <x v="0"/>
    <s v="P101"/>
    <x v="7"/>
    <x v="0"/>
    <s v="Mobile"/>
    <x v="7"/>
    <n v="1"/>
    <n v="28500"/>
    <n v="0.08"/>
    <x v="118"/>
    <n v="22000"/>
    <n v="4220"/>
    <n v="0.16094584286803967"/>
    <x v="3"/>
    <x v="3"/>
    <n v="3"/>
    <x v="1"/>
    <n v="2"/>
    <s v="Average"/>
    <x v="10"/>
    <s v="Q1"/>
    <x v="0"/>
    <s v="Tuesday"/>
    <s v="36-45"/>
    <x v="1"/>
    <s v="Medium"/>
    <s v="Silver"/>
  </r>
  <r>
    <x v="164"/>
    <x v="130"/>
    <d v="2026-10-24T00:00:00"/>
    <s v="CUST165"/>
    <x v="115"/>
    <s v="Female"/>
    <n v="37"/>
    <s v="Bengaluru"/>
    <x v="5"/>
    <x v="0"/>
    <s v="P106"/>
    <x v="5"/>
    <x v="0"/>
    <s v="Headphones"/>
    <x v="5"/>
    <n v="3"/>
    <n v="2500"/>
    <n v="0.12"/>
    <x v="119"/>
    <n v="1700"/>
    <n v="1500"/>
    <n v="0.22727272727272727"/>
    <x v="3"/>
    <x v="0"/>
    <n v="3"/>
    <x v="1"/>
    <n v="4"/>
    <s v="Excellent"/>
    <x v="1"/>
    <s v="Q4"/>
    <x v="0"/>
    <s v="Wednesday"/>
    <s v="36-45"/>
    <x v="2"/>
    <s v="Medium"/>
    <s v="Bronze"/>
  </r>
  <r>
    <x v="165"/>
    <x v="42"/>
    <d v="2026-11-23T00:00:00"/>
    <s v="CUST166"/>
    <x v="84"/>
    <s v="Male"/>
    <n v="46"/>
    <s v="Bengaluru"/>
    <x v="5"/>
    <x v="0"/>
    <s v="P105"/>
    <x v="3"/>
    <x v="0"/>
    <s v="Television"/>
    <x v="3"/>
    <n v="1"/>
    <n v="42000"/>
    <n v="0.05"/>
    <x v="120"/>
    <n v="35000"/>
    <n v="4900"/>
    <n v="0.12280701754385964"/>
    <x v="5"/>
    <x v="1"/>
    <n v="5"/>
    <x v="1"/>
    <n v="4"/>
    <s v="Excellent"/>
    <x v="2"/>
    <s v="Q4"/>
    <x v="0"/>
    <s v="Wednesday"/>
    <s v="46+"/>
    <x v="0"/>
    <s v="Low"/>
    <s v="Silver"/>
  </r>
  <r>
    <x v="166"/>
    <x v="131"/>
    <d v="2026-02-18T00:00:00"/>
    <s v="CUST167"/>
    <x v="19"/>
    <s v="Female"/>
    <n v="50"/>
    <s v="Hyderabad"/>
    <x v="1"/>
    <x v="0"/>
    <s v="P107"/>
    <x v="1"/>
    <x v="1"/>
    <s v="Shoes"/>
    <x v="1"/>
    <n v="4"/>
    <n v="4500"/>
    <n v="0.15"/>
    <x v="106"/>
    <n v="3000"/>
    <n v="3300"/>
    <n v="0.21568627450980393"/>
    <x v="0"/>
    <x v="1"/>
    <n v="2"/>
    <x v="1"/>
    <n v="2"/>
    <s v="Average"/>
    <x v="9"/>
    <s v="Q1"/>
    <x v="0"/>
    <s v="Monday"/>
    <s v="46+"/>
    <x v="1"/>
    <s v="Medium"/>
    <s v="Silver"/>
  </r>
  <r>
    <x v="167"/>
    <x v="132"/>
    <d v="2026-04-15T00:00:00"/>
    <s v="CUST168"/>
    <x v="100"/>
    <s v="Female"/>
    <n v="35"/>
    <s v="Kolkata"/>
    <x v="3"/>
    <x v="2"/>
    <s v="P101"/>
    <x v="7"/>
    <x v="0"/>
    <s v="Mobile"/>
    <x v="7"/>
    <n v="5"/>
    <n v="28500"/>
    <n v="0.1"/>
    <x v="121"/>
    <n v="22000"/>
    <n v="18250"/>
    <n v="0.14230019493177387"/>
    <x v="1"/>
    <x v="1"/>
    <n v="3"/>
    <x v="0"/>
    <n v="5"/>
    <s v="Excellent"/>
    <x v="3"/>
    <s v="Q2"/>
    <x v="0"/>
    <s v="Sunday"/>
    <s v="26-35"/>
    <x v="0"/>
    <s v="Medium"/>
    <s v="VIP"/>
  </r>
  <r>
    <x v="168"/>
    <x v="81"/>
    <d v="2026-12-07T00:00:00"/>
    <s v="CUST169"/>
    <x v="70"/>
    <s v="Female"/>
    <n v="48"/>
    <s v="Chennai"/>
    <x v="0"/>
    <x v="0"/>
    <s v="P103"/>
    <x v="0"/>
    <x v="0"/>
    <s v="Laptop"/>
    <x v="0"/>
    <n v="2"/>
    <n v="62000"/>
    <n v="0.15"/>
    <x v="7"/>
    <n v="52000"/>
    <n v="1400"/>
    <n v="1.3282732447817837E-2"/>
    <x v="3"/>
    <x v="2"/>
    <n v="5"/>
    <x v="0"/>
    <n v="5"/>
    <s v="Excellent"/>
    <x v="8"/>
    <s v="Q4"/>
    <x v="0"/>
    <s v="Wednesday"/>
    <s v="46+"/>
    <x v="0"/>
    <s v="Medium"/>
    <s v="VIP"/>
  </r>
  <r>
    <x v="169"/>
    <x v="90"/>
    <d v="2026-06-12T00:00:00"/>
    <s v="CUST170"/>
    <x v="112"/>
    <s v="Male"/>
    <n v="20"/>
    <s v="Mumbai"/>
    <x v="2"/>
    <x v="1"/>
    <s v="P106"/>
    <x v="5"/>
    <x v="0"/>
    <s v="Headphones"/>
    <x v="5"/>
    <n v="2"/>
    <n v="2500"/>
    <n v="0.08"/>
    <x v="122"/>
    <n v="1700"/>
    <n v="1200"/>
    <n v="0.2608695652173913"/>
    <x v="4"/>
    <x v="1"/>
    <n v="6"/>
    <x v="1"/>
    <n v="4"/>
    <s v="Excellent"/>
    <x v="11"/>
    <s v="Q2"/>
    <x v="0"/>
    <s v="Saturday"/>
    <s v="18-25"/>
    <x v="2"/>
    <s v="Medium"/>
    <s v="Bronze"/>
  </r>
  <r>
    <x v="170"/>
    <x v="60"/>
    <d v="2026-07-02T00:00:00"/>
    <s v="CUST171"/>
    <x v="116"/>
    <s v="Female"/>
    <n v="30"/>
    <s v="Chennai"/>
    <x v="0"/>
    <x v="0"/>
    <s v="P102"/>
    <x v="6"/>
    <x v="0"/>
    <s v="Mobile"/>
    <x v="6"/>
    <n v="2"/>
    <n v="79900"/>
    <n v="0.05"/>
    <x v="17"/>
    <n v="65000"/>
    <n v="21810"/>
    <n v="0.14366642513668401"/>
    <x v="4"/>
    <x v="2"/>
    <n v="2"/>
    <x v="0"/>
    <n v="5"/>
    <s v="Excellent"/>
    <x v="11"/>
    <s v="Q2"/>
    <x v="0"/>
    <s v="Tuesday"/>
    <s v="26-35"/>
    <x v="0"/>
    <s v="Low"/>
    <s v="VIP"/>
  </r>
  <r>
    <x v="171"/>
    <x v="133"/>
    <d v="2026-03-18T00:00:00"/>
    <s v="CUST172"/>
    <x v="117"/>
    <s v="Female"/>
    <n v="48"/>
    <s v="Surat"/>
    <x v="6"/>
    <x v="1"/>
    <s v="P104"/>
    <x v="4"/>
    <x v="0"/>
    <s v="Laptop"/>
    <x v="4"/>
    <n v="2"/>
    <n v="58000"/>
    <n v="0.15"/>
    <x v="123"/>
    <n v="49000"/>
    <n v="600"/>
    <n v="6.0851926977687626E-3"/>
    <x v="0"/>
    <x v="1"/>
    <n v="6"/>
    <x v="0"/>
    <n v="5"/>
    <s v="Excellent"/>
    <x v="10"/>
    <s v="Q1"/>
    <x v="0"/>
    <s v="Thursday"/>
    <s v="46+"/>
    <x v="0"/>
    <s v="Medium"/>
    <s v="VIP"/>
  </r>
  <r>
    <x v="172"/>
    <x v="134"/>
    <d v="2026-03-02T00:00:00"/>
    <s v="CUST173"/>
    <x v="118"/>
    <s v="Female"/>
    <n v="26"/>
    <s v="Hyderabad"/>
    <x v="1"/>
    <x v="0"/>
    <s v="P106"/>
    <x v="5"/>
    <x v="0"/>
    <s v="Headphones"/>
    <x v="5"/>
    <n v="3"/>
    <n v="2500"/>
    <n v="0.05"/>
    <x v="124"/>
    <n v="1700"/>
    <n v="2025"/>
    <n v="0.28421052631578947"/>
    <x v="0"/>
    <x v="0"/>
    <n v="4"/>
    <x v="1"/>
    <n v="2"/>
    <s v="Average"/>
    <x v="9"/>
    <s v="Q1"/>
    <x v="0"/>
    <s v="Thursday"/>
    <s v="26-35"/>
    <x v="2"/>
    <s v="Low"/>
    <s v="Bronze"/>
  </r>
  <r>
    <x v="173"/>
    <x v="63"/>
    <d v="2026-08-28T00:00:00"/>
    <s v="CUST174"/>
    <x v="119"/>
    <s v="Female"/>
    <n v="30"/>
    <s v="Mumbai"/>
    <x v="2"/>
    <x v="1"/>
    <s v="P104"/>
    <x v="4"/>
    <x v="0"/>
    <s v="Laptop"/>
    <x v="4"/>
    <n v="2"/>
    <n v="58000"/>
    <n v="0.1"/>
    <x v="113"/>
    <n v="49000"/>
    <n v="6400"/>
    <n v="6.1302681992337162E-2"/>
    <x v="4"/>
    <x v="0"/>
    <n v="4"/>
    <x v="0"/>
    <n v="5"/>
    <s v="Excellent"/>
    <x v="6"/>
    <s v="Q3"/>
    <x v="0"/>
    <s v="Monday"/>
    <s v="26-35"/>
    <x v="0"/>
    <s v="Medium"/>
    <s v="VIP"/>
  </r>
  <r>
    <x v="174"/>
    <x v="135"/>
    <d v="2026-12-02T00:00:00"/>
    <s v="CUST175"/>
    <x v="3"/>
    <s v="Female"/>
    <n v="40"/>
    <s v="Ahmedabad"/>
    <x v="6"/>
    <x v="1"/>
    <s v="P104"/>
    <x v="4"/>
    <x v="0"/>
    <s v="Laptop"/>
    <x v="4"/>
    <n v="5"/>
    <n v="58000"/>
    <n v="0.05"/>
    <x v="125"/>
    <n v="49000"/>
    <n v="30500"/>
    <n v="0.11070780399274047"/>
    <x v="0"/>
    <x v="2"/>
    <n v="2"/>
    <x v="0"/>
    <n v="2"/>
    <s v="Average"/>
    <x v="2"/>
    <s v="Q4"/>
    <x v="0"/>
    <s v="Monday"/>
    <s v="36-45"/>
    <x v="0"/>
    <s v="Low"/>
    <s v="VIP"/>
  </r>
  <r>
    <x v="175"/>
    <x v="136"/>
    <d v="2026-03-29T00:00:00"/>
    <s v="CUST176"/>
    <x v="61"/>
    <s v="Female"/>
    <n v="38"/>
    <s v="Bengaluru"/>
    <x v="5"/>
    <x v="0"/>
    <s v="P105"/>
    <x v="3"/>
    <x v="0"/>
    <s v="Television"/>
    <x v="3"/>
    <n v="5"/>
    <n v="42000"/>
    <n v="0.08"/>
    <x v="22"/>
    <n v="35000"/>
    <n v="18200"/>
    <n v="9.420289855072464E-2"/>
    <x v="4"/>
    <x v="3"/>
    <n v="5"/>
    <x v="0"/>
    <n v="2"/>
    <s v="Average"/>
    <x v="10"/>
    <s v="Q1"/>
    <x v="0"/>
    <s v="Tuesday"/>
    <s v="36-45"/>
    <x v="0"/>
    <s v="Medium"/>
    <s v="VIP"/>
  </r>
  <r>
    <x v="176"/>
    <x v="137"/>
    <d v="2026-12-14T00:00:00"/>
    <s v="CUST177"/>
    <x v="120"/>
    <s v="Female"/>
    <n v="26"/>
    <s v="Hyderabad"/>
    <x v="1"/>
    <x v="0"/>
    <s v="P108"/>
    <x v="2"/>
    <x v="2"/>
    <s v="Mixer"/>
    <x v="2"/>
    <n v="3"/>
    <n v="3500"/>
    <n v="0.05"/>
    <x v="126"/>
    <n v="2500"/>
    <n v="2475"/>
    <n v="0.24812030075187969"/>
    <x v="1"/>
    <x v="0"/>
    <n v="5"/>
    <x v="1"/>
    <n v="3"/>
    <s v="Average"/>
    <x v="8"/>
    <s v="Q4"/>
    <x v="0"/>
    <s v="Wednesday"/>
    <s v="26-35"/>
    <x v="2"/>
    <s v="Low"/>
    <s v="Bronze"/>
  </r>
  <r>
    <x v="177"/>
    <x v="88"/>
    <d v="2026-10-25T00:00:00"/>
    <s v="CUST178"/>
    <x v="52"/>
    <s v="Male"/>
    <n v="38"/>
    <s v="Ahmedabad"/>
    <x v="6"/>
    <x v="1"/>
    <s v="P104"/>
    <x v="4"/>
    <x v="0"/>
    <s v="Laptop"/>
    <x v="4"/>
    <n v="5"/>
    <n v="58000"/>
    <n v="0.08"/>
    <x v="84"/>
    <n v="49000"/>
    <n v="21800"/>
    <n v="8.1709145427286356E-2"/>
    <x v="3"/>
    <x v="1"/>
    <n v="5"/>
    <x v="0"/>
    <n v="3"/>
    <s v="Average"/>
    <x v="1"/>
    <s v="Q4"/>
    <x v="0"/>
    <s v="Tuesday"/>
    <s v="36-45"/>
    <x v="0"/>
    <s v="Medium"/>
    <s v="VIP"/>
  </r>
  <r>
    <x v="178"/>
    <x v="124"/>
    <d v="2026-03-07T00:00:00"/>
    <s v="CUST179"/>
    <x v="9"/>
    <s v="Male"/>
    <n v="47"/>
    <s v="Bengaluru"/>
    <x v="5"/>
    <x v="0"/>
    <s v="P102"/>
    <x v="6"/>
    <x v="0"/>
    <s v="Mobile"/>
    <x v="6"/>
    <n v="5"/>
    <n v="79900"/>
    <n v="0.05"/>
    <x v="127"/>
    <n v="65000"/>
    <n v="54525"/>
    <n v="0.14366642513668401"/>
    <x v="0"/>
    <x v="1"/>
    <n v="2"/>
    <x v="0"/>
    <n v="2"/>
    <s v="Average"/>
    <x v="10"/>
    <s v="Q1"/>
    <x v="0"/>
    <s v="Thursday"/>
    <s v="46+"/>
    <x v="0"/>
    <s v="Low"/>
    <s v="VIP"/>
  </r>
  <r>
    <x v="179"/>
    <x v="138"/>
    <d v="2026-08-10T00:00:00"/>
    <s v="CUST180"/>
    <x v="121"/>
    <s v="Male"/>
    <n v="31"/>
    <s v="Delhi"/>
    <x v="4"/>
    <x v="3"/>
    <s v="P107"/>
    <x v="1"/>
    <x v="1"/>
    <s v="Shoes"/>
    <x v="1"/>
    <n v="2"/>
    <n v="4500"/>
    <n v="0.05"/>
    <x v="128"/>
    <n v="3000"/>
    <n v="2550"/>
    <n v="0.2982456140350877"/>
    <x v="3"/>
    <x v="3"/>
    <n v="6"/>
    <x v="1"/>
    <n v="4"/>
    <s v="Excellent"/>
    <x v="6"/>
    <s v="Q3"/>
    <x v="0"/>
    <s v="Tuesday"/>
    <s v="26-35"/>
    <x v="2"/>
    <s v="Low"/>
    <s v="Bronze"/>
  </r>
  <r>
    <x v="180"/>
    <x v="139"/>
    <d v="2026-08-21T00:00:00"/>
    <s v="CUST181"/>
    <x v="28"/>
    <s v="Male"/>
    <n v="21"/>
    <s v="Kolkata"/>
    <x v="3"/>
    <x v="2"/>
    <s v="P108"/>
    <x v="2"/>
    <x v="2"/>
    <s v="Mixer"/>
    <x v="2"/>
    <n v="4"/>
    <n v="3500"/>
    <n v="0.15"/>
    <x v="13"/>
    <n v="2500"/>
    <n v="1900"/>
    <n v="0.15966386554621848"/>
    <x v="0"/>
    <x v="3"/>
    <n v="2"/>
    <x v="1"/>
    <n v="5"/>
    <s v="Excellent"/>
    <x v="6"/>
    <s v="Q3"/>
    <x v="0"/>
    <s v="Wednesday"/>
    <s v="18-25"/>
    <x v="1"/>
    <s v="Medium"/>
    <s v="Bronze"/>
  </r>
  <r>
    <x v="181"/>
    <x v="140"/>
    <d v="2026-01-29T00:00:00"/>
    <s v="CUST182"/>
    <x v="23"/>
    <s v="Male"/>
    <n v="40"/>
    <s v="Chennai"/>
    <x v="0"/>
    <x v="0"/>
    <s v="P101"/>
    <x v="7"/>
    <x v="0"/>
    <s v="Mobile"/>
    <x v="7"/>
    <n v="4"/>
    <n v="28500"/>
    <n v="0.12"/>
    <x v="115"/>
    <n v="22000"/>
    <n v="12320"/>
    <n v="0.12280701754385964"/>
    <x v="0"/>
    <x v="3"/>
    <n v="6"/>
    <x v="0"/>
    <n v="2"/>
    <s v="Average"/>
    <x v="0"/>
    <s v="Q1"/>
    <x v="0"/>
    <s v="Friday"/>
    <s v="36-45"/>
    <x v="0"/>
    <s v="Medium"/>
    <s v="VIP"/>
  </r>
  <r>
    <x v="182"/>
    <x v="60"/>
    <d v="2026-07-03T00:00:00"/>
    <s v="CUST183"/>
    <x v="122"/>
    <s v="Male"/>
    <n v="28"/>
    <s v="Kolkata"/>
    <x v="3"/>
    <x v="2"/>
    <s v="P105"/>
    <x v="3"/>
    <x v="0"/>
    <s v="Television"/>
    <x v="3"/>
    <n v="4"/>
    <n v="42000"/>
    <n v="0.08"/>
    <x v="95"/>
    <n v="35000"/>
    <n v="14560"/>
    <n v="9.420289855072464E-2"/>
    <x v="5"/>
    <x v="0"/>
    <n v="3"/>
    <x v="0"/>
    <n v="3"/>
    <s v="Average"/>
    <x v="11"/>
    <s v="Q2"/>
    <x v="0"/>
    <s v="Tuesday"/>
    <s v="26-35"/>
    <x v="0"/>
    <s v="Medium"/>
    <s v="VIP"/>
  </r>
  <r>
    <x v="183"/>
    <x v="141"/>
    <d v="2026-12-05T00:00:00"/>
    <s v="CUST184"/>
    <x v="107"/>
    <s v="Male"/>
    <n v="48"/>
    <s v="Delhi"/>
    <x v="4"/>
    <x v="3"/>
    <s v="P104"/>
    <x v="4"/>
    <x v="0"/>
    <s v="Laptop"/>
    <x v="4"/>
    <n v="2"/>
    <n v="58000"/>
    <n v="0.08"/>
    <x v="32"/>
    <n v="49000"/>
    <n v="8720"/>
    <n v="8.1709145427286356E-2"/>
    <x v="5"/>
    <x v="0"/>
    <n v="4"/>
    <x v="0"/>
    <n v="2"/>
    <s v="Average"/>
    <x v="8"/>
    <s v="Q4"/>
    <x v="0"/>
    <s v="Tuesday"/>
    <s v="46+"/>
    <x v="0"/>
    <s v="Medium"/>
    <s v="VIP"/>
  </r>
  <r>
    <x v="184"/>
    <x v="142"/>
    <d v="2026-06-26T00:00:00"/>
    <s v="CUST185"/>
    <x v="123"/>
    <s v="Female"/>
    <n v="27"/>
    <s v="Surat"/>
    <x v="6"/>
    <x v="1"/>
    <s v="P106"/>
    <x v="5"/>
    <x v="0"/>
    <s v="Headphones"/>
    <x v="5"/>
    <n v="1"/>
    <n v="2500"/>
    <n v="0.05"/>
    <x v="129"/>
    <n v="1700"/>
    <n v="675"/>
    <n v="0.28421052631578947"/>
    <x v="4"/>
    <x v="3"/>
    <n v="4"/>
    <x v="1"/>
    <n v="5"/>
    <s v="Excellent"/>
    <x v="11"/>
    <s v="Q2"/>
    <x v="0"/>
    <s v="Monday"/>
    <s v="26-35"/>
    <x v="2"/>
    <s v="Low"/>
    <s v="Bronze"/>
  </r>
  <r>
    <x v="185"/>
    <x v="143"/>
    <d v="2026-02-10T00:00:00"/>
    <s v="CUST186"/>
    <x v="51"/>
    <s v="Male"/>
    <n v="37"/>
    <s v="Chennai"/>
    <x v="0"/>
    <x v="0"/>
    <s v="P106"/>
    <x v="5"/>
    <x v="0"/>
    <s v="Headphones"/>
    <x v="5"/>
    <n v="5"/>
    <n v="2500"/>
    <n v="0.1"/>
    <x v="130"/>
    <n v="1700"/>
    <n v="2750"/>
    <n v="0.24444444444444444"/>
    <x v="4"/>
    <x v="0"/>
    <n v="5"/>
    <x v="1"/>
    <n v="3"/>
    <s v="Average"/>
    <x v="9"/>
    <s v="Q1"/>
    <x v="0"/>
    <s v="Thursday"/>
    <s v="36-45"/>
    <x v="1"/>
    <s v="Medium"/>
    <s v="Bronze"/>
  </r>
  <r>
    <x v="186"/>
    <x v="49"/>
    <d v="2026-04-22T00:00:00"/>
    <s v="CUST187"/>
    <x v="6"/>
    <s v="Male"/>
    <n v="44"/>
    <s v="Ahmedabad"/>
    <x v="6"/>
    <x v="1"/>
    <s v="P107"/>
    <x v="1"/>
    <x v="1"/>
    <s v="Shoes"/>
    <x v="1"/>
    <n v="1"/>
    <n v="4500"/>
    <n v="0.08"/>
    <x v="42"/>
    <n v="3000"/>
    <n v="1140"/>
    <n v="0.27536231884057971"/>
    <x v="3"/>
    <x v="0"/>
    <n v="6"/>
    <x v="1"/>
    <n v="4"/>
    <s v="Excellent"/>
    <x v="3"/>
    <s v="Q2"/>
    <x v="0"/>
    <s v="Thursday"/>
    <s v="36-45"/>
    <x v="2"/>
    <s v="Medium"/>
    <s v="Bronze"/>
  </r>
  <r>
    <x v="187"/>
    <x v="144"/>
    <d v="2026-02-25T00:00:00"/>
    <s v="CUST188"/>
    <x v="39"/>
    <s v="Female"/>
    <n v="31"/>
    <s v="Hyderabad"/>
    <x v="1"/>
    <x v="0"/>
    <s v="P107"/>
    <x v="1"/>
    <x v="1"/>
    <s v="Shoes"/>
    <x v="1"/>
    <n v="4"/>
    <n v="4500"/>
    <n v="0.12"/>
    <x v="131"/>
    <n v="3000"/>
    <n v="3840"/>
    <n v="0.24242424242424243"/>
    <x v="4"/>
    <x v="2"/>
    <n v="5"/>
    <x v="1"/>
    <n v="5"/>
    <s v="Excellent"/>
    <x v="9"/>
    <s v="Q1"/>
    <x v="0"/>
    <s v="Friday"/>
    <s v="26-35"/>
    <x v="1"/>
    <s v="Medium"/>
    <s v="Silver"/>
  </r>
  <r>
    <x v="188"/>
    <x v="145"/>
    <d v="2026-06-11T00:00:00"/>
    <s v="CUST189"/>
    <x v="118"/>
    <s v="Female"/>
    <n v="27"/>
    <s v="Mumbai"/>
    <x v="2"/>
    <x v="1"/>
    <s v="P107"/>
    <x v="1"/>
    <x v="1"/>
    <s v="Shoes"/>
    <x v="1"/>
    <n v="5"/>
    <n v="4500"/>
    <n v="0.08"/>
    <x v="25"/>
    <n v="3000"/>
    <n v="5700"/>
    <n v="0.27536231884057971"/>
    <x v="2"/>
    <x v="3"/>
    <n v="3"/>
    <x v="1"/>
    <n v="2"/>
    <s v="Average"/>
    <x v="11"/>
    <s v="Q2"/>
    <x v="0"/>
    <s v="Monday"/>
    <s v="26-35"/>
    <x v="1"/>
    <s v="Medium"/>
    <s v="Silver"/>
  </r>
  <r>
    <x v="189"/>
    <x v="52"/>
    <d v="2026-09-07T00:00:00"/>
    <s v="CUST190"/>
    <x v="77"/>
    <s v="Female"/>
    <n v="42"/>
    <s v="Mumbai"/>
    <x v="2"/>
    <x v="1"/>
    <s v="P108"/>
    <x v="2"/>
    <x v="2"/>
    <s v="Mixer"/>
    <x v="2"/>
    <n v="2"/>
    <n v="3500"/>
    <n v="0.2"/>
    <x v="57"/>
    <n v="2500"/>
    <n v="600"/>
    <n v="0.10714285714285714"/>
    <x v="1"/>
    <x v="0"/>
    <n v="3"/>
    <x v="1"/>
    <n v="4"/>
    <s v="Excellent"/>
    <x v="5"/>
    <s v="Q3"/>
    <x v="0"/>
    <s v="Friday"/>
    <s v="36-45"/>
    <x v="2"/>
    <s v="High"/>
    <s v="Bronze"/>
  </r>
  <r>
    <x v="190"/>
    <x v="146"/>
    <d v="2026-03-09T00:00:00"/>
    <s v="CUST191"/>
    <x v="115"/>
    <s v="Male"/>
    <n v="28"/>
    <s v="Surat"/>
    <x v="6"/>
    <x v="1"/>
    <s v="P107"/>
    <x v="1"/>
    <x v="1"/>
    <s v="Shoes"/>
    <x v="1"/>
    <n v="4"/>
    <n v="4500"/>
    <n v="0.05"/>
    <x v="132"/>
    <n v="3000"/>
    <n v="5100"/>
    <n v="0.2982456140350877"/>
    <x v="1"/>
    <x v="0"/>
    <n v="3"/>
    <x v="1"/>
    <n v="4"/>
    <s v="Excellent"/>
    <x v="10"/>
    <s v="Q1"/>
    <x v="0"/>
    <s v="Friday"/>
    <s v="26-35"/>
    <x v="1"/>
    <s v="Low"/>
    <s v="Silver"/>
  </r>
  <r>
    <x v="191"/>
    <x v="41"/>
    <d v="2026-01-04T00:00:00"/>
    <s v="CUST192"/>
    <x v="118"/>
    <s v="Female"/>
    <n v="24"/>
    <s v="Mumbai"/>
    <x v="2"/>
    <x v="1"/>
    <s v="P102"/>
    <x v="6"/>
    <x v="0"/>
    <s v="Mobile"/>
    <x v="6"/>
    <n v="3"/>
    <n v="79900"/>
    <n v="0.15"/>
    <x v="133"/>
    <n v="65000"/>
    <n v="8745"/>
    <n v="4.292129868217625E-2"/>
    <x v="5"/>
    <x v="3"/>
    <n v="3"/>
    <x v="0"/>
    <n v="4"/>
    <s v="Excellent"/>
    <x v="0"/>
    <s v="Q1"/>
    <x v="0"/>
    <s v="Thursday"/>
    <s v="18-25"/>
    <x v="0"/>
    <s v="Medium"/>
    <s v="VIP"/>
  </r>
  <r>
    <x v="192"/>
    <x v="147"/>
    <d v="2027-01-01T00:00:00"/>
    <s v="CUST193"/>
    <x v="124"/>
    <s v="Female"/>
    <n v="22"/>
    <s v="Ahmedabad"/>
    <x v="6"/>
    <x v="1"/>
    <s v="P107"/>
    <x v="1"/>
    <x v="1"/>
    <s v="Shoes"/>
    <x v="1"/>
    <n v="1"/>
    <n v="4500"/>
    <n v="0.2"/>
    <x v="134"/>
    <n v="3000"/>
    <n v="600"/>
    <n v="0.16666666666666666"/>
    <x v="3"/>
    <x v="2"/>
    <n v="6"/>
    <x v="1"/>
    <n v="4"/>
    <s v="Excellent"/>
    <x v="8"/>
    <s v="Q4"/>
    <x v="0"/>
    <s v="Saturday"/>
    <s v="18-25"/>
    <x v="2"/>
    <s v="High"/>
    <s v="Bronze"/>
  </r>
  <r>
    <x v="193"/>
    <x v="148"/>
    <d v="2026-01-25T00:00:00"/>
    <s v="CUST194"/>
    <x v="103"/>
    <s v="Female"/>
    <n v="42"/>
    <s v="Mumbai"/>
    <x v="2"/>
    <x v="1"/>
    <s v="P103"/>
    <x v="0"/>
    <x v="0"/>
    <s v="Laptop"/>
    <x v="0"/>
    <n v="5"/>
    <n v="62000"/>
    <n v="0.12"/>
    <x v="135"/>
    <n v="52000"/>
    <n v="12800"/>
    <n v="4.6920821114369501E-2"/>
    <x v="2"/>
    <x v="3"/>
    <n v="5"/>
    <x v="0"/>
    <n v="4"/>
    <s v="Excellent"/>
    <x v="0"/>
    <s v="Q1"/>
    <x v="0"/>
    <s v="Tuesday"/>
    <s v="36-45"/>
    <x v="0"/>
    <s v="Medium"/>
    <s v="VIP"/>
  </r>
  <r>
    <x v="194"/>
    <x v="110"/>
    <d v="2026-08-02T00:00:00"/>
    <s v="CUST195"/>
    <x v="2"/>
    <s v="Male"/>
    <n v="40"/>
    <s v="Surat"/>
    <x v="6"/>
    <x v="1"/>
    <s v="P106"/>
    <x v="5"/>
    <x v="0"/>
    <s v="Headphones"/>
    <x v="5"/>
    <n v="5"/>
    <n v="2500"/>
    <n v="0.1"/>
    <x v="130"/>
    <n v="1700"/>
    <n v="2750"/>
    <n v="0.24444444444444444"/>
    <x v="4"/>
    <x v="3"/>
    <n v="5"/>
    <x v="1"/>
    <n v="5"/>
    <s v="Excellent"/>
    <x v="4"/>
    <s v="Q3"/>
    <x v="0"/>
    <s v="Tuesday"/>
    <s v="36-45"/>
    <x v="1"/>
    <s v="Medium"/>
    <s v="Bronze"/>
  </r>
  <r>
    <x v="195"/>
    <x v="88"/>
    <d v="2026-10-22T00:00:00"/>
    <s v="CUST196"/>
    <x v="89"/>
    <s v="Female"/>
    <n v="45"/>
    <s v="Hyderabad"/>
    <x v="1"/>
    <x v="0"/>
    <s v="P104"/>
    <x v="4"/>
    <x v="0"/>
    <s v="Laptop"/>
    <x v="4"/>
    <n v="5"/>
    <n v="58000"/>
    <n v="0.12"/>
    <x v="136"/>
    <n v="49000"/>
    <n v="10200"/>
    <n v="3.9968652037617555E-2"/>
    <x v="5"/>
    <x v="1"/>
    <n v="2"/>
    <x v="0"/>
    <n v="3"/>
    <s v="Average"/>
    <x v="1"/>
    <s v="Q4"/>
    <x v="0"/>
    <s v="Tuesday"/>
    <s v="36-45"/>
    <x v="0"/>
    <s v="Medium"/>
    <s v="VIP"/>
  </r>
  <r>
    <x v="196"/>
    <x v="86"/>
    <d v="2026-09-18T00:00:00"/>
    <s v="CUST197"/>
    <x v="69"/>
    <s v="Male"/>
    <n v="37"/>
    <s v="Kolkata"/>
    <x v="3"/>
    <x v="2"/>
    <s v="P102"/>
    <x v="6"/>
    <x v="0"/>
    <s v="Mobile"/>
    <x v="6"/>
    <n v="2"/>
    <n v="79900"/>
    <n v="0.15"/>
    <x v="52"/>
    <n v="65000"/>
    <n v="5830"/>
    <n v="4.292129868217625E-2"/>
    <x v="4"/>
    <x v="2"/>
    <n v="5"/>
    <x v="0"/>
    <n v="2"/>
    <s v="Average"/>
    <x v="5"/>
    <s v="Q3"/>
    <x v="0"/>
    <s v="Sunday"/>
    <s v="36-45"/>
    <x v="0"/>
    <s v="Medium"/>
    <s v="VIP"/>
  </r>
  <r>
    <x v="197"/>
    <x v="149"/>
    <d v="2026-02-14T00:00:00"/>
    <s v="CUST198"/>
    <x v="125"/>
    <s v="Male"/>
    <n v="42"/>
    <s v="Delhi"/>
    <x v="4"/>
    <x v="3"/>
    <s v="P107"/>
    <x v="1"/>
    <x v="1"/>
    <s v="Shoes"/>
    <x v="1"/>
    <n v="5"/>
    <n v="4500"/>
    <n v="0.12"/>
    <x v="2"/>
    <n v="3000"/>
    <n v="4800"/>
    <n v="0.24242424242424243"/>
    <x v="2"/>
    <x v="0"/>
    <n v="4"/>
    <x v="1"/>
    <n v="3"/>
    <s v="Average"/>
    <x v="9"/>
    <s v="Q1"/>
    <x v="0"/>
    <s v="Tuesday"/>
    <s v="36-45"/>
    <x v="1"/>
    <s v="Medium"/>
    <s v="Silver"/>
  </r>
  <r>
    <x v="198"/>
    <x v="150"/>
    <d v="2026-09-22T00:00:00"/>
    <s v="CUST199"/>
    <x v="126"/>
    <s v="Male"/>
    <n v="44"/>
    <s v="Ahmedabad"/>
    <x v="6"/>
    <x v="1"/>
    <s v="P101"/>
    <x v="7"/>
    <x v="0"/>
    <s v="Mobile"/>
    <x v="7"/>
    <n v="3"/>
    <n v="28500"/>
    <n v="0.08"/>
    <x v="137"/>
    <n v="22000"/>
    <n v="12660"/>
    <n v="0.16094584286803967"/>
    <x v="1"/>
    <x v="1"/>
    <n v="4"/>
    <x v="0"/>
    <n v="4"/>
    <s v="Excellent"/>
    <x v="5"/>
    <s v="Q3"/>
    <x v="0"/>
    <s v="Friday"/>
    <s v="36-45"/>
    <x v="0"/>
    <s v="Medium"/>
    <s v="Gold"/>
  </r>
  <r>
    <x v="199"/>
    <x v="102"/>
    <d v="2026-09-20T00:00:00"/>
    <s v="CUST200"/>
    <x v="66"/>
    <s v="Male"/>
    <n v="27"/>
    <s v="Kolkata"/>
    <x v="3"/>
    <x v="2"/>
    <s v="P108"/>
    <x v="2"/>
    <x v="2"/>
    <s v="Mixer"/>
    <x v="2"/>
    <n v="5"/>
    <n v="3500"/>
    <n v="0.05"/>
    <x v="104"/>
    <n v="2500"/>
    <n v="4125"/>
    <n v="0.24812030075187969"/>
    <x v="3"/>
    <x v="2"/>
    <n v="6"/>
    <x v="1"/>
    <n v="5"/>
    <s v="Excellent"/>
    <x v="5"/>
    <s v="Q3"/>
    <x v="0"/>
    <s v="Monday"/>
    <s v="26-35"/>
    <x v="1"/>
    <s v="Low"/>
    <s v="Silver"/>
  </r>
  <r>
    <x v="200"/>
    <x v="151"/>
    <d v="2026-02-07T00:00:00"/>
    <s v="CUST201"/>
    <x v="73"/>
    <s v="Male"/>
    <n v="35"/>
    <s v="Delhi"/>
    <x v="4"/>
    <x v="3"/>
    <s v="P101"/>
    <x v="7"/>
    <x v="0"/>
    <s v="Mobile"/>
    <x v="7"/>
    <n v="2"/>
    <n v="28500"/>
    <n v="0.2"/>
    <x v="138"/>
    <n v="22000"/>
    <n v="1600"/>
    <n v="3.5087719298245612E-2"/>
    <x v="0"/>
    <x v="0"/>
    <n v="4"/>
    <x v="1"/>
    <n v="3"/>
    <s v="Average"/>
    <x v="9"/>
    <s v="Q1"/>
    <x v="0"/>
    <s v="Tuesday"/>
    <s v="26-35"/>
    <x v="0"/>
    <s v="High"/>
    <s v="Gold"/>
  </r>
  <r>
    <x v="201"/>
    <x v="152"/>
    <d v="2026-09-26T00:00:00"/>
    <s v="CUST202"/>
    <x v="114"/>
    <s v="Male"/>
    <n v="50"/>
    <s v="Mumbai"/>
    <x v="2"/>
    <x v="1"/>
    <s v="P105"/>
    <x v="3"/>
    <x v="0"/>
    <s v="Television"/>
    <x v="3"/>
    <n v="2"/>
    <n v="42000"/>
    <n v="0.2"/>
    <x v="58"/>
    <n v="35000"/>
    <n v="-2800"/>
    <n v="-4.1666666666666664E-2"/>
    <x v="5"/>
    <x v="1"/>
    <n v="6"/>
    <x v="0"/>
    <n v="3"/>
    <s v="Average"/>
    <x v="5"/>
    <s v="Q3"/>
    <x v="0"/>
    <s v="Sunday"/>
    <s v="46+"/>
    <x v="0"/>
    <s v="High"/>
    <s v="Gold"/>
  </r>
  <r>
    <x v="202"/>
    <x v="109"/>
    <d v="2026-09-19T00:00:00"/>
    <s v="CUST203"/>
    <x v="65"/>
    <s v="Male"/>
    <n v="34"/>
    <s v="Bengaluru"/>
    <x v="5"/>
    <x v="0"/>
    <s v="P106"/>
    <x v="5"/>
    <x v="0"/>
    <s v="Headphones"/>
    <x v="5"/>
    <n v="5"/>
    <n v="2500"/>
    <n v="0.1"/>
    <x v="130"/>
    <n v="1700"/>
    <n v="2750"/>
    <n v="0.24444444444444444"/>
    <x v="4"/>
    <x v="2"/>
    <n v="2"/>
    <x v="1"/>
    <n v="3"/>
    <s v="Average"/>
    <x v="5"/>
    <s v="Q3"/>
    <x v="0"/>
    <s v="Thursday"/>
    <s v="26-35"/>
    <x v="1"/>
    <s v="Medium"/>
    <s v="Bronze"/>
  </r>
  <r>
    <x v="203"/>
    <x v="79"/>
    <d v="2026-08-05T00:00:00"/>
    <s v="CUST204"/>
    <x v="11"/>
    <s v="Male"/>
    <n v="42"/>
    <s v="Kolkata"/>
    <x v="3"/>
    <x v="2"/>
    <s v="P101"/>
    <x v="7"/>
    <x v="0"/>
    <s v="Mobile"/>
    <x v="7"/>
    <n v="1"/>
    <n v="28500"/>
    <n v="0.12"/>
    <x v="38"/>
    <n v="22000"/>
    <n v="3080"/>
    <n v="0.12280701754385964"/>
    <x v="1"/>
    <x v="1"/>
    <n v="5"/>
    <x v="1"/>
    <n v="4"/>
    <s v="Excellent"/>
    <x v="4"/>
    <s v="Q3"/>
    <x v="0"/>
    <s v="Friday"/>
    <s v="36-45"/>
    <x v="1"/>
    <s v="Medium"/>
    <s v="Silver"/>
  </r>
  <r>
    <x v="204"/>
    <x v="56"/>
    <d v="2026-04-28T00:00:00"/>
    <s v="CUST205"/>
    <x v="127"/>
    <s v="Male"/>
    <n v="43"/>
    <s v="Delhi"/>
    <x v="4"/>
    <x v="3"/>
    <s v="P101"/>
    <x v="7"/>
    <x v="0"/>
    <s v="Mobile"/>
    <x v="7"/>
    <n v="1"/>
    <n v="28500"/>
    <n v="0.05"/>
    <x v="139"/>
    <n v="22000"/>
    <n v="5075"/>
    <n v="0.18744228993536471"/>
    <x v="5"/>
    <x v="1"/>
    <n v="4"/>
    <x v="1"/>
    <n v="3"/>
    <s v="Average"/>
    <x v="3"/>
    <s v="Q2"/>
    <x v="0"/>
    <s v="Friday"/>
    <s v="36-45"/>
    <x v="1"/>
    <s v="Low"/>
    <s v="Silver"/>
  </r>
  <r>
    <x v="205"/>
    <x v="5"/>
    <d v="2026-07-07T00:00:00"/>
    <s v="CUST206"/>
    <x v="128"/>
    <s v="Female"/>
    <n v="31"/>
    <s v="Bengaluru"/>
    <x v="5"/>
    <x v="0"/>
    <s v="P105"/>
    <x v="3"/>
    <x v="0"/>
    <s v="Television"/>
    <x v="3"/>
    <n v="2"/>
    <n v="42000"/>
    <n v="0.2"/>
    <x v="58"/>
    <n v="35000"/>
    <n v="-2800"/>
    <n v="-4.1666666666666664E-2"/>
    <x v="4"/>
    <x v="3"/>
    <n v="3"/>
    <x v="0"/>
    <n v="4"/>
    <s v="Excellent"/>
    <x v="4"/>
    <s v="Q3"/>
    <x v="0"/>
    <s v="Saturday"/>
    <s v="26-35"/>
    <x v="0"/>
    <s v="High"/>
    <s v="Gold"/>
  </r>
  <r>
    <x v="206"/>
    <x v="113"/>
    <d v="2026-12-28T00:00:00"/>
    <s v="CUST207"/>
    <x v="61"/>
    <s v="Male"/>
    <n v="22"/>
    <s v="Surat"/>
    <x v="6"/>
    <x v="1"/>
    <s v="P106"/>
    <x v="5"/>
    <x v="0"/>
    <s v="Headphones"/>
    <x v="5"/>
    <n v="2"/>
    <n v="2500"/>
    <n v="0.12"/>
    <x v="21"/>
    <n v="1700"/>
    <n v="1000"/>
    <n v="0.22727272727272727"/>
    <x v="2"/>
    <x v="3"/>
    <n v="3"/>
    <x v="1"/>
    <n v="3"/>
    <s v="Average"/>
    <x v="8"/>
    <s v="Q4"/>
    <x v="0"/>
    <s v="Friday"/>
    <s v="18-25"/>
    <x v="2"/>
    <s v="Medium"/>
    <s v="Bronze"/>
  </r>
  <r>
    <x v="207"/>
    <x v="106"/>
    <d v="2026-09-07T00:00:00"/>
    <s v="CUST208"/>
    <x v="73"/>
    <s v="Male"/>
    <n v="38"/>
    <s v="Ahmedabad"/>
    <x v="6"/>
    <x v="1"/>
    <s v="P108"/>
    <x v="2"/>
    <x v="2"/>
    <s v="Mixer"/>
    <x v="2"/>
    <n v="4"/>
    <n v="3500"/>
    <n v="0.15"/>
    <x v="13"/>
    <n v="2500"/>
    <n v="1900"/>
    <n v="0.15966386554621848"/>
    <x v="3"/>
    <x v="1"/>
    <n v="5"/>
    <x v="1"/>
    <n v="5"/>
    <s v="Excellent"/>
    <x v="5"/>
    <s v="Q3"/>
    <x v="0"/>
    <s v="Wednesday"/>
    <s v="36-45"/>
    <x v="1"/>
    <s v="Medium"/>
    <s v="Bronze"/>
  </r>
  <r>
    <x v="208"/>
    <x v="153"/>
    <d v="2026-10-09T00:00:00"/>
    <s v="CUST209"/>
    <x v="10"/>
    <s v="Female"/>
    <n v="20"/>
    <s v="Delhi"/>
    <x v="4"/>
    <x v="3"/>
    <s v="P108"/>
    <x v="2"/>
    <x v="2"/>
    <s v="Mixer"/>
    <x v="2"/>
    <n v="5"/>
    <n v="3500"/>
    <n v="0.2"/>
    <x v="140"/>
    <n v="2500"/>
    <n v="1500"/>
    <n v="0.10714285714285714"/>
    <x v="1"/>
    <x v="3"/>
    <n v="2"/>
    <x v="1"/>
    <n v="4"/>
    <s v="Excellent"/>
    <x v="1"/>
    <s v="Q4"/>
    <x v="0"/>
    <s v="Wednesday"/>
    <s v="18-25"/>
    <x v="1"/>
    <s v="High"/>
    <s v="Bronze"/>
  </r>
  <r>
    <x v="209"/>
    <x v="154"/>
    <d v="2026-09-14T00:00:00"/>
    <s v="CUST210"/>
    <x v="61"/>
    <s v="Male"/>
    <n v="36"/>
    <s v="Kolkata"/>
    <x v="3"/>
    <x v="2"/>
    <s v="P108"/>
    <x v="2"/>
    <x v="2"/>
    <s v="Mixer"/>
    <x v="2"/>
    <n v="1"/>
    <n v="3500"/>
    <n v="0.15"/>
    <x v="49"/>
    <n v="2500"/>
    <n v="475"/>
    <n v="0.15966386554621848"/>
    <x v="3"/>
    <x v="2"/>
    <n v="3"/>
    <x v="1"/>
    <n v="3"/>
    <s v="Average"/>
    <x v="5"/>
    <s v="Q3"/>
    <x v="0"/>
    <s v="Friday"/>
    <s v="36-45"/>
    <x v="2"/>
    <s v="Medium"/>
    <s v="Bronze"/>
  </r>
  <r>
    <x v="210"/>
    <x v="63"/>
    <d v="2026-08-26T00:00:00"/>
    <s v="CUST211"/>
    <x v="129"/>
    <s v="Female"/>
    <n v="37"/>
    <s v="Kolkata"/>
    <x v="3"/>
    <x v="2"/>
    <s v="P107"/>
    <x v="1"/>
    <x v="1"/>
    <s v="Shoes"/>
    <x v="1"/>
    <n v="3"/>
    <n v="4500"/>
    <n v="0.15"/>
    <x v="16"/>
    <n v="3000"/>
    <n v="2475"/>
    <n v="0.21568627450980393"/>
    <x v="5"/>
    <x v="0"/>
    <n v="2"/>
    <x v="1"/>
    <n v="4"/>
    <s v="Excellent"/>
    <x v="6"/>
    <s v="Q3"/>
    <x v="0"/>
    <s v="Monday"/>
    <s v="36-45"/>
    <x v="1"/>
    <s v="Medium"/>
    <s v="Bronze"/>
  </r>
  <r>
    <x v="211"/>
    <x v="143"/>
    <d v="2026-02-07T00:00:00"/>
    <s v="CUST212"/>
    <x v="91"/>
    <s v="Female"/>
    <n v="31"/>
    <s v="Ahmedabad"/>
    <x v="6"/>
    <x v="1"/>
    <s v="P105"/>
    <x v="3"/>
    <x v="0"/>
    <s v="Television"/>
    <x v="3"/>
    <n v="5"/>
    <n v="42000"/>
    <n v="0.15"/>
    <x v="40"/>
    <n v="35000"/>
    <n v="3500"/>
    <n v="1.9607843137254902E-2"/>
    <x v="4"/>
    <x v="3"/>
    <n v="2"/>
    <x v="0"/>
    <n v="4"/>
    <s v="Excellent"/>
    <x v="9"/>
    <s v="Q1"/>
    <x v="0"/>
    <s v="Thursday"/>
    <s v="26-35"/>
    <x v="0"/>
    <s v="Medium"/>
    <s v="VIP"/>
  </r>
  <r>
    <x v="212"/>
    <x v="155"/>
    <d v="2026-05-15T00:00:00"/>
    <s v="CUST213"/>
    <x v="130"/>
    <s v="Female"/>
    <n v="42"/>
    <s v="Delhi"/>
    <x v="4"/>
    <x v="3"/>
    <s v="P102"/>
    <x v="6"/>
    <x v="0"/>
    <s v="Mobile"/>
    <x v="6"/>
    <n v="2"/>
    <n v="79900"/>
    <n v="0.12"/>
    <x v="141"/>
    <n v="65000"/>
    <n v="10624"/>
    <n v="7.5548981681647517E-2"/>
    <x v="5"/>
    <x v="1"/>
    <n v="5"/>
    <x v="0"/>
    <n v="2"/>
    <s v="Average"/>
    <x v="7"/>
    <s v="Q2"/>
    <x v="0"/>
    <s v="Sunday"/>
    <s v="36-45"/>
    <x v="0"/>
    <s v="Medium"/>
    <s v="VIP"/>
  </r>
  <r>
    <x v="213"/>
    <x v="156"/>
    <d v="2026-11-07T00:00:00"/>
    <s v="CUST214"/>
    <x v="120"/>
    <s v="Female"/>
    <n v="28"/>
    <s v="Delhi"/>
    <x v="4"/>
    <x v="3"/>
    <s v="P106"/>
    <x v="5"/>
    <x v="0"/>
    <s v="Headphones"/>
    <x v="5"/>
    <n v="5"/>
    <n v="2500"/>
    <n v="0.08"/>
    <x v="61"/>
    <n v="1700"/>
    <n v="3000"/>
    <n v="0.2608695652173913"/>
    <x v="5"/>
    <x v="1"/>
    <n v="4"/>
    <x v="1"/>
    <n v="3"/>
    <s v="Average"/>
    <x v="2"/>
    <s v="Q4"/>
    <x v="0"/>
    <s v="Tuesday"/>
    <s v="26-35"/>
    <x v="1"/>
    <s v="Medium"/>
    <s v="Bronze"/>
  </r>
  <r>
    <x v="214"/>
    <x v="157"/>
    <d v="2026-11-03T00:00:00"/>
    <s v="CUST215"/>
    <x v="131"/>
    <s v="Male"/>
    <n v="29"/>
    <s v="Bengaluru"/>
    <x v="5"/>
    <x v="0"/>
    <s v="P102"/>
    <x v="6"/>
    <x v="0"/>
    <s v="Mobile"/>
    <x v="6"/>
    <n v="4"/>
    <n v="79900"/>
    <n v="0.1"/>
    <x v="142"/>
    <n v="65000"/>
    <n v="27640"/>
    <n v="9.6092337644277576E-2"/>
    <x v="4"/>
    <x v="3"/>
    <n v="4"/>
    <x v="0"/>
    <n v="5"/>
    <s v="Excellent"/>
    <x v="1"/>
    <s v="Q4"/>
    <x v="0"/>
    <s v="Friday"/>
    <s v="26-35"/>
    <x v="0"/>
    <s v="Medium"/>
    <s v="VIP"/>
  </r>
  <r>
    <x v="215"/>
    <x v="103"/>
    <d v="2026-09-10T00:00:00"/>
    <s v="CUST216"/>
    <x v="28"/>
    <s v="Female"/>
    <n v="42"/>
    <s v="Kolkata"/>
    <x v="3"/>
    <x v="2"/>
    <s v="P106"/>
    <x v="5"/>
    <x v="0"/>
    <s v="Headphones"/>
    <x v="5"/>
    <n v="3"/>
    <n v="2500"/>
    <n v="0.05"/>
    <x v="124"/>
    <n v="1700"/>
    <n v="2025"/>
    <n v="0.28421052631578947"/>
    <x v="4"/>
    <x v="2"/>
    <n v="4"/>
    <x v="1"/>
    <n v="2"/>
    <s v="Average"/>
    <x v="5"/>
    <s v="Q3"/>
    <x v="0"/>
    <s v="Sunday"/>
    <s v="36-45"/>
    <x v="2"/>
    <s v="Low"/>
    <s v="Bronze"/>
  </r>
  <r>
    <x v="216"/>
    <x v="0"/>
    <d v="2026-02-03T00:00:00"/>
    <s v="CUST217"/>
    <x v="132"/>
    <s v="Female"/>
    <n v="22"/>
    <s v="Delhi"/>
    <x v="4"/>
    <x v="3"/>
    <s v="P103"/>
    <x v="0"/>
    <x v="0"/>
    <s v="Laptop"/>
    <x v="0"/>
    <n v="1"/>
    <n v="62000"/>
    <n v="0.1"/>
    <x v="110"/>
    <n v="52000"/>
    <n v="3800"/>
    <n v="6.8100358422939072E-2"/>
    <x v="0"/>
    <x v="3"/>
    <n v="5"/>
    <x v="0"/>
    <n v="2"/>
    <s v="Average"/>
    <x v="0"/>
    <s v="Q1"/>
    <x v="0"/>
    <s v="Thursday"/>
    <s v="18-25"/>
    <x v="0"/>
    <s v="Medium"/>
    <s v="Gold"/>
  </r>
  <r>
    <x v="217"/>
    <x v="114"/>
    <d v="2026-10-25T00:00:00"/>
    <s v="CUST218"/>
    <x v="133"/>
    <s v="Male"/>
    <n v="30"/>
    <s v="Kolkata"/>
    <x v="3"/>
    <x v="2"/>
    <s v="P108"/>
    <x v="2"/>
    <x v="2"/>
    <s v="Mixer"/>
    <x v="2"/>
    <n v="3"/>
    <n v="3500"/>
    <n v="0.05"/>
    <x v="126"/>
    <n v="2500"/>
    <n v="2475"/>
    <n v="0.24812030075187969"/>
    <x v="1"/>
    <x v="1"/>
    <n v="2"/>
    <x v="1"/>
    <n v="5"/>
    <s v="Excellent"/>
    <x v="1"/>
    <s v="Q4"/>
    <x v="0"/>
    <s v="Friday"/>
    <s v="26-35"/>
    <x v="2"/>
    <s v="Low"/>
    <s v="Bronze"/>
  </r>
  <r>
    <x v="218"/>
    <x v="158"/>
    <d v="2026-10-06T00:00:00"/>
    <s v="CUST219"/>
    <x v="34"/>
    <s v="Female"/>
    <n v="42"/>
    <s v="Chennai"/>
    <x v="0"/>
    <x v="0"/>
    <s v="P104"/>
    <x v="4"/>
    <x v="0"/>
    <s v="Laptop"/>
    <x v="4"/>
    <n v="3"/>
    <n v="58000"/>
    <n v="0.15"/>
    <x v="143"/>
    <n v="49000"/>
    <n v="900"/>
    <n v="6.0851926977687626E-3"/>
    <x v="4"/>
    <x v="1"/>
    <n v="3"/>
    <x v="0"/>
    <n v="3"/>
    <s v="Average"/>
    <x v="1"/>
    <s v="Q4"/>
    <x v="0"/>
    <s v="Saturday"/>
    <s v="36-45"/>
    <x v="0"/>
    <s v="Medium"/>
    <s v="VIP"/>
  </r>
  <r>
    <x v="219"/>
    <x v="159"/>
    <d v="2026-03-14T00:00:00"/>
    <s v="CUST220"/>
    <x v="134"/>
    <s v="Male"/>
    <n v="35"/>
    <s v="Ahmedabad"/>
    <x v="6"/>
    <x v="1"/>
    <s v="P105"/>
    <x v="3"/>
    <x v="0"/>
    <s v="Television"/>
    <x v="3"/>
    <n v="1"/>
    <n v="42000"/>
    <n v="0.1"/>
    <x v="10"/>
    <n v="35000"/>
    <n v="2800"/>
    <n v="7.407407407407407E-2"/>
    <x v="5"/>
    <x v="1"/>
    <n v="6"/>
    <x v="1"/>
    <n v="2"/>
    <s v="Average"/>
    <x v="10"/>
    <s v="Q1"/>
    <x v="0"/>
    <s v="Sunday"/>
    <s v="26-35"/>
    <x v="0"/>
    <s v="Medium"/>
    <s v="Silver"/>
  </r>
  <r>
    <x v="220"/>
    <x v="160"/>
    <d v="2026-10-12T00:00:00"/>
    <s v="CUST221"/>
    <x v="18"/>
    <s v="Female"/>
    <n v="20"/>
    <s v="Bengaluru"/>
    <x v="5"/>
    <x v="0"/>
    <s v="P105"/>
    <x v="3"/>
    <x v="0"/>
    <s v="Television"/>
    <x v="3"/>
    <n v="2"/>
    <n v="42000"/>
    <n v="0.2"/>
    <x v="58"/>
    <n v="35000"/>
    <n v="-2800"/>
    <n v="-4.1666666666666664E-2"/>
    <x v="2"/>
    <x v="1"/>
    <n v="4"/>
    <x v="0"/>
    <n v="3"/>
    <s v="Average"/>
    <x v="1"/>
    <s v="Q4"/>
    <x v="0"/>
    <s v="Thursday"/>
    <s v="18-25"/>
    <x v="0"/>
    <s v="High"/>
    <s v="Gold"/>
  </r>
  <r>
    <x v="221"/>
    <x v="161"/>
    <d v="2026-09-13T00:00:00"/>
    <s v="CUST222"/>
    <x v="69"/>
    <s v="Female"/>
    <n v="31"/>
    <s v="Mumbai"/>
    <x v="2"/>
    <x v="1"/>
    <s v="P105"/>
    <x v="3"/>
    <x v="0"/>
    <s v="Television"/>
    <x v="3"/>
    <n v="2"/>
    <n v="42000"/>
    <n v="0.15"/>
    <x v="97"/>
    <n v="35000"/>
    <n v="1400"/>
    <n v="1.9607843137254902E-2"/>
    <x v="2"/>
    <x v="0"/>
    <n v="5"/>
    <x v="0"/>
    <n v="2"/>
    <s v="Average"/>
    <x v="5"/>
    <s v="Q3"/>
    <x v="0"/>
    <s v="Tuesday"/>
    <s v="26-35"/>
    <x v="0"/>
    <s v="Medium"/>
    <s v="Gold"/>
  </r>
  <r>
    <x v="222"/>
    <x v="158"/>
    <d v="2026-10-05T00:00:00"/>
    <s v="CUST223"/>
    <x v="10"/>
    <s v="Male"/>
    <n v="21"/>
    <s v="Surat"/>
    <x v="6"/>
    <x v="1"/>
    <s v="P106"/>
    <x v="5"/>
    <x v="0"/>
    <s v="Headphones"/>
    <x v="5"/>
    <n v="3"/>
    <n v="2500"/>
    <n v="0.2"/>
    <x v="64"/>
    <n v="1700"/>
    <n v="900"/>
    <n v="0.15"/>
    <x v="1"/>
    <x v="1"/>
    <n v="2"/>
    <x v="1"/>
    <n v="2"/>
    <s v="Average"/>
    <x v="1"/>
    <s v="Q4"/>
    <x v="0"/>
    <s v="Saturday"/>
    <s v="18-25"/>
    <x v="2"/>
    <s v="High"/>
    <s v="Bronze"/>
  </r>
  <r>
    <x v="223"/>
    <x v="109"/>
    <d v="2026-09-23T00:00:00"/>
    <s v="CUST224"/>
    <x v="81"/>
    <s v="Female"/>
    <n v="30"/>
    <s v="Chennai"/>
    <x v="0"/>
    <x v="0"/>
    <s v="P107"/>
    <x v="1"/>
    <x v="1"/>
    <s v="Shoes"/>
    <x v="1"/>
    <n v="5"/>
    <n v="4500"/>
    <n v="0.2"/>
    <x v="24"/>
    <n v="3000"/>
    <n v="3000"/>
    <n v="0.16666666666666666"/>
    <x v="0"/>
    <x v="1"/>
    <n v="6"/>
    <x v="1"/>
    <n v="5"/>
    <s v="Excellent"/>
    <x v="5"/>
    <s v="Q3"/>
    <x v="0"/>
    <s v="Thursday"/>
    <s v="26-35"/>
    <x v="1"/>
    <s v="High"/>
    <s v="Silver"/>
  </r>
  <r>
    <x v="224"/>
    <x v="39"/>
    <d v="2026-01-30T00:00:00"/>
    <s v="CUST225"/>
    <x v="127"/>
    <s v="Male"/>
    <n v="44"/>
    <s v="Hyderabad"/>
    <x v="1"/>
    <x v="0"/>
    <s v="P108"/>
    <x v="2"/>
    <x v="2"/>
    <s v="Mixer"/>
    <x v="2"/>
    <n v="5"/>
    <n v="3500"/>
    <n v="0.1"/>
    <x v="144"/>
    <n v="2500"/>
    <n v="3250"/>
    <n v="0.20634920634920634"/>
    <x v="0"/>
    <x v="2"/>
    <n v="6"/>
    <x v="1"/>
    <n v="4"/>
    <s v="Excellent"/>
    <x v="0"/>
    <s v="Q1"/>
    <x v="0"/>
    <s v="Saturday"/>
    <s v="36-45"/>
    <x v="1"/>
    <s v="Medium"/>
    <s v="Silver"/>
  </r>
  <r>
    <x v="225"/>
    <x v="162"/>
    <d v="2026-08-21T00:00:00"/>
    <s v="CUST226"/>
    <x v="20"/>
    <s v="Male"/>
    <n v="50"/>
    <s v="Surat"/>
    <x v="6"/>
    <x v="1"/>
    <s v="P105"/>
    <x v="3"/>
    <x v="0"/>
    <s v="Television"/>
    <x v="3"/>
    <n v="2"/>
    <n v="42000"/>
    <n v="0.05"/>
    <x v="145"/>
    <n v="35000"/>
    <n v="9800"/>
    <n v="0.12280701754385964"/>
    <x v="0"/>
    <x v="1"/>
    <n v="3"/>
    <x v="0"/>
    <n v="3"/>
    <s v="Average"/>
    <x v="6"/>
    <s v="Q3"/>
    <x v="0"/>
    <s v="Tuesday"/>
    <s v="46+"/>
    <x v="0"/>
    <s v="Low"/>
    <s v="Gold"/>
  </r>
  <r>
    <x v="226"/>
    <x v="23"/>
    <d v="2026-08-27T00:00:00"/>
    <s v="CUST227"/>
    <x v="36"/>
    <s v="Female"/>
    <n v="38"/>
    <s v="Delhi"/>
    <x v="4"/>
    <x v="3"/>
    <s v="P103"/>
    <x v="0"/>
    <x v="0"/>
    <s v="Laptop"/>
    <x v="0"/>
    <n v="2"/>
    <n v="62000"/>
    <n v="0.2"/>
    <x v="146"/>
    <n v="52000"/>
    <n v="-4800"/>
    <n v="-4.8387096774193547E-2"/>
    <x v="3"/>
    <x v="1"/>
    <n v="6"/>
    <x v="0"/>
    <n v="5"/>
    <s v="Excellent"/>
    <x v="6"/>
    <s v="Q3"/>
    <x v="0"/>
    <s v="Friday"/>
    <s v="36-45"/>
    <x v="0"/>
    <s v="High"/>
    <s v="VIP"/>
  </r>
  <r>
    <x v="227"/>
    <x v="163"/>
    <d v="2026-08-25T00:00:00"/>
    <s v="CUST228"/>
    <x v="135"/>
    <s v="Male"/>
    <n v="44"/>
    <s v="Surat"/>
    <x v="6"/>
    <x v="1"/>
    <s v="P104"/>
    <x v="4"/>
    <x v="0"/>
    <s v="Laptop"/>
    <x v="4"/>
    <n v="4"/>
    <n v="58000"/>
    <n v="0.15"/>
    <x v="80"/>
    <n v="49000"/>
    <n v="1200"/>
    <n v="6.0851926977687626E-3"/>
    <x v="4"/>
    <x v="2"/>
    <n v="2"/>
    <x v="0"/>
    <n v="4"/>
    <s v="Excellent"/>
    <x v="6"/>
    <s v="Q3"/>
    <x v="0"/>
    <s v="Sunday"/>
    <s v="36-45"/>
    <x v="0"/>
    <s v="Medium"/>
    <s v="VIP"/>
  </r>
  <r>
    <x v="228"/>
    <x v="34"/>
    <d v="2026-04-19T00:00:00"/>
    <s v="CUST229"/>
    <x v="136"/>
    <s v="Male"/>
    <n v="41"/>
    <s v="Chennai"/>
    <x v="0"/>
    <x v="0"/>
    <s v="P101"/>
    <x v="7"/>
    <x v="0"/>
    <s v="Mobile"/>
    <x v="7"/>
    <n v="5"/>
    <n v="28500"/>
    <n v="0.12"/>
    <x v="43"/>
    <n v="22000"/>
    <n v="15400"/>
    <n v="0.12280701754385964"/>
    <x v="2"/>
    <x v="2"/>
    <n v="2"/>
    <x v="0"/>
    <n v="5"/>
    <s v="Excellent"/>
    <x v="3"/>
    <s v="Q2"/>
    <x v="0"/>
    <s v="Friday"/>
    <s v="36-45"/>
    <x v="0"/>
    <s v="Medium"/>
    <s v="VIP"/>
  </r>
  <r>
    <x v="229"/>
    <x v="7"/>
    <d v="2026-09-28T00:00:00"/>
    <s v="CUST230"/>
    <x v="137"/>
    <s v="Male"/>
    <n v="25"/>
    <s v="Bengaluru"/>
    <x v="5"/>
    <x v="0"/>
    <s v="P103"/>
    <x v="0"/>
    <x v="0"/>
    <s v="Laptop"/>
    <x v="0"/>
    <n v="5"/>
    <n v="62000"/>
    <n v="0.08"/>
    <x v="147"/>
    <n v="52000"/>
    <n v="25200"/>
    <n v="8.8359046283309955E-2"/>
    <x v="3"/>
    <x v="2"/>
    <n v="5"/>
    <x v="0"/>
    <n v="4"/>
    <s v="Excellent"/>
    <x v="5"/>
    <s v="Q3"/>
    <x v="0"/>
    <s v="Wednesday"/>
    <s v="18-25"/>
    <x v="0"/>
    <s v="Medium"/>
    <s v="VIP"/>
  </r>
  <r>
    <x v="230"/>
    <x v="131"/>
    <d v="2026-02-20T00:00:00"/>
    <s v="CUST231"/>
    <x v="138"/>
    <s v="Female"/>
    <n v="46"/>
    <s v="Surat"/>
    <x v="6"/>
    <x v="1"/>
    <s v="P105"/>
    <x v="3"/>
    <x v="0"/>
    <s v="Television"/>
    <x v="3"/>
    <n v="5"/>
    <n v="42000"/>
    <n v="0.15"/>
    <x v="40"/>
    <n v="35000"/>
    <n v="3500"/>
    <n v="1.9607843137254902E-2"/>
    <x v="5"/>
    <x v="1"/>
    <n v="4"/>
    <x v="0"/>
    <n v="2"/>
    <s v="Average"/>
    <x v="9"/>
    <s v="Q1"/>
    <x v="0"/>
    <s v="Monday"/>
    <s v="46+"/>
    <x v="0"/>
    <s v="Medium"/>
    <s v="VIP"/>
  </r>
  <r>
    <x v="231"/>
    <x v="94"/>
    <d v="2026-03-29T00:00:00"/>
    <s v="CUST232"/>
    <x v="74"/>
    <s v="Male"/>
    <n v="21"/>
    <s v="Hyderabad"/>
    <x v="1"/>
    <x v="0"/>
    <s v="P105"/>
    <x v="3"/>
    <x v="0"/>
    <s v="Television"/>
    <x v="3"/>
    <n v="2"/>
    <n v="42000"/>
    <n v="0.08"/>
    <x v="19"/>
    <n v="35000"/>
    <n v="7280"/>
    <n v="9.420289855072464E-2"/>
    <x v="5"/>
    <x v="0"/>
    <n v="3"/>
    <x v="0"/>
    <n v="5"/>
    <s v="Excellent"/>
    <x v="10"/>
    <s v="Q1"/>
    <x v="0"/>
    <s v="Thursday"/>
    <s v="18-25"/>
    <x v="0"/>
    <s v="Medium"/>
    <s v="Gold"/>
  </r>
  <r>
    <x v="232"/>
    <x v="49"/>
    <d v="2026-04-19T00:00:00"/>
    <s v="CUST233"/>
    <x v="65"/>
    <s v="Male"/>
    <n v="35"/>
    <s v="Ahmedabad"/>
    <x v="6"/>
    <x v="1"/>
    <s v="P107"/>
    <x v="1"/>
    <x v="1"/>
    <s v="Shoes"/>
    <x v="1"/>
    <n v="4"/>
    <n v="4500"/>
    <n v="0.05"/>
    <x v="132"/>
    <n v="3000"/>
    <n v="5100"/>
    <n v="0.2982456140350877"/>
    <x v="5"/>
    <x v="1"/>
    <n v="3"/>
    <x v="1"/>
    <n v="2"/>
    <s v="Average"/>
    <x v="3"/>
    <s v="Q2"/>
    <x v="0"/>
    <s v="Thursday"/>
    <s v="26-35"/>
    <x v="1"/>
    <s v="Low"/>
    <s v="Silver"/>
  </r>
  <r>
    <x v="233"/>
    <x v="164"/>
    <d v="2026-02-27T00:00:00"/>
    <s v="CUST234"/>
    <x v="139"/>
    <s v="Female"/>
    <n v="32"/>
    <s v="Mumbai"/>
    <x v="2"/>
    <x v="1"/>
    <s v="P101"/>
    <x v="7"/>
    <x v="0"/>
    <s v="Mobile"/>
    <x v="7"/>
    <n v="1"/>
    <n v="28500"/>
    <n v="0.1"/>
    <x v="148"/>
    <n v="22000"/>
    <n v="3650"/>
    <n v="0.14230019493177387"/>
    <x v="0"/>
    <x v="1"/>
    <n v="3"/>
    <x v="1"/>
    <n v="3"/>
    <s v="Average"/>
    <x v="9"/>
    <s v="Q1"/>
    <x v="0"/>
    <s v="Tuesday"/>
    <s v="26-35"/>
    <x v="1"/>
    <s v="Medium"/>
    <s v="Silver"/>
  </r>
  <r>
    <x v="234"/>
    <x v="59"/>
    <d v="2026-12-06T00:00:00"/>
    <s v="CUST235"/>
    <x v="135"/>
    <s v="Female"/>
    <n v="46"/>
    <s v="Surat"/>
    <x v="6"/>
    <x v="1"/>
    <s v="P102"/>
    <x v="6"/>
    <x v="0"/>
    <s v="Mobile"/>
    <x v="6"/>
    <n v="4"/>
    <n v="79900"/>
    <n v="0.15"/>
    <x v="109"/>
    <n v="65000"/>
    <n v="11660"/>
    <n v="4.292129868217625E-2"/>
    <x v="0"/>
    <x v="2"/>
    <n v="3"/>
    <x v="0"/>
    <n v="2"/>
    <s v="Average"/>
    <x v="8"/>
    <s v="Q4"/>
    <x v="0"/>
    <s v="Thursday"/>
    <s v="46+"/>
    <x v="0"/>
    <s v="Medium"/>
    <s v="VIP"/>
  </r>
  <r>
    <x v="235"/>
    <x v="120"/>
    <d v="2026-01-13T00:00:00"/>
    <s v="CUST236"/>
    <x v="108"/>
    <s v="Female"/>
    <n v="40"/>
    <s v="Ahmedabad"/>
    <x v="6"/>
    <x v="1"/>
    <s v="P104"/>
    <x v="4"/>
    <x v="0"/>
    <s v="Laptop"/>
    <x v="4"/>
    <n v="5"/>
    <n v="58000"/>
    <n v="0.12"/>
    <x v="136"/>
    <n v="49000"/>
    <n v="10200"/>
    <n v="3.9968652037617555E-2"/>
    <x v="1"/>
    <x v="2"/>
    <n v="5"/>
    <x v="0"/>
    <n v="3"/>
    <s v="Average"/>
    <x v="0"/>
    <s v="Q1"/>
    <x v="0"/>
    <s v="Thursday"/>
    <s v="36-45"/>
    <x v="0"/>
    <s v="Medium"/>
    <s v="VIP"/>
  </r>
  <r>
    <x v="236"/>
    <x v="60"/>
    <d v="2026-07-03T00:00:00"/>
    <s v="CUST237"/>
    <x v="140"/>
    <s v="Female"/>
    <n v="23"/>
    <s v="Bengaluru"/>
    <x v="5"/>
    <x v="0"/>
    <s v="P106"/>
    <x v="5"/>
    <x v="0"/>
    <s v="Headphones"/>
    <x v="5"/>
    <n v="4"/>
    <n v="2500"/>
    <n v="0.15"/>
    <x v="68"/>
    <n v="1700"/>
    <n v="1700"/>
    <n v="0.2"/>
    <x v="4"/>
    <x v="3"/>
    <n v="3"/>
    <x v="1"/>
    <n v="2"/>
    <s v="Average"/>
    <x v="11"/>
    <s v="Q2"/>
    <x v="0"/>
    <s v="Tuesday"/>
    <s v="18-25"/>
    <x v="2"/>
    <s v="Medium"/>
    <s v="Bronze"/>
  </r>
  <r>
    <x v="237"/>
    <x v="165"/>
    <d v="2026-08-16T00:00:00"/>
    <s v="CUST238"/>
    <x v="141"/>
    <s v="Female"/>
    <n v="25"/>
    <s v="Chennai"/>
    <x v="0"/>
    <x v="0"/>
    <s v="P106"/>
    <x v="5"/>
    <x v="0"/>
    <s v="Headphones"/>
    <x v="5"/>
    <n v="5"/>
    <n v="2500"/>
    <n v="0.08"/>
    <x v="61"/>
    <n v="1700"/>
    <n v="3000"/>
    <n v="0.2608695652173913"/>
    <x v="5"/>
    <x v="1"/>
    <n v="4"/>
    <x v="1"/>
    <n v="5"/>
    <s v="Excellent"/>
    <x v="6"/>
    <s v="Q3"/>
    <x v="0"/>
    <s v="Wednesday"/>
    <s v="18-25"/>
    <x v="1"/>
    <s v="Medium"/>
    <s v="Bronze"/>
  </r>
  <r>
    <x v="238"/>
    <x v="19"/>
    <d v="2026-02-25T00:00:00"/>
    <s v="CUST239"/>
    <x v="142"/>
    <s v="Female"/>
    <n v="22"/>
    <s v="Ahmedabad"/>
    <x v="6"/>
    <x v="1"/>
    <s v="P102"/>
    <x v="6"/>
    <x v="0"/>
    <s v="Mobile"/>
    <x v="6"/>
    <n v="4"/>
    <n v="79900"/>
    <n v="0.1"/>
    <x v="142"/>
    <n v="65000"/>
    <n v="27640"/>
    <n v="9.6092337644277576E-2"/>
    <x v="5"/>
    <x v="2"/>
    <n v="2"/>
    <x v="0"/>
    <n v="4"/>
    <s v="Excellent"/>
    <x v="9"/>
    <s v="Q1"/>
    <x v="0"/>
    <s v="Monday"/>
    <s v="18-25"/>
    <x v="0"/>
    <s v="Medium"/>
    <s v="VIP"/>
  </r>
  <r>
    <x v="239"/>
    <x v="125"/>
    <d v="2026-05-21T00:00:00"/>
    <s v="CUST240"/>
    <x v="50"/>
    <s v="Male"/>
    <n v="36"/>
    <s v="Surat"/>
    <x v="6"/>
    <x v="1"/>
    <s v="P103"/>
    <x v="0"/>
    <x v="0"/>
    <s v="Laptop"/>
    <x v="0"/>
    <n v="4"/>
    <n v="62000"/>
    <n v="0.15"/>
    <x v="99"/>
    <n v="52000"/>
    <n v="2800"/>
    <n v="1.3282732447817837E-2"/>
    <x v="4"/>
    <x v="0"/>
    <n v="6"/>
    <x v="0"/>
    <n v="2"/>
    <s v="Average"/>
    <x v="7"/>
    <s v="Q2"/>
    <x v="0"/>
    <s v="Friday"/>
    <s v="36-45"/>
    <x v="0"/>
    <s v="Medium"/>
    <s v="VIP"/>
  </r>
  <r>
    <x v="240"/>
    <x v="166"/>
    <d v="2026-06-04T00:00:00"/>
    <s v="CUST241"/>
    <x v="85"/>
    <s v="Female"/>
    <n v="26"/>
    <s v="Surat"/>
    <x v="6"/>
    <x v="1"/>
    <s v="P104"/>
    <x v="4"/>
    <x v="0"/>
    <s v="Laptop"/>
    <x v="4"/>
    <n v="3"/>
    <n v="58000"/>
    <n v="0.08"/>
    <x v="149"/>
    <n v="49000"/>
    <n v="13080"/>
    <n v="8.1709145427286356E-2"/>
    <x v="4"/>
    <x v="2"/>
    <n v="3"/>
    <x v="0"/>
    <n v="3"/>
    <s v="Average"/>
    <x v="11"/>
    <s v="Q2"/>
    <x v="0"/>
    <s v="Monday"/>
    <s v="26-35"/>
    <x v="0"/>
    <s v="Medium"/>
    <s v="VIP"/>
  </r>
  <r>
    <x v="241"/>
    <x v="167"/>
    <d v="2026-11-16T00:00:00"/>
    <s v="CUST242"/>
    <x v="9"/>
    <s v="Male"/>
    <n v="32"/>
    <s v="Ahmedabad"/>
    <x v="6"/>
    <x v="1"/>
    <s v="P107"/>
    <x v="1"/>
    <x v="1"/>
    <s v="Shoes"/>
    <x v="1"/>
    <n v="2"/>
    <n v="4500"/>
    <n v="0.12"/>
    <x v="150"/>
    <n v="3000"/>
    <n v="1920"/>
    <n v="0.24242424242424243"/>
    <x v="4"/>
    <x v="2"/>
    <n v="6"/>
    <x v="1"/>
    <n v="5"/>
    <s v="Excellent"/>
    <x v="2"/>
    <s v="Q4"/>
    <x v="0"/>
    <s v="Tuesday"/>
    <s v="26-35"/>
    <x v="2"/>
    <s v="Medium"/>
    <s v="Bronze"/>
  </r>
  <r>
    <x v="242"/>
    <x v="168"/>
    <d v="2026-12-19T00:00:00"/>
    <s v="CUST243"/>
    <x v="15"/>
    <s v="Male"/>
    <n v="38"/>
    <s v="Ahmedabad"/>
    <x v="6"/>
    <x v="1"/>
    <s v="P102"/>
    <x v="6"/>
    <x v="0"/>
    <s v="Mobile"/>
    <x v="6"/>
    <n v="5"/>
    <n v="79900"/>
    <n v="0.2"/>
    <x v="151"/>
    <n v="65000"/>
    <n v="-5400"/>
    <n v="-1.6896120150187734E-2"/>
    <x v="5"/>
    <x v="0"/>
    <n v="2"/>
    <x v="0"/>
    <n v="5"/>
    <s v="Excellent"/>
    <x v="8"/>
    <s v="Q4"/>
    <x v="0"/>
    <s v="Thursday"/>
    <s v="36-45"/>
    <x v="0"/>
    <s v="High"/>
    <s v="VIP"/>
  </r>
  <r>
    <x v="243"/>
    <x v="169"/>
    <d v="2026-11-09T00:00:00"/>
    <s v="CUST244"/>
    <x v="72"/>
    <s v="Female"/>
    <n v="34"/>
    <s v="Chennai"/>
    <x v="0"/>
    <x v="0"/>
    <s v="P106"/>
    <x v="5"/>
    <x v="0"/>
    <s v="Headphones"/>
    <x v="5"/>
    <n v="3"/>
    <n v="2500"/>
    <n v="0.05"/>
    <x v="124"/>
    <n v="1700"/>
    <n v="2025"/>
    <n v="0.28421052631578947"/>
    <x v="3"/>
    <x v="2"/>
    <n v="5"/>
    <x v="1"/>
    <n v="5"/>
    <s v="Excellent"/>
    <x v="2"/>
    <s v="Q4"/>
    <x v="0"/>
    <s v="Wednesday"/>
    <s v="26-35"/>
    <x v="2"/>
    <s v="Low"/>
    <s v="Bronze"/>
  </r>
  <r>
    <x v="244"/>
    <x v="1"/>
    <d v="2026-10-13T00:00:00"/>
    <s v="CUST245"/>
    <x v="19"/>
    <s v="Female"/>
    <n v="41"/>
    <s v="Hyderabad"/>
    <x v="1"/>
    <x v="0"/>
    <s v="P103"/>
    <x v="0"/>
    <x v="0"/>
    <s v="Laptop"/>
    <x v="0"/>
    <n v="1"/>
    <n v="62000"/>
    <n v="0.1"/>
    <x v="110"/>
    <n v="52000"/>
    <n v="3800"/>
    <n v="6.8100358422939072E-2"/>
    <x v="4"/>
    <x v="3"/>
    <n v="2"/>
    <x v="0"/>
    <n v="4"/>
    <s v="Excellent"/>
    <x v="1"/>
    <s v="Q4"/>
    <x v="0"/>
    <s v="Sunday"/>
    <s v="36-45"/>
    <x v="0"/>
    <s v="Medium"/>
    <s v="Gold"/>
  </r>
  <r>
    <x v="245"/>
    <x v="170"/>
    <d v="2026-01-25T00:00:00"/>
    <s v="CUST246"/>
    <x v="69"/>
    <s v="Male"/>
    <n v="49"/>
    <s v="Chennai"/>
    <x v="0"/>
    <x v="0"/>
    <s v="P108"/>
    <x v="2"/>
    <x v="2"/>
    <s v="Mixer"/>
    <x v="2"/>
    <n v="2"/>
    <n v="3500"/>
    <n v="0.15"/>
    <x v="152"/>
    <n v="2500"/>
    <n v="950"/>
    <n v="0.15966386554621848"/>
    <x v="5"/>
    <x v="3"/>
    <n v="3"/>
    <x v="1"/>
    <n v="5"/>
    <s v="Excellent"/>
    <x v="0"/>
    <s v="Q1"/>
    <x v="0"/>
    <s v="Thursday"/>
    <s v="46+"/>
    <x v="2"/>
    <s v="Medium"/>
    <s v="Bronze"/>
  </r>
  <r>
    <x v="246"/>
    <x v="171"/>
    <d v="2026-10-08T00:00:00"/>
    <s v="CUST247"/>
    <x v="118"/>
    <s v="Male"/>
    <n v="22"/>
    <s v="Surat"/>
    <x v="6"/>
    <x v="1"/>
    <s v="P102"/>
    <x v="6"/>
    <x v="0"/>
    <s v="Mobile"/>
    <x v="6"/>
    <n v="2"/>
    <n v="79900"/>
    <n v="0.08"/>
    <x v="153"/>
    <n v="65000"/>
    <n v="17016"/>
    <n v="0.11574250421722805"/>
    <x v="4"/>
    <x v="2"/>
    <n v="6"/>
    <x v="0"/>
    <n v="5"/>
    <s v="Excellent"/>
    <x v="1"/>
    <s v="Q4"/>
    <x v="0"/>
    <s v="Friday"/>
    <s v="18-25"/>
    <x v="0"/>
    <s v="Medium"/>
    <s v="VIP"/>
  </r>
  <r>
    <x v="247"/>
    <x v="172"/>
    <d v="2026-04-08T00:00:00"/>
    <s v="CUST248"/>
    <x v="143"/>
    <s v="Male"/>
    <n v="48"/>
    <s v="Surat"/>
    <x v="6"/>
    <x v="1"/>
    <s v="P102"/>
    <x v="6"/>
    <x v="0"/>
    <s v="Mobile"/>
    <x v="6"/>
    <n v="4"/>
    <n v="79900"/>
    <n v="0.2"/>
    <x v="154"/>
    <n v="65000"/>
    <n v="-4320"/>
    <n v="-1.6896120150187734E-2"/>
    <x v="5"/>
    <x v="0"/>
    <n v="3"/>
    <x v="0"/>
    <n v="3"/>
    <s v="Average"/>
    <x v="3"/>
    <s v="Q2"/>
    <x v="0"/>
    <s v="Sunday"/>
    <s v="46+"/>
    <x v="0"/>
    <s v="High"/>
    <s v="VIP"/>
  </r>
  <r>
    <x v="248"/>
    <x v="75"/>
    <d v="2026-06-01T00:00:00"/>
    <s v="CUST249"/>
    <x v="100"/>
    <s v="Female"/>
    <n v="40"/>
    <s v="Hyderabad"/>
    <x v="1"/>
    <x v="0"/>
    <s v="P101"/>
    <x v="7"/>
    <x v="0"/>
    <s v="Mobile"/>
    <x v="7"/>
    <n v="2"/>
    <n v="28500"/>
    <n v="0.08"/>
    <x v="155"/>
    <n v="22000"/>
    <n v="8440"/>
    <n v="0.16094584286803967"/>
    <x v="2"/>
    <x v="2"/>
    <n v="5"/>
    <x v="0"/>
    <n v="5"/>
    <s v="Excellent"/>
    <x v="7"/>
    <s v="Q2"/>
    <x v="0"/>
    <s v="Wednesday"/>
    <s v="36-45"/>
    <x v="0"/>
    <s v="Medium"/>
    <s v="Gold"/>
  </r>
  <r>
    <x v="249"/>
    <x v="173"/>
    <d v="2026-02-03T00:00:00"/>
    <s v="CUST250"/>
    <x v="118"/>
    <s v="Female"/>
    <n v="36"/>
    <s v="Ahmedabad"/>
    <x v="6"/>
    <x v="1"/>
    <s v="P102"/>
    <x v="6"/>
    <x v="0"/>
    <s v="Mobile"/>
    <x v="6"/>
    <n v="1"/>
    <n v="79900"/>
    <n v="0.12"/>
    <x v="76"/>
    <n v="65000"/>
    <n v="5312"/>
    <n v="7.5548981681647517E-2"/>
    <x v="0"/>
    <x v="1"/>
    <n v="6"/>
    <x v="0"/>
    <n v="3"/>
    <s v="Average"/>
    <x v="0"/>
    <s v="Q1"/>
    <x v="0"/>
    <s v="Wednesday"/>
    <s v="36-45"/>
    <x v="0"/>
    <s v="Medium"/>
    <s v="Gold"/>
  </r>
  <r>
    <x v="250"/>
    <x v="174"/>
    <d v="2026-04-09T00:00:00"/>
    <s v="CUST251"/>
    <x v="130"/>
    <s v="Female"/>
    <n v="27"/>
    <s v="Mumbai"/>
    <x v="2"/>
    <x v="1"/>
    <s v="P104"/>
    <x v="4"/>
    <x v="0"/>
    <s v="Laptop"/>
    <x v="4"/>
    <n v="4"/>
    <n v="58000"/>
    <n v="0.08"/>
    <x v="91"/>
    <n v="49000"/>
    <n v="17440"/>
    <n v="8.1709145427286356E-2"/>
    <x v="1"/>
    <x v="2"/>
    <n v="5"/>
    <x v="0"/>
    <n v="3"/>
    <s v="Average"/>
    <x v="3"/>
    <s v="Q2"/>
    <x v="0"/>
    <s v="Saturday"/>
    <s v="26-35"/>
    <x v="0"/>
    <s v="Medium"/>
    <s v="VIP"/>
  </r>
  <r>
    <x v="251"/>
    <x v="175"/>
    <d v="2026-05-28T00:00:00"/>
    <s v="CUST252"/>
    <x v="117"/>
    <s v="Female"/>
    <n v="29"/>
    <s v="Surat"/>
    <x v="6"/>
    <x v="1"/>
    <s v="P105"/>
    <x v="3"/>
    <x v="0"/>
    <s v="Television"/>
    <x v="3"/>
    <n v="4"/>
    <n v="42000"/>
    <n v="0.1"/>
    <x v="90"/>
    <n v="35000"/>
    <n v="11200"/>
    <n v="7.407407407407407E-2"/>
    <x v="4"/>
    <x v="0"/>
    <n v="5"/>
    <x v="0"/>
    <n v="4"/>
    <s v="Excellent"/>
    <x v="7"/>
    <s v="Q2"/>
    <x v="0"/>
    <s v="Saturday"/>
    <s v="26-35"/>
    <x v="0"/>
    <s v="Medium"/>
    <s v="VIP"/>
  </r>
  <r>
    <x v="252"/>
    <x v="168"/>
    <d v="2026-12-21T00:00:00"/>
    <s v="CUST253"/>
    <x v="74"/>
    <s v="Male"/>
    <n v="29"/>
    <s v="Chennai"/>
    <x v="0"/>
    <x v="0"/>
    <s v="P101"/>
    <x v="7"/>
    <x v="0"/>
    <s v="Mobile"/>
    <x v="7"/>
    <n v="1"/>
    <n v="28500"/>
    <n v="0.08"/>
    <x v="118"/>
    <n v="22000"/>
    <n v="4220"/>
    <n v="0.16094584286803967"/>
    <x v="0"/>
    <x v="3"/>
    <n v="4"/>
    <x v="1"/>
    <n v="5"/>
    <s v="Excellent"/>
    <x v="8"/>
    <s v="Q4"/>
    <x v="0"/>
    <s v="Thursday"/>
    <s v="26-35"/>
    <x v="1"/>
    <s v="Medium"/>
    <s v="Silver"/>
  </r>
  <r>
    <x v="253"/>
    <x v="102"/>
    <d v="2026-09-17T00:00:00"/>
    <s v="CUST254"/>
    <x v="144"/>
    <s v="Male"/>
    <n v="34"/>
    <s v="Hyderabad"/>
    <x v="1"/>
    <x v="0"/>
    <s v="P106"/>
    <x v="5"/>
    <x v="0"/>
    <s v="Headphones"/>
    <x v="5"/>
    <n v="3"/>
    <n v="2500"/>
    <n v="0.08"/>
    <x v="35"/>
    <n v="1700"/>
    <n v="1800"/>
    <n v="0.2608695652173913"/>
    <x v="2"/>
    <x v="2"/>
    <n v="3"/>
    <x v="1"/>
    <n v="4"/>
    <s v="Excellent"/>
    <x v="5"/>
    <s v="Q3"/>
    <x v="0"/>
    <s v="Monday"/>
    <s v="26-35"/>
    <x v="2"/>
    <s v="Medium"/>
    <s v="Bronze"/>
  </r>
  <r>
    <x v="254"/>
    <x v="111"/>
    <d v="2026-07-16T00:00:00"/>
    <s v="CUST255"/>
    <x v="20"/>
    <s v="Female"/>
    <n v="39"/>
    <s v="Ahmedabad"/>
    <x v="6"/>
    <x v="1"/>
    <s v="P108"/>
    <x v="2"/>
    <x v="2"/>
    <s v="Mixer"/>
    <x v="2"/>
    <n v="1"/>
    <n v="3500"/>
    <n v="0.08"/>
    <x v="60"/>
    <n v="2500"/>
    <n v="720"/>
    <n v="0.2236024844720497"/>
    <x v="1"/>
    <x v="3"/>
    <n v="5"/>
    <x v="1"/>
    <n v="5"/>
    <s v="Excellent"/>
    <x v="4"/>
    <s v="Q3"/>
    <x v="0"/>
    <s v="Saturday"/>
    <s v="36-45"/>
    <x v="2"/>
    <s v="Medium"/>
    <s v="Bronze"/>
  </r>
  <r>
    <x v="255"/>
    <x v="3"/>
    <d v="2026-11-30T00:00:00"/>
    <s v="CUST256"/>
    <x v="47"/>
    <s v="Male"/>
    <n v="40"/>
    <s v="Kolkata"/>
    <x v="3"/>
    <x v="2"/>
    <s v="P105"/>
    <x v="3"/>
    <x v="0"/>
    <s v="Television"/>
    <x v="3"/>
    <n v="2"/>
    <n v="42000"/>
    <n v="0.15"/>
    <x v="97"/>
    <n v="35000"/>
    <n v="1400"/>
    <n v="1.9607843137254902E-2"/>
    <x v="1"/>
    <x v="3"/>
    <n v="4"/>
    <x v="0"/>
    <n v="2"/>
    <s v="Average"/>
    <x v="2"/>
    <s v="Q4"/>
    <x v="0"/>
    <s v="Thursday"/>
    <s v="36-45"/>
    <x v="0"/>
    <s v="Medium"/>
    <s v="Gold"/>
  </r>
  <r>
    <x v="256"/>
    <x v="170"/>
    <d v="2026-01-25T00:00:00"/>
    <s v="CUST257"/>
    <x v="44"/>
    <s v="Female"/>
    <n v="21"/>
    <s v="Kolkata"/>
    <x v="3"/>
    <x v="2"/>
    <s v="P108"/>
    <x v="2"/>
    <x v="2"/>
    <s v="Mixer"/>
    <x v="2"/>
    <n v="1"/>
    <n v="3500"/>
    <n v="0.08"/>
    <x v="60"/>
    <n v="2500"/>
    <n v="720"/>
    <n v="0.2236024844720497"/>
    <x v="4"/>
    <x v="0"/>
    <n v="3"/>
    <x v="1"/>
    <n v="2"/>
    <s v="Average"/>
    <x v="0"/>
    <s v="Q1"/>
    <x v="0"/>
    <s v="Thursday"/>
    <s v="18-25"/>
    <x v="2"/>
    <s v="Medium"/>
    <s v="Bronze"/>
  </r>
  <r>
    <x v="257"/>
    <x v="51"/>
    <d v="2026-03-28T00:00:00"/>
    <s v="CUST258"/>
    <x v="104"/>
    <s v="Female"/>
    <n v="20"/>
    <s v="Bengaluru"/>
    <x v="5"/>
    <x v="0"/>
    <s v="P105"/>
    <x v="3"/>
    <x v="0"/>
    <s v="Television"/>
    <x v="3"/>
    <n v="3"/>
    <n v="42000"/>
    <n v="0.05"/>
    <x v="37"/>
    <n v="35000"/>
    <n v="14700"/>
    <n v="0.12280701754385964"/>
    <x v="3"/>
    <x v="0"/>
    <n v="5"/>
    <x v="0"/>
    <n v="4"/>
    <s v="Excellent"/>
    <x v="10"/>
    <s v="Q1"/>
    <x v="0"/>
    <s v="Monday"/>
    <s v="18-25"/>
    <x v="0"/>
    <s v="Low"/>
    <s v="VIP"/>
  </r>
  <r>
    <x v="258"/>
    <x v="45"/>
    <d v="2026-11-06T00:00:00"/>
    <s v="CUST259"/>
    <x v="64"/>
    <s v="Male"/>
    <n v="48"/>
    <s v="Hyderabad"/>
    <x v="1"/>
    <x v="0"/>
    <s v="P104"/>
    <x v="4"/>
    <x v="0"/>
    <s v="Laptop"/>
    <x v="4"/>
    <n v="4"/>
    <n v="58000"/>
    <n v="0.12"/>
    <x v="156"/>
    <n v="49000"/>
    <n v="8160"/>
    <n v="3.9968652037617555E-2"/>
    <x v="0"/>
    <x v="1"/>
    <n v="5"/>
    <x v="0"/>
    <n v="2"/>
    <s v="Average"/>
    <x v="2"/>
    <s v="Q4"/>
    <x v="0"/>
    <s v="Sunday"/>
    <s v="46+"/>
    <x v="0"/>
    <s v="Medium"/>
    <s v="VIP"/>
  </r>
  <r>
    <x v="259"/>
    <x v="173"/>
    <d v="2026-02-03T00:00:00"/>
    <s v="CUST260"/>
    <x v="55"/>
    <s v="Female"/>
    <n v="24"/>
    <s v="Mumbai"/>
    <x v="2"/>
    <x v="1"/>
    <s v="P106"/>
    <x v="5"/>
    <x v="0"/>
    <s v="Headphones"/>
    <x v="5"/>
    <n v="5"/>
    <n v="2500"/>
    <n v="0.2"/>
    <x v="157"/>
    <n v="1700"/>
    <n v="1500"/>
    <n v="0.15"/>
    <x v="4"/>
    <x v="2"/>
    <n v="6"/>
    <x v="1"/>
    <n v="2"/>
    <s v="Average"/>
    <x v="0"/>
    <s v="Q1"/>
    <x v="0"/>
    <s v="Wednesday"/>
    <s v="18-25"/>
    <x v="1"/>
    <s v="High"/>
    <s v="Bronze"/>
  </r>
  <r>
    <x v="260"/>
    <x v="176"/>
    <d v="2026-02-05T00:00:00"/>
    <s v="CUST261"/>
    <x v="6"/>
    <s v="Female"/>
    <n v="47"/>
    <s v="Chennai"/>
    <x v="0"/>
    <x v="0"/>
    <s v="P101"/>
    <x v="7"/>
    <x v="0"/>
    <s v="Mobile"/>
    <x v="7"/>
    <n v="5"/>
    <n v="28500"/>
    <n v="0.12"/>
    <x v="43"/>
    <n v="22000"/>
    <n v="15400"/>
    <n v="0.12280701754385964"/>
    <x v="0"/>
    <x v="1"/>
    <n v="4"/>
    <x v="0"/>
    <n v="4"/>
    <s v="Excellent"/>
    <x v="9"/>
    <s v="Q1"/>
    <x v="0"/>
    <s v="Sunday"/>
    <s v="46+"/>
    <x v="0"/>
    <s v="Medium"/>
    <s v="VIP"/>
  </r>
  <r>
    <x v="261"/>
    <x v="177"/>
    <d v="2026-02-04T00:00:00"/>
    <s v="CUST262"/>
    <x v="61"/>
    <s v="Female"/>
    <n v="49"/>
    <s v="Chennai"/>
    <x v="0"/>
    <x v="0"/>
    <s v="P107"/>
    <x v="1"/>
    <x v="1"/>
    <s v="Shoes"/>
    <x v="1"/>
    <n v="1"/>
    <n v="4500"/>
    <n v="0.1"/>
    <x v="51"/>
    <n v="3000"/>
    <n v="1050"/>
    <n v="0.25925925925925924"/>
    <x v="1"/>
    <x v="1"/>
    <n v="2"/>
    <x v="1"/>
    <n v="5"/>
    <s v="Excellent"/>
    <x v="9"/>
    <s v="Q1"/>
    <x v="0"/>
    <s v="Monday"/>
    <s v="46+"/>
    <x v="2"/>
    <s v="Medium"/>
    <s v="Bronze"/>
  </r>
  <r>
    <x v="262"/>
    <x v="4"/>
    <d v="2026-04-29T00:00:00"/>
    <s v="CUST263"/>
    <x v="127"/>
    <s v="Male"/>
    <n v="22"/>
    <s v="Mumbai"/>
    <x v="2"/>
    <x v="1"/>
    <s v="P108"/>
    <x v="2"/>
    <x v="2"/>
    <s v="Mixer"/>
    <x v="2"/>
    <n v="5"/>
    <n v="3500"/>
    <n v="0.05"/>
    <x v="104"/>
    <n v="2500"/>
    <n v="4125"/>
    <n v="0.24812030075187969"/>
    <x v="0"/>
    <x v="2"/>
    <n v="4"/>
    <x v="1"/>
    <n v="5"/>
    <s v="Excellent"/>
    <x v="3"/>
    <s v="Q2"/>
    <x v="0"/>
    <s v="Saturday"/>
    <s v="18-25"/>
    <x v="1"/>
    <s v="Low"/>
    <s v="Silver"/>
  </r>
  <r>
    <x v="263"/>
    <x v="113"/>
    <d v="2026-12-28T00:00:00"/>
    <s v="CUST264"/>
    <x v="118"/>
    <s v="Male"/>
    <n v="22"/>
    <s v="Hyderabad"/>
    <x v="1"/>
    <x v="0"/>
    <s v="P102"/>
    <x v="6"/>
    <x v="0"/>
    <s v="Mobile"/>
    <x v="6"/>
    <n v="5"/>
    <n v="79900"/>
    <n v="0.1"/>
    <x v="158"/>
    <n v="65000"/>
    <n v="34550"/>
    <n v="9.6092337644277576E-2"/>
    <x v="2"/>
    <x v="3"/>
    <n v="3"/>
    <x v="0"/>
    <n v="4"/>
    <s v="Excellent"/>
    <x v="8"/>
    <s v="Q4"/>
    <x v="0"/>
    <s v="Friday"/>
    <s v="18-25"/>
    <x v="0"/>
    <s v="Medium"/>
    <s v="VIP"/>
  </r>
  <r>
    <x v="264"/>
    <x v="178"/>
    <d v="2026-05-09T00:00:00"/>
    <s v="CUST265"/>
    <x v="119"/>
    <s v="Male"/>
    <n v="35"/>
    <s v="Kolkata"/>
    <x v="3"/>
    <x v="2"/>
    <s v="P101"/>
    <x v="7"/>
    <x v="0"/>
    <s v="Mobile"/>
    <x v="7"/>
    <n v="4"/>
    <n v="28500"/>
    <n v="0.05"/>
    <x v="159"/>
    <n v="22000"/>
    <n v="20300"/>
    <n v="0.18744228993536471"/>
    <x v="3"/>
    <x v="1"/>
    <n v="2"/>
    <x v="0"/>
    <n v="4"/>
    <s v="Excellent"/>
    <x v="7"/>
    <s v="Q2"/>
    <x v="0"/>
    <s v="Thursday"/>
    <s v="26-35"/>
    <x v="0"/>
    <s v="Low"/>
    <s v="VIP"/>
  </r>
  <r>
    <x v="265"/>
    <x v="179"/>
    <d v="2026-11-27T00:00:00"/>
    <s v="CUST266"/>
    <x v="64"/>
    <s v="Female"/>
    <n v="40"/>
    <s v="Hyderabad"/>
    <x v="1"/>
    <x v="0"/>
    <s v="P102"/>
    <x v="6"/>
    <x v="0"/>
    <s v="Mobile"/>
    <x v="6"/>
    <n v="2"/>
    <n v="79900"/>
    <n v="0.08"/>
    <x v="153"/>
    <n v="65000"/>
    <n v="17016"/>
    <n v="0.11574250421722805"/>
    <x v="5"/>
    <x v="2"/>
    <n v="6"/>
    <x v="0"/>
    <n v="5"/>
    <s v="Excellent"/>
    <x v="2"/>
    <s v="Q4"/>
    <x v="0"/>
    <s v="Saturday"/>
    <s v="36-45"/>
    <x v="0"/>
    <s v="Medium"/>
    <s v="VIP"/>
  </r>
  <r>
    <x v="266"/>
    <x v="122"/>
    <d v="2026-05-06T00:00:00"/>
    <s v="CUST267"/>
    <x v="50"/>
    <s v="Male"/>
    <n v="20"/>
    <s v="Mumbai"/>
    <x v="2"/>
    <x v="1"/>
    <s v="P104"/>
    <x v="4"/>
    <x v="0"/>
    <s v="Laptop"/>
    <x v="4"/>
    <n v="5"/>
    <n v="58000"/>
    <n v="0.2"/>
    <x v="12"/>
    <n v="49000"/>
    <n v="-13000"/>
    <n v="-5.6034482758620691E-2"/>
    <x v="4"/>
    <x v="2"/>
    <n v="2"/>
    <x v="0"/>
    <n v="4"/>
    <s v="Excellent"/>
    <x v="7"/>
    <s v="Q2"/>
    <x v="0"/>
    <s v="Monday"/>
    <s v="18-25"/>
    <x v="0"/>
    <s v="High"/>
    <s v="VIP"/>
  </r>
  <r>
    <x v="267"/>
    <x v="180"/>
    <d v="2026-12-30T00:00:00"/>
    <s v="CUST268"/>
    <x v="97"/>
    <s v="Female"/>
    <n v="32"/>
    <s v="Mumbai"/>
    <x v="2"/>
    <x v="1"/>
    <s v="P103"/>
    <x v="0"/>
    <x v="0"/>
    <s v="Laptop"/>
    <x v="0"/>
    <n v="3"/>
    <n v="62000"/>
    <n v="0.15"/>
    <x v="39"/>
    <n v="52000"/>
    <n v="2100"/>
    <n v="1.3282732447817837E-2"/>
    <x v="2"/>
    <x v="3"/>
    <n v="6"/>
    <x v="0"/>
    <n v="3"/>
    <s v="Average"/>
    <x v="8"/>
    <s v="Q4"/>
    <x v="0"/>
    <s v="Thursday"/>
    <s v="26-35"/>
    <x v="0"/>
    <s v="Medium"/>
    <s v="VIP"/>
  </r>
  <r>
    <x v="268"/>
    <x v="181"/>
    <d v="2026-01-17T00:00:00"/>
    <s v="CUST269"/>
    <x v="145"/>
    <s v="Female"/>
    <n v="46"/>
    <s v="Hyderabad"/>
    <x v="1"/>
    <x v="0"/>
    <s v="P107"/>
    <x v="1"/>
    <x v="1"/>
    <s v="Shoes"/>
    <x v="1"/>
    <n v="4"/>
    <n v="4500"/>
    <n v="0.12"/>
    <x v="131"/>
    <n v="3000"/>
    <n v="3840"/>
    <n v="0.24242424242424243"/>
    <x v="1"/>
    <x v="3"/>
    <n v="6"/>
    <x v="1"/>
    <n v="2"/>
    <s v="Average"/>
    <x v="0"/>
    <s v="Q1"/>
    <x v="0"/>
    <s v="Sunday"/>
    <s v="46+"/>
    <x v="1"/>
    <s v="Medium"/>
    <s v="Silver"/>
  </r>
  <r>
    <x v="269"/>
    <x v="182"/>
    <d v="2026-12-04T00:00:00"/>
    <s v="CUST270"/>
    <x v="62"/>
    <s v="Female"/>
    <n v="41"/>
    <s v="Mumbai"/>
    <x v="2"/>
    <x v="1"/>
    <s v="P108"/>
    <x v="2"/>
    <x v="2"/>
    <s v="Mixer"/>
    <x v="2"/>
    <n v="4"/>
    <n v="3500"/>
    <n v="0.08"/>
    <x v="3"/>
    <n v="2500"/>
    <n v="2880"/>
    <n v="0.2236024844720497"/>
    <x v="3"/>
    <x v="3"/>
    <n v="5"/>
    <x v="1"/>
    <n v="3"/>
    <s v="Average"/>
    <x v="2"/>
    <s v="Q4"/>
    <x v="0"/>
    <s v="Sunday"/>
    <s v="36-45"/>
    <x v="1"/>
    <s v="Medium"/>
    <s v="Bronze"/>
  </r>
  <r>
    <x v="270"/>
    <x v="154"/>
    <d v="2026-09-13T00:00:00"/>
    <s v="CUST271"/>
    <x v="146"/>
    <s v="Male"/>
    <n v="27"/>
    <s v="Chennai"/>
    <x v="0"/>
    <x v="0"/>
    <s v="P104"/>
    <x v="4"/>
    <x v="0"/>
    <s v="Laptop"/>
    <x v="4"/>
    <n v="3"/>
    <n v="58000"/>
    <n v="0.1"/>
    <x v="108"/>
    <n v="49000"/>
    <n v="9600"/>
    <n v="6.1302681992337162E-2"/>
    <x v="2"/>
    <x v="3"/>
    <n v="2"/>
    <x v="0"/>
    <n v="2"/>
    <s v="Average"/>
    <x v="5"/>
    <s v="Q3"/>
    <x v="0"/>
    <s v="Friday"/>
    <s v="26-35"/>
    <x v="0"/>
    <s v="Medium"/>
    <s v="VIP"/>
  </r>
  <r>
    <x v="271"/>
    <x v="128"/>
    <d v="2026-05-22T00:00:00"/>
    <s v="CUST272"/>
    <x v="147"/>
    <s v="Male"/>
    <n v="36"/>
    <s v="Surat"/>
    <x v="6"/>
    <x v="1"/>
    <s v="P107"/>
    <x v="1"/>
    <x v="1"/>
    <s v="Shoes"/>
    <x v="1"/>
    <n v="2"/>
    <n v="4500"/>
    <n v="0.15"/>
    <x v="160"/>
    <n v="3000"/>
    <n v="1650"/>
    <n v="0.21568627450980393"/>
    <x v="1"/>
    <x v="1"/>
    <n v="5"/>
    <x v="1"/>
    <n v="3"/>
    <s v="Average"/>
    <x v="7"/>
    <s v="Q2"/>
    <x v="0"/>
    <s v="Sunday"/>
    <s v="36-45"/>
    <x v="2"/>
    <s v="Medium"/>
    <s v="Bronze"/>
  </r>
  <r>
    <x v="272"/>
    <x v="183"/>
    <d v="2026-10-01T00:00:00"/>
    <s v="CUST273"/>
    <x v="140"/>
    <s v="Female"/>
    <n v="48"/>
    <s v="Mumbai"/>
    <x v="2"/>
    <x v="1"/>
    <s v="P101"/>
    <x v="7"/>
    <x v="0"/>
    <s v="Mobile"/>
    <x v="7"/>
    <n v="5"/>
    <n v="28500"/>
    <n v="0.12"/>
    <x v="43"/>
    <n v="22000"/>
    <n v="15400"/>
    <n v="0.12280701754385964"/>
    <x v="3"/>
    <x v="0"/>
    <n v="2"/>
    <x v="0"/>
    <n v="5"/>
    <s v="Excellent"/>
    <x v="5"/>
    <s v="Q3"/>
    <x v="0"/>
    <s v="Tuesday"/>
    <s v="46+"/>
    <x v="0"/>
    <s v="Medium"/>
    <s v="VIP"/>
  </r>
  <r>
    <x v="273"/>
    <x v="184"/>
    <d v="2026-06-01T00:00:00"/>
    <s v="CUST274"/>
    <x v="54"/>
    <s v="Male"/>
    <n v="34"/>
    <s v="Chennai"/>
    <x v="0"/>
    <x v="0"/>
    <s v="P107"/>
    <x v="1"/>
    <x v="1"/>
    <s v="Shoes"/>
    <x v="1"/>
    <n v="4"/>
    <n v="4500"/>
    <n v="0.08"/>
    <x v="161"/>
    <n v="3000"/>
    <n v="4560"/>
    <n v="0.27536231884057971"/>
    <x v="0"/>
    <x v="2"/>
    <n v="3"/>
    <x v="1"/>
    <n v="2"/>
    <s v="Average"/>
    <x v="7"/>
    <s v="Q2"/>
    <x v="0"/>
    <s v="Friday"/>
    <s v="26-35"/>
    <x v="1"/>
    <s v="Medium"/>
    <s v="Silver"/>
  </r>
  <r>
    <x v="274"/>
    <x v="116"/>
    <d v="2026-05-02T00:00:00"/>
    <s v="CUST275"/>
    <x v="74"/>
    <s v="Female"/>
    <n v="44"/>
    <s v="Hyderabad"/>
    <x v="1"/>
    <x v="0"/>
    <s v="P106"/>
    <x v="5"/>
    <x v="0"/>
    <s v="Headphones"/>
    <x v="5"/>
    <n v="5"/>
    <n v="2500"/>
    <n v="0.2"/>
    <x v="157"/>
    <n v="1700"/>
    <n v="1500"/>
    <n v="0.15"/>
    <x v="3"/>
    <x v="3"/>
    <n v="2"/>
    <x v="1"/>
    <n v="4"/>
    <s v="Excellent"/>
    <x v="3"/>
    <s v="Q2"/>
    <x v="0"/>
    <s v="Thursday"/>
    <s v="36-45"/>
    <x v="1"/>
    <s v="High"/>
    <s v="Bronze"/>
  </r>
  <r>
    <x v="275"/>
    <x v="108"/>
    <d v="2026-01-22T00:00:00"/>
    <s v="CUST276"/>
    <x v="59"/>
    <s v="Male"/>
    <n v="33"/>
    <s v="Bengaluru"/>
    <x v="5"/>
    <x v="0"/>
    <s v="P102"/>
    <x v="6"/>
    <x v="0"/>
    <s v="Mobile"/>
    <x v="6"/>
    <n v="3"/>
    <n v="79900"/>
    <n v="0.08"/>
    <x v="114"/>
    <n v="65000"/>
    <n v="25524"/>
    <n v="0.11574250421722805"/>
    <x v="1"/>
    <x v="2"/>
    <n v="4"/>
    <x v="0"/>
    <n v="2"/>
    <s v="Average"/>
    <x v="0"/>
    <s v="Q1"/>
    <x v="0"/>
    <s v="Sunday"/>
    <s v="26-35"/>
    <x v="0"/>
    <s v="Medium"/>
    <s v="VIP"/>
  </r>
  <r>
    <x v="276"/>
    <x v="168"/>
    <d v="2026-12-20T00:00:00"/>
    <s v="CUST277"/>
    <x v="148"/>
    <s v="Male"/>
    <n v="31"/>
    <s v="Ahmedabad"/>
    <x v="6"/>
    <x v="1"/>
    <s v="P106"/>
    <x v="5"/>
    <x v="0"/>
    <s v="Headphones"/>
    <x v="5"/>
    <n v="2"/>
    <n v="2500"/>
    <n v="0.2"/>
    <x v="26"/>
    <n v="1700"/>
    <n v="600"/>
    <n v="0.15"/>
    <x v="4"/>
    <x v="0"/>
    <n v="3"/>
    <x v="1"/>
    <n v="4"/>
    <s v="Excellent"/>
    <x v="8"/>
    <s v="Q4"/>
    <x v="0"/>
    <s v="Thursday"/>
    <s v="26-35"/>
    <x v="2"/>
    <s v="High"/>
    <s v="Bronze"/>
  </r>
  <r>
    <x v="277"/>
    <x v="16"/>
    <d v="2026-04-02T00:00:00"/>
    <s v="CUST278"/>
    <x v="149"/>
    <s v="Male"/>
    <n v="46"/>
    <s v="Kolkata"/>
    <x v="3"/>
    <x v="2"/>
    <s v="P108"/>
    <x v="2"/>
    <x v="2"/>
    <s v="Mixer"/>
    <x v="2"/>
    <n v="2"/>
    <n v="3500"/>
    <n v="0.1"/>
    <x v="67"/>
    <n v="2500"/>
    <n v="1300"/>
    <n v="0.20634920634920634"/>
    <x v="0"/>
    <x v="1"/>
    <n v="4"/>
    <x v="1"/>
    <n v="3"/>
    <s v="Average"/>
    <x v="10"/>
    <s v="Q1"/>
    <x v="0"/>
    <s v="Sunday"/>
    <s v="46+"/>
    <x v="2"/>
    <s v="Medium"/>
    <s v="Bronze"/>
  </r>
  <r>
    <x v="278"/>
    <x v="62"/>
    <d v="2026-03-05T00:00:00"/>
    <s v="CUST279"/>
    <x v="25"/>
    <s v="Female"/>
    <n v="35"/>
    <s v="Hyderabad"/>
    <x v="1"/>
    <x v="0"/>
    <s v="P101"/>
    <x v="7"/>
    <x v="0"/>
    <s v="Mobile"/>
    <x v="7"/>
    <n v="5"/>
    <n v="28500"/>
    <n v="0.05"/>
    <x v="74"/>
    <n v="22000"/>
    <n v="25375"/>
    <n v="0.18744228993536471"/>
    <x v="0"/>
    <x v="0"/>
    <n v="2"/>
    <x v="0"/>
    <n v="5"/>
    <s v="Excellent"/>
    <x v="10"/>
    <s v="Q1"/>
    <x v="0"/>
    <s v="Tuesday"/>
    <s v="26-35"/>
    <x v="0"/>
    <s v="Low"/>
    <s v="VIP"/>
  </r>
  <r>
    <x v="279"/>
    <x v="153"/>
    <d v="2026-10-13T00:00:00"/>
    <s v="CUST280"/>
    <x v="124"/>
    <s v="Female"/>
    <n v="47"/>
    <s v="Surat"/>
    <x v="6"/>
    <x v="1"/>
    <s v="P101"/>
    <x v="7"/>
    <x v="0"/>
    <s v="Mobile"/>
    <x v="7"/>
    <n v="2"/>
    <n v="28500"/>
    <n v="0.1"/>
    <x v="162"/>
    <n v="22000"/>
    <n v="7300"/>
    <n v="0.14230019493177387"/>
    <x v="2"/>
    <x v="0"/>
    <n v="6"/>
    <x v="0"/>
    <n v="2"/>
    <s v="Average"/>
    <x v="1"/>
    <s v="Q4"/>
    <x v="0"/>
    <s v="Wednesday"/>
    <s v="46+"/>
    <x v="0"/>
    <s v="Medium"/>
    <s v="Gold"/>
  </r>
  <r>
    <x v="280"/>
    <x v="185"/>
    <d v="2026-04-01T00:00:00"/>
    <s v="CUST281"/>
    <x v="105"/>
    <s v="Female"/>
    <n v="30"/>
    <s v="Surat"/>
    <x v="6"/>
    <x v="1"/>
    <s v="P105"/>
    <x v="3"/>
    <x v="0"/>
    <s v="Television"/>
    <x v="3"/>
    <n v="4"/>
    <n v="42000"/>
    <n v="0.2"/>
    <x v="163"/>
    <n v="35000"/>
    <n v="-5600"/>
    <n v="-4.1666666666666664E-2"/>
    <x v="2"/>
    <x v="0"/>
    <n v="5"/>
    <x v="0"/>
    <n v="5"/>
    <s v="Excellent"/>
    <x v="10"/>
    <s v="Q1"/>
    <x v="0"/>
    <s v="Friday"/>
    <s v="26-35"/>
    <x v="0"/>
    <s v="High"/>
    <s v="VIP"/>
  </r>
  <r>
    <x v="281"/>
    <x v="186"/>
    <d v="2026-06-17T00:00:00"/>
    <s v="CUST282"/>
    <x v="76"/>
    <s v="Female"/>
    <n v="37"/>
    <s v="Hyderabad"/>
    <x v="1"/>
    <x v="0"/>
    <s v="P107"/>
    <x v="1"/>
    <x v="1"/>
    <s v="Shoes"/>
    <x v="1"/>
    <n v="4"/>
    <n v="4500"/>
    <n v="0.12"/>
    <x v="131"/>
    <n v="3000"/>
    <n v="3840"/>
    <n v="0.24242424242424243"/>
    <x v="5"/>
    <x v="1"/>
    <n v="4"/>
    <x v="1"/>
    <n v="4"/>
    <s v="Excellent"/>
    <x v="11"/>
    <s v="Q2"/>
    <x v="0"/>
    <s v="Saturday"/>
    <s v="36-45"/>
    <x v="1"/>
    <s v="Medium"/>
    <s v="Silver"/>
  </r>
  <r>
    <x v="282"/>
    <x v="95"/>
    <d v="2026-04-30T00:00:00"/>
    <s v="CUST283"/>
    <x v="68"/>
    <s v="Female"/>
    <n v="30"/>
    <s v="Ahmedabad"/>
    <x v="6"/>
    <x v="1"/>
    <s v="P106"/>
    <x v="5"/>
    <x v="0"/>
    <s v="Headphones"/>
    <x v="5"/>
    <n v="3"/>
    <n v="2500"/>
    <n v="0.2"/>
    <x v="64"/>
    <n v="1700"/>
    <n v="900"/>
    <n v="0.15"/>
    <x v="1"/>
    <x v="0"/>
    <n v="3"/>
    <x v="1"/>
    <n v="5"/>
    <s v="Excellent"/>
    <x v="3"/>
    <s v="Q2"/>
    <x v="0"/>
    <s v="Monday"/>
    <s v="26-35"/>
    <x v="2"/>
    <s v="High"/>
    <s v="Bronze"/>
  </r>
  <r>
    <x v="283"/>
    <x v="187"/>
    <d v="2026-06-06T00:00:00"/>
    <s v="CUST284"/>
    <x v="17"/>
    <s v="Male"/>
    <n v="23"/>
    <s v="Chennai"/>
    <x v="0"/>
    <x v="0"/>
    <s v="P107"/>
    <x v="1"/>
    <x v="1"/>
    <s v="Shoes"/>
    <x v="1"/>
    <n v="4"/>
    <n v="4500"/>
    <n v="0.15"/>
    <x v="106"/>
    <n v="3000"/>
    <n v="3300"/>
    <n v="0.21568627450980393"/>
    <x v="3"/>
    <x v="2"/>
    <n v="6"/>
    <x v="1"/>
    <n v="3"/>
    <s v="Average"/>
    <x v="7"/>
    <s v="Q2"/>
    <x v="0"/>
    <s v="Sunday"/>
    <s v="18-25"/>
    <x v="1"/>
    <s v="Medium"/>
    <s v="Silver"/>
  </r>
  <r>
    <x v="284"/>
    <x v="40"/>
    <d v="2026-08-03T00:00:00"/>
    <s v="CUST285"/>
    <x v="65"/>
    <s v="Male"/>
    <n v="34"/>
    <s v="Delhi"/>
    <x v="4"/>
    <x v="3"/>
    <s v="P108"/>
    <x v="2"/>
    <x v="2"/>
    <s v="Mixer"/>
    <x v="2"/>
    <n v="1"/>
    <n v="3500"/>
    <n v="0.1"/>
    <x v="164"/>
    <n v="2500"/>
    <n v="650"/>
    <n v="0.20634920634920634"/>
    <x v="4"/>
    <x v="1"/>
    <n v="5"/>
    <x v="1"/>
    <n v="5"/>
    <s v="Excellent"/>
    <x v="4"/>
    <s v="Q3"/>
    <x v="0"/>
    <s v="Wednesday"/>
    <s v="26-35"/>
    <x v="2"/>
    <s v="Medium"/>
    <s v="Bronze"/>
  </r>
  <r>
    <x v="285"/>
    <x v="155"/>
    <d v="2026-05-12T00:00:00"/>
    <s v="CUST286"/>
    <x v="48"/>
    <s v="Female"/>
    <n v="48"/>
    <s v="Mumbai"/>
    <x v="2"/>
    <x v="1"/>
    <s v="P101"/>
    <x v="7"/>
    <x v="0"/>
    <s v="Mobile"/>
    <x v="7"/>
    <n v="1"/>
    <n v="28500"/>
    <n v="0.15"/>
    <x v="165"/>
    <n v="22000"/>
    <n v="2225"/>
    <n v="9.1847265221878222E-2"/>
    <x v="1"/>
    <x v="3"/>
    <n v="2"/>
    <x v="1"/>
    <n v="3"/>
    <s v="Average"/>
    <x v="7"/>
    <s v="Q2"/>
    <x v="0"/>
    <s v="Sunday"/>
    <s v="46+"/>
    <x v="1"/>
    <s v="Medium"/>
    <s v="Silver"/>
  </r>
  <r>
    <x v="286"/>
    <x v="109"/>
    <d v="2026-09-20T00:00:00"/>
    <s v="CUST287"/>
    <x v="84"/>
    <s v="Female"/>
    <n v="25"/>
    <s v="Surat"/>
    <x v="6"/>
    <x v="1"/>
    <s v="P105"/>
    <x v="3"/>
    <x v="0"/>
    <s v="Television"/>
    <x v="3"/>
    <n v="3"/>
    <n v="42000"/>
    <n v="0.15"/>
    <x v="62"/>
    <n v="35000"/>
    <n v="2100"/>
    <n v="1.9607843137254902E-2"/>
    <x v="4"/>
    <x v="3"/>
    <n v="3"/>
    <x v="0"/>
    <n v="2"/>
    <s v="Average"/>
    <x v="5"/>
    <s v="Q3"/>
    <x v="0"/>
    <s v="Thursday"/>
    <s v="18-25"/>
    <x v="0"/>
    <s v="Medium"/>
    <s v="VIP"/>
  </r>
  <r>
    <x v="287"/>
    <x v="139"/>
    <d v="2026-08-22T00:00:00"/>
    <s v="CUST288"/>
    <x v="36"/>
    <s v="Female"/>
    <n v="36"/>
    <s v="Hyderabad"/>
    <x v="1"/>
    <x v="0"/>
    <s v="P104"/>
    <x v="4"/>
    <x v="0"/>
    <s v="Laptop"/>
    <x v="4"/>
    <n v="4"/>
    <n v="58000"/>
    <n v="0.1"/>
    <x v="105"/>
    <n v="49000"/>
    <n v="12800"/>
    <n v="6.1302681992337162E-2"/>
    <x v="0"/>
    <x v="1"/>
    <n v="3"/>
    <x v="0"/>
    <n v="5"/>
    <s v="Excellent"/>
    <x v="6"/>
    <s v="Q3"/>
    <x v="0"/>
    <s v="Wednesday"/>
    <s v="36-45"/>
    <x v="0"/>
    <s v="Medium"/>
    <s v="VIP"/>
  </r>
  <r>
    <x v="288"/>
    <x v="188"/>
    <d v="2026-01-30T00:00:00"/>
    <s v="CUST289"/>
    <x v="62"/>
    <s v="Female"/>
    <n v="24"/>
    <s v="Surat"/>
    <x v="6"/>
    <x v="1"/>
    <s v="P107"/>
    <x v="1"/>
    <x v="1"/>
    <s v="Shoes"/>
    <x v="1"/>
    <n v="1"/>
    <n v="4500"/>
    <n v="0.15"/>
    <x v="166"/>
    <n v="3000"/>
    <n v="825"/>
    <n v="0.21568627450980393"/>
    <x v="1"/>
    <x v="1"/>
    <n v="5"/>
    <x v="1"/>
    <n v="3"/>
    <s v="Average"/>
    <x v="0"/>
    <s v="Q1"/>
    <x v="0"/>
    <s v="Sunday"/>
    <s v="18-25"/>
    <x v="2"/>
    <s v="Medium"/>
    <s v="Bronze"/>
  </r>
  <r>
    <x v="289"/>
    <x v="49"/>
    <d v="2026-04-18T00:00:00"/>
    <s v="CUST290"/>
    <x v="0"/>
    <s v="Male"/>
    <n v="31"/>
    <s v="Mumbai"/>
    <x v="2"/>
    <x v="1"/>
    <s v="P104"/>
    <x v="4"/>
    <x v="0"/>
    <s v="Laptop"/>
    <x v="4"/>
    <n v="5"/>
    <n v="58000"/>
    <n v="0.1"/>
    <x v="167"/>
    <n v="49000"/>
    <n v="16000"/>
    <n v="6.1302681992337162E-2"/>
    <x v="5"/>
    <x v="1"/>
    <n v="2"/>
    <x v="0"/>
    <n v="5"/>
    <s v="Excellent"/>
    <x v="3"/>
    <s v="Q2"/>
    <x v="0"/>
    <s v="Thursday"/>
    <s v="26-35"/>
    <x v="0"/>
    <s v="Medium"/>
    <s v="VIP"/>
  </r>
  <r>
    <x v="290"/>
    <x v="154"/>
    <d v="2026-09-17T00:00:00"/>
    <s v="CUST291"/>
    <x v="150"/>
    <s v="Female"/>
    <n v="23"/>
    <s v="Chennai"/>
    <x v="0"/>
    <x v="0"/>
    <s v="P106"/>
    <x v="5"/>
    <x v="0"/>
    <s v="Headphones"/>
    <x v="5"/>
    <n v="1"/>
    <n v="2500"/>
    <n v="0.1"/>
    <x v="94"/>
    <n v="1700"/>
    <n v="550"/>
    <n v="0.24444444444444444"/>
    <x v="5"/>
    <x v="3"/>
    <n v="6"/>
    <x v="1"/>
    <n v="2"/>
    <s v="Average"/>
    <x v="5"/>
    <s v="Q3"/>
    <x v="0"/>
    <s v="Friday"/>
    <s v="18-25"/>
    <x v="2"/>
    <s v="Medium"/>
    <s v="Bronze"/>
  </r>
  <r>
    <x v="291"/>
    <x v="189"/>
    <d v="2026-07-11T00:00:00"/>
    <s v="CUST292"/>
    <x v="151"/>
    <s v="Female"/>
    <n v="46"/>
    <s v="Ahmedabad"/>
    <x v="6"/>
    <x v="1"/>
    <s v="P103"/>
    <x v="0"/>
    <x v="0"/>
    <s v="Laptop"/>
    <x v="0"/>
    <n v="5"/>
    <n v="62000"/>
    <n v="0.12"/>
    <x v="135"/>
    <n v="52000"/>
    <n v="12800"/>
    <n v="4.6920821114369501E-2"/>
    <x v="4"/>
    <x v="1"/>
    <n v="6"/>
    <x v="0"/>
    <n v="5"/>
    <s v="Excellent"/>
    <x v="4"/>
    <s v="Q3"/>
    <x v="0"/>
    <s v="Sunday"/>
    <s v="46+"/>
    <x v="0"/>
    <s v="Medium"/>
    <s v="VIP"/>
  </r>
  <r>
    <x v="292"/>
    <x v="179"/>
    <d v="2026-11-27T00:00:00"/>
    <s v="CUST293"/>
    <x v="105"/>
    <s v="Female"/>
    <n v="50"/>
    <s v="Bengaluru"/>
    <x v="5"/>
    <x v="0"/>
    <s v="P108"/>
    <x v="2"/>
    <x v="2"/>
    <s v="Mixer"/>
    <x v="2"/>
    <n v="3"/>
    <n v="3500"/>
    <n v="0.05"/>
    <x v="126"/>
    <n v="2500"/>
    <n v="2475"/>
    <n v="0.24812030075187969"/>
    <x v="3"/>
    <x v="3"/>
    <n v="6"/>
    <x v="1"/>
    <n v="5"/>
    <s v="Excellent"/>
    <x v="2"/>
    <s v="Q4"/>
    <x v="0"/>
    <s v="Saturday"/>
    <s v="46+"/>
    <x v="2"/>
    <s v="Low"/>
    <s v="Bronze"/>
  </r>
  <r>
    <x v="293"/>
    <x v="155"/>
    <d v="2026-05-16T00:00:00"/>
    <s v="CUST294"/>
    <x v="92"/>
    <s v="Male"/>
    <n v="27"/>
    <s v="Ahmedabad"/>
    <x v="6"/>
    <x v="1"/>
    <s v="P105"/>
    <x v="3"/>
    <x v="0"/>
    <s v="Television"/>
    <x v="3"/>
    <n v="3"/>
    <n v="42000"/>
    <n v="0.05"/>
    <x v="37"/>
    <n v="35000"/>
    <n v="14700"/>
    <n v="0.12280701754385964"/>
    <x v="2"/>
    <x v="1"/>
    <n v="6"/>
    <x v="0"/>
    <n v="5"/>
    <s v="Excellent"/>
    <x v="7"/>
    <s v="Q2"/>
    <x v="0"/>
    <s v="Sunday"/>
    <s v="26-35"/>
    <x v="0"/>
    <s v="Low"/>
    <s v="VIP"/>
  </r>
  <r>
    <x v="294"/>
    <x v="126"/>
    <d v="2026-10-21T00:00:00"/>
    <s v="CUST295"/>
    <x v="103"/>
    <s v="Female"/>
    <n v="36"/>
    <s v="Hyderabad"/>
    <x v="1"/>
    <x v="0"/>
    <s v="P108"/>
    <x v="2"/>
    <x v="2"/>
    <s v="Mixer"/>
    <x v="2"/>
    <n v="4"/>
    <n v="3500"/>
    <n v="0.05"/>
    <x v="88"/>
    <n v="2500"/>
    <n v="3300"/>
    <n v="0.24812030075187969"/>
    <x v="0"/>
    <x v="1"/>
    <n v="2"/>
    <x v="1"/>
    <n v="2"/>
    <s v="Average"/>
    <x v="1"/>
    <s v="Q4"/>
    <x v="0"/>
    <s v="Monday"/>
    <s v="36-45"/>
    <x v="1"/>
    <s v="Low"/>
    <s v="Bronze"/>
  </r>
  <r>
    <x v="295"/>
    <x v="190"/>
    <d v="2026-01-21T00:00:00"/>
    <s v="CUST296"/>
    <x v="152"/>
    <s v="Female"/>
    <n v="22"/>
    <s v="Kolkata"/>
    <x v="3"/>
    <x v="2"/>
    <s v="P107"/>
    <x v="1"/>
    <x v="1"/>
    <s v="Shoes"/>
    <x v="1"/>
    <n v="3"/>
    <n v="4500"/>
    <n v="0.05"/>
    <x v="168"/>
    <n v="3000"/>
    <n v="3825"/>
    <n v="0.2982456140350877"/>
    <x v="5"/>
    <x v="3"/>
    <n v="5"/>
    <x v="1"/>
    <n v="4"/>
    <s v="Excellent"/>
    <x v="0"/>
    <s v="Q1"/>
    <x v="0"/>
    <s v="Friday"/>
    <s v="18-25"/>
    <x v="1"/>
    <s v="Low"/>
    <s v="Bronze"/>
  </r>
  <r>
    <x v="296"/>
    <x v="191"/>
    <d v="2026-06-02T00:00:00"/>
    <s v="CUST297"/>
    <x v="153"/>
    <s v="Male"/>
    <n v="42"/>
    <s v="Bengaluru"/>
    <x v="5"/>
    <x v="0"/>
    <s v="P106"/>
    <x v="5"/>
    <x v="0"/>
    <s v="Headphones"/>
    <x v="5"/>
    <n v="2"/>
    <n v="2500"/>
    <n v="0.08"/>
    <x v="122"/>
    <n v="1700"/>
    <n v="1200"/>
    <n v="0.2608695652173913"/>
    <x v="3"/>
    <x v="1"/>
    <n v="3"/>
    <x v="1"/>
    <n v="4"/>
    <s v="Excellent"/>
    <x v="7"/>
    <s v="Q2"/>
    <x v="0"/>
    <s v="Saturday"/>
    <s v="36-45"/>
    <x v="2"/>
    <s v="Medium"/>
    <s v="Bronze"/>
  </r>
  <r>
    <x v="297"/>
    <x v="192"/>
    <d v="2026-05-30T00:00:00"/>
    <s v="CUST298"/>
    <x v="138"/>
    <s v="Female"/>
    <n v="22"/>
    <s v="Delhi"/>
    <x v="4"/>
    <x v="3"/>
    <s v="P105"/>
    <x v="3"/>
    <x v="0"/>
    <s v="Television"/>
    <x v="3"/>
    <n v="4"/>
    <n v="42000"/>
    <n v="0.12"/>
    <x v="53"/>
    <n v="35000"/>
    <n v="7840"/>
    <n v="5.3030303030303032E-2"/>
    <x v="4"/>
    <x v="3"/>
    <n v="5"/>
    <x v="0"/>
    <n v="2"/>
    <s v="Average"/>
    <x v="7"/>
    <s v="Q2"/>
    <x v="0"/>
    <s v="Monday"/>
    <s v="18-25"/>
    <x v="0"/>
    <s v="Medium"/>
    <s v="VIP"/>
  </r>
  <r>
    <x v="298"/>
    <x v="193"/>
    <d v="2026-07-20T00:00:00"/>
    <s v="CUST299"/>
    <x v="60"/>
    <s v="Female"/>
    <n v="49"/>
    <s v="Delhi"/>
    <x v="4"/>
    <x v="3"/>
    <s v="P103"/>
    <x v="0"/>
    <x v="0"/>
    <s v="Laptop"/>
    <x v="0"/>
    <n v="3"/>
    <n v="62000"/>
    <n v="0.15"/>
    <x v="39"/>
    <n v="52000"/>
    <n v="2100"/>
    <n v="1.3282732447817837E-2"/>
    <x v="1"/>
    <x v="2"/>
    <n v="2"/>
    <x v="0"/>
    <n v="4"/>
    <s v="Excellent"/>
    <x v="4"/>
    <s v="Q3"/>
    <x v="0"/>
    <s v="Saturday"/>
    <s v="46+"/>
    <x v="0"/>
    <s v="Medium"/>
    <s v="VIP"/>
  </r>
  <r>
    <x v="299"/>
    <x v="194"/>
    <d v="2026-11-03T00:00:00"/>
    <s v="CUST300"/>
    <x v="154"/>
    <s v="Female"/>
    <n v="49"/>
    <s v="Mumbai"/>
    <x v="2"/>
    <x v="1"/>
    <s v="P103"/>
    <x v="0"/>
    <x v="0"/>
    <s v="Laptop"/>
    <x v="0"/>
    <n v="3"/>
    <n v="62000"/>
    <n v="0.1"/>
    <x v="0"/>
    <n v="52000"/>
    <n v="11400"/>
    <n v="6.8100358422939072E-2"/>
    <x v="2"/>
    <x v="1"/>
    <n v="3"/>
    <x v="0"/>
    <n v="4"/>
    <s v="Excellent"/>
    <x v="1"/>
    <s v="Q4"/>
    <x v="0"/>
    <s v="Saturday"/>
    <s v="46+"/>
    <x v="0"/>
    <s v="Medium"/>
    <s v="VIP"/>
  </r>
  <r>
    <x v="300"/>
    <x v="109"/>
    <d v="2026-09-22T00:00:00"/>
    <s v="CUST301"/>
    <x v="82"/>
    <s v="Male"/>
    <n v="45"/>
    <s v="Ahmedabad"/>
    <x v="6"/>
    <x v="1"/>
    <s v="P108"/>
    <x v="2"/>
    <x v="2"/>
    <s v="Mixer"/>
    <x v="2"/>
    <n v="5"/>
    <n v="3500"/>
    <n v="0.1"/>
    <x v="144"/>
    <n v="2500"/>
    <n v="3250"/>
    <n v="0.20634920634920634"/>
    <x v="3"/>
    <x v="1"/>
    <n v="5"/>
    <x v="1"/>
    <n v="4"/>
    <s v="Excellent"/>
    <x v="5"/>
    <s v="Q3"/>
    <x v="0"/>
    <s v="Thursday"/>
    <s v="36-45"/>
    <x v="1"/>
    <s v="Medium"/>
    <s v="Silver"/>
  </r>
  <r>
    <x v="301"/>
    <x v="195"/>
    <d v="2026-10-25T00:00:00"/>
    <s v="CUST302"/>
    <x v="30"/>
    <s v="Male"/>
    <n v="32"/>
    <s v="Chennai"/>
    <x v="0"/>
    <x v="0"/>
    <s v="P106"/>
    <x v="5"/>
    <x v="0"/>
    <s v="Headphones"/>
    <x v="5"/>
    <n v="5"/>
    <n v="2500"/>
    <n v="0.08"/>
    <x v="61"/>
    <n v="1700"/>
    <n v="3000"/>
    <n v="0.2608695652173913"/>
    <x v="5"/>
    <x v="3"/>
    <n v="3"/>
    <x v="1"/>
    <n v="4"/>
    <s v="Excellent"/>
    <x v="1"/>
    <s v="Q4"/>
    <x v="0"/>
    <s v="Thursday"/>
    <s v="26-35"/>
    <x v="1"/>
    <s v="Medium"/>
    <s v="Bronze"/>
  </r>
  <r>
    <x v="302"/>
    <x v="196"/>
    <d v="2026-07-19T00:00:00"/>
    <s v="CUST303"/>
    <x v="155"/>
    <s v="Male"/>
    <n v="20"/>
    <s v="Delhi"/>
    <x v="4"/>
    <x v="3"/>
    <s v="P102"/>
    <x v="6"/>
    <x v="0"/>
    <s v="Mobile"/>
    <x v="6"/>
    <n v="4"/>
    <n v="79900"/>
    <n v="0.05"/>
    <x v="41"/>
    <n v="65000"/>
    <n v="43620"/>
    <n v="0.14366642513668401"/>
    <x v="0"/>
    <x v="2"/>
    <n v="5"/>
    <x v="0"/>
    <n v="5"/>
    <s v="Excellent"/>
    <x v="4"/>
    <s v="Q3"/>
    <x v="0"/>
    <s v="Tuesday"/>
    <s v="18-25"/>
    <x v="0"/>
    <s v="Low"/>
    <s v="VIP"/>
  </r>
  <r>
    <x v="303"/>
    <x v="77"/>
    <d v="2026-09-25T00:00:00"/>
    <s v="CUST304"/>
    <x v="135"/>
    <s v="Female"/>
    <n v="31"/>
    <s v="Bengaluru"/>
    <x v="5"/>
    <x v="0"/>
    <s v="P105"/>
    <x v="3"/>
    <x v="0"/>
    <s v="Television"/>
    <x v="3"/>
    <n v="1"/>
    <n v="42000"/>
    <n v="0.2"/>
    <x v="14"/>
    <n v="35000"/>
    <n v="-1400"/>
    <n v="-4.1666666666666664E-2"/>
    <x v="2"/>
    <x v="3"/>
    <n v="4"/>
    <x v="1"/>
    <n v="2"/>
    <s v="Average"/>
    <x v="5"/>
    <s v="Q3"/>
    <x v="0"/>
    <s v="Monday"/>
    <s v="26-35"/>
    <x v="0"/>
    <s v="High"/>
    <s v="Silver"/>
  </r>
  <r>
    <x v="304"/>
    <x v="85"/>
    <d v="2026-05-16T00:00:00"/>
    <s v="CUST305"/>
    <x v="12"/>
    <s v="Male"/>
    <n v="41"/>
    <s v="Surat"/>
    <x v="6"/>
    <x v="1"/>
    <s v="P102"/>
    <x v="6"/>
    <x v="0"/>
    <s v="Mobile"/>
    <x v="6"/>
    <n v="5"/>
    <n v="79900"/>
    <n v="0.12"/>
    <x v="169"/>
    <n v="65000"/>
    <n v="26560"/>
    <n v="7.5548981681647517E-2"/>
    <x v="4"/>
    <x v="2"/>
    <n v="2"/>
    <x v="0"/>
    <n v="3"/>
    <s v="Average"/>
    <x v="7"/>
    <s v="Q2"/>
    <x v="0"/>
    <s v="Thursday"/>
    <s v="36-45"/>
    <x v="0"/>
    <s v="Medium"/>
    <s v="VIP"/>
  </r>
  <r>
    <x v="305"/>
    <x v="197"/>
    <d v="2026-07-09T00:00:00"/>
    <s v="CUST306"/>
    <x v="22"/>
    <s v="Female"/>
    <n v="47"/>
    <s v="Surat"/>
    <x v="6"/>
    <x v="1"/>
    <s v="P108"/>
    <x v="2"/>
    <x v="2"/>
    <s v="Mixer"/>
    <x v="2"/>
    <n v="3"/>
    <n v="3500"/>
    <n v="0.2"/>
    <x v="65"/>
    <n v="2500"/>
    <n v="900"/>
    <n v="0.10714285714285714"/>
    <x v="4"/>
    <x v="1"/>
    <n v="3"/>
    <x v="1"/>
    <n v="2"/>
    <s v="Average"/>
    <x v="4"/>
    <s v="Q3"/>
    <x v="0"/>
    <s v="Monday"/>
    <s v="46+"/>
    <x v="2"/>
    <s v="High"/>
    <s v="Bronze"/>
  </r>
  <r>
    <x v="306"/>
    <x v="31"/>
    <d v="2026-07-04T00:00:00"/>
    <s v="CUST307"/>
    <x v="58"/>
    <s v="Male"/>
    <n v="29"/>
    <s v="Delhi"/>
    <x v="4"/>
    <x v="3"/>
    <s v="P101"/>
    <x v="7"/>
    <x v="0"/>
    <s v="Mobile"/>
    <x v="7"/>
    <n v="3"/>
    <n v="28500"/>
    <n v="0.1"/>
    <x v="54"/>
    <n v="22000"/>
    <n v="10950"/>
    <n v="0.14230019493177387"/>
    <x v="1"/>
    <x v="2"/>
    <n v="5"/>
    <x v="0"/>
    <n v="2"/>
    <s v="Average"/>
    <x v="11"/>
    <s v="Q2"/>
    <x v="0"/>
    <s v="Monday"/>
    <s v="26-35"/>
    <x v="0"/>
    <s v="Medium"/>
    <s v="Gold"/>
  </r>
  <r>
    <x v="307"/>
    <x v="4"/>
    <d v="2026-04-27T00:00:00"/>
    <s v="CUST308"/>
    <x v="141"/>
    <s v="Female"/>
    <n v="39"/>
    <s v="Surat"/>
    <x v="6"/>
    <x v="1"/>
    <s v="P102"/>
    <x v="6"/>
    <x v="0"/>
    <s v="Mobile"/>
    <x v="6"/>
    <n v="1"/>
    <n v="79900"/>
    <n v="0.15"/>
    <x v="170"/>
    <n v="65000"/>
    <n v="2915"/>
    <n v="4.292129868217625E-2"/>
    <x v="2"/>
    <x v="0"/>
    <n v="2"/>
    <x v="0"/>
    <n v="5"/>
    <s v="Excellent"/>
    <x v="3"/>
    <s v="Q2"/>
    <x v="0"/>
    <s v="Saturday"/>
    <s v="36-45"/>
    <x v="0"/>
    <s v="Medium"/>
    <s v="Gold"/>
  </r>
  <r>
    <x v="308"/>
    <x v="198"/>
    <d v="2026-11-12T00:00:00"/>
    <s v="CUST309"/>
    <x v="156"/>
    <s v="Male"/>
    <n v="50"/>
    <s v="Kolkata"/>
    <x v="3"/>
    <x v="2"/>
    <s v="P108"/>
    <x v="2"/>
    <x v="2"/>
    <s v="Mixer"/>
    <x v="2"/>
    <n v="5"/>
    <n v="3500"/>
    <n v="0.15"/>
    <x v="171"/>
    <n v="2500"/>
    <n v="2375"/>
    <n v="0.15966386554621848"/>
    <x v="0"/>
    <x v="1"/>
    <n v="5"/>
    <x v="1"/>
    <n v="2"/>
    <s v="Average"/>
    <x v="2"/>
    <s v="Q4"/>
    <x v="0"/>
    <s v="Saturday"/>
    <s v="46+"/>
    <x v="1"/>
    <s v="Medium"/>
    <s v="Bronze"/>
  </r>
  <r>
    <x v="309"/>
    <x v="199"/>
    <d v="2026-12-10T00:00:00"/>
    <s v="CUST310"/>
    <x v="19"/>
    <s v="Male"/>
    <n v="30"/>
    <s v="Ahmedabad"/>
    <x v="6"/>
    <x v="1"/>
    <s v="P101"/>
    <x v="7"/>
    <x v="0"/>
    <s v="Mobile"/>
    <x v="7"/>
    <n v="4"/>
    <n v="28500"/>
    <n v="0.05"/>
    <x v="159"/>
    <n v="22000"/>
    <n v="20300"/>
    <n v="0.18744228993536471"/>
    <x v="2"/>
    <x v="2"/>
    <n v="4"/>
    <x v="0"/>
    <n v="2"/>
    <s v="Average"/>
    <x v="8"/>
    <s v="Q4"/>
    <x v="0"/>
    <s v="Sunday"/>
    <s v="26-35"/>
    <x v="0"/>
    <s v="Low"/>
    <s v="VIP"/>
  </r>
  <r>
    <x v="310"/>
    <x v="180"/>
    <d v="2026-12-28T00:00:00"/>
    <s v="CUST311"/>
    <x v="157"/>
    <s v="Male"/>
    <n v="42"/>
    <s v="Bengaluru"/>
    <x v="5"/>
    <x v="0"/>
    <s v="P108"/>
    <x v="2"/>
    <x v="2"/>
    <s v="Mixer"/>
    <x v="2"/>
    <n v="1"/>
    <n v="3500"/>
    <n v="0.1"/>
    <x v="164"/>
    <n v="2500"/>
    <n v="650"/>
    <n v="0.20634920634920634"/>
    <x v="2"/>
    <x v="1"/>
    <n v="4"/>
    <x v="1"/>
    <n v="2"/>
    <s v="Average"/>
    <x v="8"/>
    <s v="Q4"/>
    <x v="0"/>
    <s v="Thursday"/>
    <s v="36-45"/>
    <x v="2"/>
    <s v="Medium"/>
    <s v="Bronze"/>
  </r>
  <r>
    <x v="311"/>
    <x v="21"/>
    <d v="2026-03-13T00:00:00"/>
    <s v="CUST312"/>
    <x v="158"/>
    <s v="Male"/>
    <n v="29"/>
    <s v="Surat"/>
    <x v="6"/>
    <x v="1"/>
    <s v="P102"/>
    <x v="6"/>
    <x v="0"/>
    <s v="Mobile"/>
    <x v="6"/>
    <n v="3"/>
    <n v="79900"/>
    <n v="0.1"/>
    <x v="15"/>
    <n v="65000"/>
    <n v="20730"/>
    <n v="9.6092337644277576E-2"/>
    <x v="3"/>
    <x v="3"/>
    <n v="6"/>
    <x v="0"/>
    <n v="3"/>
    <s v="Average"/>
    <x v="10"/>
    <s v="Q1"/>
    <x v="0"/>
    <s v="Saturday"/>
    <s v="26-35"/>
    <x v="0"/>
    <s v="Medium"/>
    <s v="VIP"/>
  </r>
  <r>
    <x v="312"/>
    <x v="200"/>
    <d v="2026-12-16T00:00:00"/>
    <s v="CUST313"/>
    <x v="49"/>
    <s v="Male"/>
    <n v="25"/>
    <s v="Surat"/>
    <x v="6"/>
    <x v="1"/>
    <s v="P106"/>
    <x v="5"/>
    <x v="0"/>
    <s v="Headphones"/>
    <x v="5"/>
    <n v="4"/>
    <n v="2500"/>
    <n v="0.08"/>
    <x v="172"/>
    <n v="1700"/>
    <n v="2400"/>
    <n v="0.2608695652173913"/>
    <x v="0"/>
    <x v="2"/>
    <n v="5"/>
    <x v="1"/>
    <n v="2"/>
    <s v="Average"/>
    <x v="8"/>
    <s v="Q4"/>
    <x v="0"/>
    <s v="Friday"/>
    <s v="18-25"/>
    <x v="2"/>
    <s v="Medium"/>
    <s v="Bronze"/>
  </r>
  <r>
    <x v="313"/>
    <x v="201"/>
    <d v="2026-05-25T00:00:00"/>
    <s v="CUST314"/>
    <x v="159"/>
    <s v="Female"/>
    <n v="48"/>
    <s v="Ahmedabad"/>
    <x v="6"/>
    <x v="1"/>
    <s v="P108"/>
    <x v="2"/>
    <x v="2"/>
    <s v="Mixer"/>
    <x v="2"/>
    <n v="2"/>
    <n v="3500"/>
    <n v="0.2"/>
    <x v="57"/>
    <n v="2500"/>
    <n v="600"/>
    <n v="0.10714285714285714"/>
    <x v="0"/>
    <x v="0"/>
    <n v="5"/>
    <x v="1"/>
    <n v="5"/>
    <s v="Excellent"/>
    <x v="7"/>
    <s v="Q2"/>
    <x v="0"/>
    <s v="Wednesday"/>
    <s v="46+"/>
    <x v="2"/>
    <s v="High"/>
    <s v="Bronze"/>
  </r>
  <r>
    <x v="314"/>
    <x v="202"/>
    <d v="2026-04-21T00:00:00"/>
    <s v="CUST315"/>
    <x v="155"/>
    <s v="Male"/>
    <n v="45"/>
    <s v="Chennai"/>
    <x v="0"/>
    <x v="0"/>
    <s v="P103"/>
    <x v="0"/>
    <x v="0"/>
    <s v="Laptop"/>
    <x v="0"/>
    <n v="3"/>
    <n v="62000"/>
    <n v="0.08"/>
    <x v="5"/>
    <n v="52000"/>
    <n v="15120"/>
    <n v="8.8359046283309955E-2"/>
    <x v="2"/>
    <x v="2"/>
    <n v="3"/>
    <x v="0"/>
    <n v="5"/>
    <s v="Excellent"/>
    <x v="3"/>
    <s v="Q2"/>
    <x v="0"/>
    <s v="Saturday"/>
    <s v="36-45"/>
    <x v="0"/>
    <s v="Medium"/>
    <s v="VIP"/>
  </r>
  <r>
    <x v="315"/>
    <x v="203"/>
    <d v="2026-07-11T00:00:00"/>
    <s v="CUST316"/>
    <x v="2"/>
    <s v="Female"/>
    <n v="41"/>
    <s v="Hyderabad"/>
    <x v="1"/>
    <x v="0"/>
    <s v="P101"/>
    <x v="7"/>
    <x v="0"/>
    <s v="Mobile"/>
    <x v="7"/>
    <n v="4"/>
    <n v="28500"/>
    <n v="0.15"/>
    <x v="92"/>
    <n v="22000"/>
    <n v="8900"/>
    <n v="9.1847265221878222E-2"/>
    <x v="5"/>
    <x v="0"/>
    <n v="2"/>
    <x v="0"/>
    <n v="4"/>
    <s v="Excellent"/>
    <x v="4"/>
    <s v="Q3"/>
    <x v="0"/>
    <s v="Thursday"/>
    <s v="36-45"/>
    <x v="0"/>
    <s v="Medium"/>
    <s v="VIP"/>
  </r>
  <r>
    <x v="316"/>
    <x v="101"/>
    <d v="2026-01-07T00:00:00"/>
    <s v="CUST317"/>
    <x v="65"/>
    <s v="Female"/>
    <n v="26"/>
    <s v="Kolkata"/>
    <x v="3"/>
    <x v="2"/>
    <s v="P104"/>
    <x v="4"/>
    <x v="0"/>
    <s v="Laptop"/>
    <x v="4"/>
    <n v="4"/>
    <n v="58000"/>
    <n v="0.12"/>
    <x v="156"/>
    <n v="49000"/>
    <n v="8160"/>
    <n v="3.9968652037617555E-2"/>
    <x v="5"/>
    <x v="0"/>
    <n v="5"/>
    <x v="0"/>
    <n v="5"/>
    <s v="Excellent"/>
    <x v="0"/>
    <s v="Q1"/>
    <x v="0"/>
    <s v="Friday"/>
    <s v="26-35"/>
    <x v="0"/>
    <s v="Medium"/>
    <s v="VIP"/>
  </r>
  <r>
    <x v="317"/>
    <x v="204"/>
    <d v="2026-03-27T00:00:00"/>
    <s v="CUST318"/>
    <x v="160"/>
    <s v="Male"/>
    <n v="34"/>
    <s v="Surat"/>
    <x v="6"/>
    <x v="1"/>
    <s v="P107"/>
    <x v="1"/>
    <x v="1"/>
    <s v="Shoes"/>
    <x v="1"/>
    <n v="2"/>
    <n v="4500"/>
    <n v="0.2"/>
    <x v="173"/>
    <n v="3000"/>
    <n v="1200"/>
    <n v="0.16666666666666666"/>
    <x v="3"/>
    <x v="3"/>
    <n v="5"/>
    <x v="1"/>
    <n v="3"/>
    <s v="Average"/>
    <x v="10"/>
    <s v="Q1"/>
    <x v="0"/>
    <s v="Sunday"/>
    <s v="26-35"/>
    <x v="2"/>
    <s v="High"/>
    <s v="Bronze"/>
  </r>
  <r>
    <x v="318"/>
    <x v="159"/>
    <d v="2026-03-11T00:00:00"/>
    <s v="CUST319"/>
    <x v="161"/>
    <s v="Male"/>
    <n v="40"/>
    <s v="Hyderabad"/>
    <x v="1"/>
    <x v="0"/>
    <s v="P107"/>
    <x v="1"/>
    <x v="1"/>
    <s v="Shoes"/>
    <x v="1"/>
    <n v="1"/>
    <n v="4500"/>
    <n v="0.05"/>
    <x v="93"/>
    <n v="3000"/>
    <n v="1275"/>
    <n v="0.2982456140350877"/>
    <x v="1"/>
    <x v="1"/>
    <n v="3"/>
    <x v="1"/>
    <n v="4"/>
    <s v="Excellent"/>
    <x v="10"/>
    <s v="Q1"/>
    <x v="0"/>
    <s v="Sunday"/>
    <s v="36-45"/>
    <x v="2"/>
    <s v="Low"/>
    <s v="Bronze"/>
  </r>
  <r>
    <x v="319"/>
    <x v="202"/>
    <d v="2026-04-23T00:00:00"/>
    <s v="CUST320"/>
    <x v="162"/>
    <s v="Female"/>
    <n v="30"/>
    <s v="Bengaluru"/>
    <x v="5"/>
    <x v="0"/>
    <s v="P106"/>
    <x v="5"/>
    <x v="0"/>
    <s v="Headphones"/>
    <x v="5"/>
    <n v="1"/>
    <n v="2500"/>
    <n v="0.05"/>
    <x v="129"/>
    <n v="1700"/>
    <n v="675"/>
    <n v="0.28421052631578947"/>
    <x v="0"/>
    <x v="0"/>
    <n v="5"/>
    <x v="1"/>
    <n v="4"/>
    <s v="Excellent"/>
    <x v="3"/>
    <s v="Q2"/>
    <x v="0"/>
    <s v="Saturday"/>
    <s v="26-35"/>
    <x v="2"/>
    <s v="Low"/>
    <s v="Bronze"/>
  </r>
  <r>
    <x v="320"/>
    <x v="205"/>
    <d v="2026-10-05T00:00:00"/>
    <s v="CUST321"/>
    <x v="49"/>
    <s v="Female"/>
    <n v="24"/>
    <s v="Surat"/>
    <x v="6"/>
    <x v="1"/>
    <s v="P104"/>
    <x v="4"/>
    <x v="0"/>
    <s v="Laptop"/>
    <x v="4"/>
    <n v="5"/>
    <n v="58000"/>
    <n v="0.1"/>
    <x v="167"/>
    <n v="49000"/>
    <n v="16000"/>
    <n v="6.1302681992337162E-2"/>
    <x v="1"/>
    <x v="2"/>
    <n v="4"/>
    <x v="0"/>
    <n v="3"/>
    <s v="Average"/>
    <x v="1"/>
    <s v="Q4"/>
    <x v="0"/>
    <s v="Thursday"/>
    <s v="18-25"/>
    <x v="0"/>
    <s v="Medium"/>
    <s v="VIP"/>
  </r>
  <r>
    <x v="321"/>
    <x v="38"/>
    <d v="2026-06-13T00:00:00"/>
    <s v="CUST322"/>
    <x v="111"/>
    <s v="Male"/>
    <n v="22"/>
    <s v="Chennai"/>
    <x v="0"/>
    <x v="0"/>
    <s v="P105"/>
    <x v="3"/>
    <x v="0"/>
    <s v="Television"/>
    <x v="3"/>
    <n v="5"/>
    <n v="42000"/>
    <n v="0.08"/>
    <x v="22"/>
    <n v="35000"/>
    <n v="18200"/>
    <n v="9.420289855072464E-2"/>
    <x v="0"/>
    <x v="2"/>
    <n v="2"/>
    <x v="0"/>
    <n v="5"/>
    <s v="Excellent"/>
    <x v="11"/>
    <s v="Q2"/>
    <x v="0"/>
    <s v="Thursday"/>
    <s v="18-25"/>
    <x v="0"/>
    <s v="Medium"/>
    <s v="VIP"/>
  </r>
  <r>
    <x v="322"/>
    <x v="170"/>
    <d v="2026-01-24T00:00:00"/>
    <s v="CUST323"/>
    <x v="152"/>
    <s v="Female"/>
    <n v="50"/>
    <s v="Hyderabad"/>
    <x v="1"/>
    <x v="0"/>
    <s v="P108"/>
    <x v="2"/>
    <x v="2"/>
    <s v="Mixer"/>
    <x v="2"/>
    <n v="5"/>
    <n v="3500"/>
    <n v="0.2"/>
    <x v="140"/>
    <n v="2500"/>
    <n v="1500"/>
    <n v="0.10714285714285714"/>
    <x v="1"/>
    <x v="0"/>
    <n v="2"/>
    <x v="1"/>
    <n v="2"/>
    <s v="Average"/>
    <x v="0"/>
    <s v="Q1"/>
    <x v="0"/>
    <s v="Thursday"/>
    <s v="46+"/>
    <x v="1"/>
    <s v="High"/>
    <s v="Bronze"/>
  </r>
  <r>
    <x v="323"/>
    <x v="206"/>
    <d v="2026-07-06T00:00:00"/>
    <s v="CUST324"/>
    <x v="81"/>
    <s v="Male"/>
    <n v="22"/>
    <s v="Bengaluru"/>
    <x v="5"/>
    <x v="0"/>
    <s v="P103"/>
    <x v="0"/>
    <x v="0"/>
    <s v="Laptop"/>
    <x v="0"/>
    <n v="3"/>
    <n v="62000"/>
    <n v="0.05"/>
    <x v="20"/>
    <n v="52000"/>
    <n v="20700"/>
    <n v="0.11714770797962648"/>
    <x v="4"/>
    <x v="0"/>
    <n v="4"/>
    <x v="0"/>
    <n v="3"/>
    <s v="Average"/>
    <x v="4"/>
    <s v="Q3"/>
    <x v="0"/>
    <s v="Thursday"/>
    <s v="18-25"/>
    <x v="0"/>
    <s v="Low"/>
    <s v="VIP"/>
  </r>
  <r>
    <x v="324"/>
    <x v="192"/>
    <d v="2026-05-30T00:00:00"/>
    <s v="CUST325"/>
    <x v="93"/>
    <s v="Female"/>
    <n v="42"/>
    <s v="Bengaluru"/>
    <x v="5"/>
    <x v="0"/>
    <s v="P108"/>
    <x v="2"/>
    <x v="2"/>
    <s v="Mixer"/>
    <x v="2"/>
    <n v="1"/>
    <n v="3500"/>
    <n v="0.12"/>
    <x v="174"/>
    <n v="2500"/>
    <n v="580"/>
    <n v="0.18831168831168832"/>
    <x v="3"/>
    <x v="3"/>
    <n v="5"/>
    <x v="1"/>
    <n v="5"/>
    <s v="Excellent"/>
    <x v="7"/>
    <s v="Q2"/>
    <x v="0"/>
    <s v="Monday"/>
    <s v="36-45"/>
    <x v="2"/>
    <s v="Medium"/>
    <s v="Bronze"/>
  </r>
  <r>
    <x v="325"/>
    <x v="11"/>
    <d v="2026-05-09T00:00:00"/>
    <s v="CUST326"/>
    <x v="163"/>
    <s v="Male"/>
    <n v="50"/>
    <s v="Surat"/>
    <x v="6"/>
    <x v="1"/>
    <s v="P101"/>
    <x v="7"/>
    <x v="0"/>
    <s v="Mobile"/>
    <x v="7"/>
    <n v="1"/>
    <n v="28500"/>
    <n v="0.08"/>
    <x v="118"/>
    <n v="22000"/>
    <n v="4220"/>
    <n v="0.16094584286803967"/>
    <x v="3"/>
    <x v="1"/>
    <n v="3"/>
    <x v="1"/>
    <n v="2"/>
    <s v="Average"/>
    <x v="7"/>
    <s v="Q2"/>
    <x v="0"/>
    <s v="Wednesday"/>
    <s v="46+"/>
    <x v="1"/>
    <s v="Medium"/>
    <s v="Silver"/>
  </r>
  <r>
    <x v="326"/>
    <x v="111"/>
    <d v="2026-07-14T00:00:00"/>
    <s v="CUST327"/>
    <x v="127"/>
    <s v="Female"/>
    <n v="22"/>
    <s v="Kolkata"/>
    <x v="3"/>
    <x v="2"/>
    <s v="P101"/>
    <x v="7"/>
    <x v="0"/>
    <s v="Mobile"/>
    <x v="7"/>
    <n v="2"/>
    <n v="28500"/>
    <n v="0.05"/>
    <x v="175"/>
    <n v="22000"/>
    <n v="10150"/>
    <n v="0.18744228993536471"/>
    <x v="5"/>
    <x v="0"/>
    <n v="3"/>
    <x v="0"/>
    <n v="5"/>
    <s v="Excellent"/>
    <x v="4"/>
    <s v="Q3"/>
    <x v="0"/>
    <s v="Saturday"/>
    <s v="18-25"/>
    <x v="0"/>
    <s v="Low"/>
    <s v="Gold"/>
  </r>
  <r>
    <x v="327"/>
    <x v="20"/>
    <d v="2026-08-15T00:00:00"/>
    <s v="CUST328"/>
    <x v="128"/>
    <s v="Female"/>
    <n v="37"/>
    <s v="Surat"/>
    <x v="6"/>
    <x v="1"/>
    <s v="P101"/>
    <x v="7"/>
    <x v="0"/>
    <s v="Mobile"/>
    <x v="7"/>
    <n v="2"/>
    <n v="28500"/>
    <n v="0.1"/>
    <x v="162"/>
    <n v="22000"/>
    <n v="7300"/>
    <n v="0.14230019493177387"/>
    <x v="2"/>
    <x v="2"/>
    <n v="6"/>
    <x v="0"/>
    <n v="4"/>
    <s v="Excellent"/>
    <x v="6"/>
    <s v="Q3"/>
    <x v="0"/>
    <s v="Sunday"/>
    <s v="36-45"/>
    <x v="0"/>
    <s v="Medium"/>
    <s v="Gold"/>
  </r>
  <r>
    <x v="328"/>
    <x v="91"/>
    <d v="2026-08-24T00:00:00"/>
    <s v="CUST329"/>
    <x v="164"/>
    <s v="Male"/>
    <n v="48"/>
    <s v="Mumbai"/>
    <x v="2"/>
    <x v="1"/>
    <s v="P108"/>
    <x v="2"/>
    <x v="2"/>
    <s v="Mixer"/>
    <x v="2"/>
    <n v="4"/>
    <n v="3500"/>
    <n v="0.15"/>
    <x v="13"/>
    <n v="2500"/>
    <n v="1900"/>
    <n v="0.15966386554621848"/>
    <x v="1"/>
    <x v="0"/>
    <n v="2"/>
    <x v="1"/>
    <n v="4"/>
    <s v="Excellent"/>
    <x v="6"/>
    <s v="Q3"/>
    <x v="0"/>
    <s v="Saturday"/>
    <s v="46+"/>
    <x v="1"/>
    <s v="Medium"/>
    <s v="Bronze"/>
  </r>
  <r>
    <x v="329"/>
    <x v="181"/>
    <d v="2026-01-14T00:00:00"/>
    <s v="CUST330"/>
    <x v="62"/>
    <s v="Male"/>
    <n v="48"/>
    <s v="Delhi"/>
    <x v="4"/>
    <x v="3"/>
    <s v="P103"/>
    <x v="0"/>
    <x v="0"/>
    <s v="Laptop"/>
    <x v="0"/>
    <n v="4"/>
    <n v="62000"/>
    <n v="0.08"/>
    <x v="176"/>
    <n v="52000"/>
    <n v="20160"/>
    <n v="8.8359046283309955E-2"/>
    <x v="1"/>
    <x v="3"/>
    <n v="3"/>
    <x v="0"/>
    <n v="3"/>
    <s v="Average"/>
    <x v="0"/>
    <s v="Q1"/>
    <x v="0"/>
    <s v="Sunday"/>
    <s v="46+"/>
    <x v="0"/>
    <s v="Medium"/>
    <s v="VIP"/>
  </r>
  <r>
    <x v="330"/>
    <x v="207"/>
    <d v="2026-08-11T00:00:00"/>
    <s v="CUST331"/>
    <x v="42"/>
    <s v="Female"/>
    <n v="24"/>
    <s v="Bengaluru"/>
    <x v="5"/>
    <x v="0"/>
    <s v="P103"/>
    <x v="0"/>
    <x v="0"/>
    <s v="Laptop"/>
    <x v="0"/>
    <n v="5"/>
    <n v="62000"/>
    <n v="0.05"/>
    <x v="177"/>
    <n v="52000"/>
    <n v="34500"/>
    <n v="0.11714770797962648"/>
    <x v="2"/>
    <x v="2"/>
    <n v="5"/>
    <x v="0"/>
    <n v="2"/>
    <s v="Average"/>
    <x v="6"/>
    <s v="Q3"/>
    <x v="0"/>
    <s v="Thursday"/>
    <s v="18-25"/>
    <x v="0"/>
    <s v="Low"/>
    <s v="VIP"/>
  </r>
  <r>
    <x v="331"/>
    <x v="208"/>
    <d v="2026-05-14T00:00:00"/>
    <s v="CUST332"/>
    <x v="165"/>
    <s v="Male"/>
    <n v="21"/>
    <s v="Mumbai"/>
    <x v="2"/>
    <x v="1"/>
    <s v="P103"/>
    <x v="0"/>
    <x v="0"/>
    <s v="Laptop"/>
    <x v="0"/>
    <n v="4"/>
    <n v="62000"/>
    <n v="0.2"/>
    <x v="178"/>
    <n v="52000"/>
    <n v="-9600"/>
    <n v="-4.8387096774193547E-2"/>
    <x v="3"/>
    <x v="3"/>
    <n v="3"/>
    <x v="0"/>
    <n v="4"/>
    <s v="Excellent"/>
    <x v="7"/>
    <s v="Q2"/>
    <x v="0"/>
    <s v="Monday"/>
    <s v="18-25"/>
    <x v="0"/>
    <s v="High"/>
    <s v="VIP"/>
  </r>
  <r>
    <x v="332"/>
    <x v="33"/>
    <d v="2026-08-31T00:00:00"/>
    <s v="CUST333"/>
    <x v="166"/>
    <s v="Female"/>
    <n v="24"/>
    <s v="Kolkata"/>
    <x v="3"/>
    <x v="2"/>
    <s v="P108"/>
    <x v="2"/>
    <x v="2"/>
    <s v="Mixer"/>
    <x v="2"/>
    <n v="5"/>
    <n v="3500"/>
    <n v="0.08"/>
    <x v="179"/>
    <n v="2500"/>
    <n v="3600"/>
    <n v="0.2236024844720497"/>
    <x v="4"/>
    <x v="2"/>
    <n v="4"/>
    <x v="1"/>
    <n v="4"/>
    <s v="Excellent"/>
    <x v="6"/>
    <s v="Q3"/>
    <x v="0"/>
    <s v="Thursday"/>
    <s v="18-25"/>
    <x v="1"/>
    <s v="Medium"/>
    <s v="Silver"/>
  </r>
  <r>
    <x v="333"/>
    <x v="209"/>
    <d v="2026-03-03T00:00:00"/>
    <s v="CUST334"/>
    <x v="142"/>
    <s v="Male"/>
    <n v="30"/>
    <s v="Delhi"/>
    <x v="4"/>
    <x v="3"/>
    <s v="P103"/>
    <x v="0"/>
    <x v="0"/>
    <s v="Laptop"/>
    <x v="0"/>
    <n v="1"/>
    <n v="62000"/>
    <n v="0.15"/>
    <x v="180"/>
    <n v="52000"/>
    <n v="700"/>
    <n v="1.3282732447817837E-2"/>
    <x v="2"/>
    <x v="0"/>
    <n v="4"/>
    <x v="0"/>
    <n v="5"/>
    <s v="Excellent"/>
    <x v="9"/>
    <s v="Q1"/>
    <x v="0"/>
    <s v="Friday"/>
    <s v="26-35"/>
    <x v="0"/>
    <s v="Medium"/>
    <s v="Gold"/>
  </r>
  <r>
    <x v="334"/>
    <x v="210"/>
    <d v="2026-09-02T00:00:00"/>
    <s v="CUST335"/>
    <x v="164"/>
    <s v="Female"/>
    <n v="21"/>
    <s v="Delhi"/>
    <x v="4"/>
    <x v="3"/>
    <s v="P106"/>
    <x v="5"/>
    <x v="0"/>
    <s v="Headphones"/>
    <x v="5"/>
    <n v="1"/>
    <n v="2500"/>
    <n v="0.12"/>
    <x v="181"/>
    <n v="1700"/>
    <n v="500"/>
    <n v="0.22727272727272727"/>
    <x v="1"/>
    <x v="1"/>
    <n v="5"/>
    <x v="1"/>
    <n v="4"/>
    <s v="Excellent"/>
    <x v="6"/>
    <s v="Q3"/>
    <x v="0"/>
    <s v="Friday"/>
    <s v="18-25"/>
    <x v="2"/>
    <s v="Medium"/>
    <s v="Bronze"/>
  </r>
  <r>
    <x v="335"/>
    <x v="33"/>
    <d v="2026-08-31T00:00:00"/>
    <s v="CUST336"/>
    <x v="149"/>
    <s v="Female"/>
    <n v="34"/>
    <s v="Bengaluru"/>
    <x v="5"/>
    <x v="0"/>
    <s v="P101"/>
    <x v="7"/>
    <x v="0"/>
    <s v="Mobile"/>
    <x v="7"/>
    <n v="1"/>
    <n v="28500"/>
    <n v="0.1"/>
    <x v="148"/>
    <n v="22000"/>
    <n v="3650"/>
    <n v="0.14230019493177387"/>
    <x v="0"/>
    <x v="1"/>
    <n v="4"/>
    <x v="1"/>
    <n v="5"/>
    <s v="Excellent"/>
    <x v="6"/>
    <s v="Q3"/>
    <x v="0"/>
    <s v="Thursday"/>
    <s v="26-35"/>
    <x v="1"/>
    <s v="Medium"/>
    <s v="Silver"/>
  </r>
  <r>
    <x v="336"/>
    <x v="60"/>
    <d v="2026-07-06T00:00:00"/>
    <s v="CUST337"/>
    <x v="110"/>
    <s v="Female"/>
    <n v="36"/>
    <s v="Chennai"/>
    <x v="0"/>
    <x v="0"/>
    <s v="P106"/>
    <x v="5"/>
    <x v="0"/>
    <s v="Headphones"/>
    <x v="5"/>
    <n v="1"/>
    <n v="2500"/>
    <n v="0.2"/>
    <x v="29"/>
    <n v="1700"/>
    <n v="300"/>
    <n v="0.15"/>
    <x v="1"/>
    <x v="0"/>
    <n v="6"/>
    <x v="1"/>
    <n v="3"/>
    <s v="Average"/>
    <x v="11"/>
    <s v="Q2"/>
    <x v="0"/>
    <s v="Tuesday"/>
    <s v="36-45"/>
    <x v="2"/>
    <s v="High"/>
    <s v="Bronze"/>
  </r>
  <r>
    <x v="337"/>
    <x v="211"/>
    <d v="2026-11-23T00:00:00"/>
    <s v="CUST338"/>
    <x v="154"/>
    <s v="Male"/>
    <n v="37"/>
    <s v="Ahmedabad"/>
    <x v="6"/>
    <x v="1"/>
    <s v="P103"/>
    <x v="0"/>
    <x v="0"/>
    <s v="Laptop"/>
    <x v="0"/>
    <n v="1"/>
    <n v="62000"/>
    <n v="0.15"/>
    <x v="180"/>
    <n v="52000"/>
    <n v="700"/>
    <n v="1.3282732447817837E-2"/>
    <x v="4"/>
    <x v="3"/>
    <n v="6"/>
    <x v="0"/>
    <n v="2"/>
    <s v="Average"/>
    <x v="2"/>
    <s v="Q4"/>
    <x v="0"/>
    <s v="Tuesday"/>
    <s v="36-45"/>
    <x v="0"/>
    <s v="Medium"/>
    <s v="Gold"/>
  </r>
  <r>
    <x v="338"/>
    <x v="22"/>
    <d v="2026-03-03T00:00:00"/>
    <s v="CUST339"/>
    <x v="42"/>
    <s v="Female"/>
    <n v="39"/>
    <s v="Delhi"/>
    <x v="4"/>
    <x v="3"/>
    <s v="P102"/>
    <x v="6"/>
    <x v="0"/>
    <s v="Mobile"/>
    <x v="6"/>
    <n v="5"/>
    <n v="79900"/>
    <n v="0.2"/>
    <x v="151"/>
    <n v="65000"/>
    <n v="-5400"/>
    <n v="-1.6896120150187734E-2"/>
    <x v="4"/>
    <x v="3"/>
    <n v="2"/>
    <x v="0"/>
    <n v="5"/>
    <s v="Excellent"/>
    <x v="10"/>
    <s v="Q1"/>
    <x v="0"/>
    <s v="Sunday"/>
    <s v="36-45"/>
    <x v="0"/>
    <s v="High"/>
    <s v="VIP"/>
  </r>
  <r>
    <x v="339"/>
    <x v="212"/>
    <d v="2026-03-14T00:00:00"/>
    <s v="CUST340"/>
    <x v="122"/>
    <s v="Male"/>
    <n v="28"/>
    <s v="Surat"/>
    <x v="6"/>
    <x v="1"/>
    <s v="P107"/>
    <x v="1"/>
    <x v="1"/>
    <s v="Shoes"/>
    <x v="1"/>
    <n v="1"/>
    <n v="4500"/>
    <n v="0.12"/>
    <x v="89"/>
    <n v="3000"/>
    <n v="960"/>
    <n v="0.24242424242424243"/>
    <x v="1"/>
    <x v="1"/>
    <n v="5"/>
    <x v="1"/>
    <n v="2"/>
    <s v="Average"/>
    <x v="10"/>
    <s v="Q1"/>
    <x v="0"/>
    <s v="Monday"/>
    <s v="26-35"/>
    <x v="2"/>
    <s v="Medium"/>
    <s v="Bronze"/>
  </r>
  <r>
    <x v="340"/>
    <x v="87"/>
    <d v="2026-10-29T00:00:00"/>
    <s v="CUST341"/>
    <x v="116"/>
    <s v="Male"/>
    <n v="49"/>
    <s v="Hyderabad"/>
    <x v="1"/>
    <x v="0"/>
    <s v="P107"/>
    <x v="1"/>
    <x v="1"/>
    <s v="Shoes"/>
    <x v="1"/>
    <n v="3"/>
    <n v="4500"/>
    <n v="0.08"/>
    <x v="182"/>
    <n v="3000"/>
    <n v="3420"/>
    <n v="0.27536231884057971"/>
    <x v="2"/>
    <x v="0"/>
    <n v="5"/>
    <x v="1"/>
    <n v="3"/>
    <s v="Average"/>
    <x v="1"/>
    <s v="Q4"/>
    <x v="0"/>
    <s v="Saturday"/>
    <s v="46+"/>
    <x v="1"/>
    <s v="Medium"/>
    <s v="Bronze"/>
  </r>
  <r>
    <x v="341"/>
    <x v="117"/>
    <d v="2026-05-25T00:00:00"/>
    <s v="CUST342"/>
    <x v="167"/>
    <s v="Male"/>
    <n v="24"/>
    <s v="Bengaluru"/>
    <x v="5"/>
    <x v="0"/>
    <s v="P102"/>
    <x v="6"/>
    <x v="0"/>
    <s v="Mobile"/>
    <x v="6"/>
    <n v="1"/>
    <n v="79900"/>
    <n v="0.05"/>
    <x v="183"/>
    <n v="65000"/>
    <n v="10905"/>
    <n v="0.14366642513668401"/>
    <x v="0"/>
    <x v="0"/>
    <n v="4"/>
    <x v="0"/>
    <n v="3"/>
    <s v="Average"/>
    <x v="7"/>
    <s v="Q2"/>
    <x v="0"/>
    <s v="Thursday"/>
    <s v="18-25"/>
    <x v="0"/>
    <s v="Low"/>
    <s v="Gold"/>
  </r>
  <r>
    <x v="342"/>
    <x v="209"/>
    <d v="2026-03-04T00:00:00"/>
    <s v="CUST343"/>
    <x v="168"/>
    <s v="Female"/>
    <n v="49"/>
    <s v="Chennai"/>
    <x v="0"/>
    <x v="0"/>
    <s v="P101"/>
    <x v="7"/>
    <x v="0"/>
    <s v="Mobile"/>
    <x v="7"/>
    <n v="2"/>
    <n v="28500"/>
    <n v="0.12"/>
    <x v="69"/>
    <n v="22000"/>
    <n v="6160"/>
    <n v="0.12280701754385964"/>
    <x v="5"/>
    <x v="2"/>
    <n v="5"/>
    <x v="0"/>
    <n v="5"/>
    <s v="Excellent"/>
    <x v="9"/>
    <s v="Q1"/>
    <x v="0"/>
    <s v="Friday"/>
    <s v="46+"/>
    <x v="0"/>
    <s v="Medium"/>
    <s v="Gold"/>
  </r>
  <r>
    <x v="343"/>
    <x v="71"/>
    <d v="2026-11-23T00:00:00"/>
    <s v="CUST344"/>
    <x v="6"/>
    <s v="Female"/>
    <n v="46"/>
    <s v="Bengaluru"/>
    <x v="5"/>
    <x v="0"/>
    <s v="P104"/>
    <x v="4"/>
    <x v="0"/>
    <s v="Laptop"/>
    <x v="4"/>
    <n v="5"/>
    <n v="58000"/>
    <n v="0.05"/>
    <x v="125"/>
    <n v="49000"/>
    <n v="30500"/>
    <n v="0.11070780399274047"/>
    <x v="4"/>
    <x v="2"/>
    <n v="3"/>
    <x v="0"/>
    <n v="2"/>
    <s v="Average"/>
    <x v="2"/>
    <s v="Q4"/>
    <x v="0"/>
    <s v="Friday"/>
    <s v="46+"/>
    <x v="0"/>
    <s v="Low"/>
    <s v="VIP"/>
  </r>
  <r>
    <x v="344"/>
    <x v="213"/>
    <d v="2026-12-26T00:00:00"/>
    <s v="CUST345"/>
    <x v="169"/>
    <s v="Male"/>
    <n v="27"/>
    <s v="Chennai"/>
    <x v="0"/>
    <x v="0"/>
    <s v="P104"/>
    <x v="4"/>
    <x v="0"/>
    <s v="Laptop"/>
    <x v="4"/>
    <n v="1"/>
    <n v="58000"/>
    <n v="0.08"/>
    <x v="184"/>
    <n v="49000"/>
    <n v="4360"/>
    <n v="8.1709145427286356E-2"/>
    <x v="5"/>
    <x v="1"/>
    <n v="3"/>
    <x v="0"/>
    <n v="2"/>
    <s v="Average"/>
    <x v="8"/>
    <s v="Q4"/>
    <x v="0"/>
    <s v="Wednesday"/>
    <s v="26-35"/>
    <x v="0"/>
    <s v="Medium"/>
    <s v="Gold"/>
  </r>
  <r>
    <x v="345"/>
    <x v="167"/>
    <d v="2026-11-16T00:00:00"/>
    <s v="CUST346"/>
    <x v="112"/>
    <s v="Female"/>
    <n v="22"/>
    <s v="Bengaluru"/>
    <x v="5"/>
    <x v="0"/>
    <s v="P105"/>
    <x v="3"/>
    <x v="0"/>
    <s v="Television"/>
    <x v="3"/>
    <n v="3"/>
    <n v="42000"/>
    <n v="0.08"/>
    <x v="50"/>
    <n v="35000"/>
    <n v="10920"/>
    <n v="9.420289855072464E-2"/>
    <x v="1"/>
    <x v="3"/>
    <n v="6"/>
    <x v="0"/>
    <n v="2"/>
    <s v="Average"/>
    <x v="2"/>
    <s v="Q4"/>
    <x v="0"/>
    <s v="Tuesday"/>
    <s v="18-25"/>
    <x v="0"/>
    <s v="Medium"/>
    <s v="VIP"/>
  </r>
  <r>
    <x v="346"/>
    <x v="214"/>
    <d v="2026-01-18T00:00:00"/>
    <s v="CUST347"/>
    <x v="3"/>
    <s v="Male"/>
    <n v="29"/>
    <s v="Delhi"/>
    <x v="4"/>
    <x v="3"/>
    <s v="P108"/>
    <x v="2"/>
    <x v="2"/>
    <s v="Mixer"/>
    <x v="2"/>
    <n v="4"/>
    <n v="3500"/>
    <n v="0.12"/>
    <x v="117"/>
    <n v="2500"/>
    <n v="2320"/>
    <n v="0.18831168831168832"/>
    <x v="0"/>
    <x v="0"/>
    <n v="4"/>
    <x v="1"/>
    <n v="2"/>
    <s v="Average"/>
    <x v="0"/>
    <s v="Q1"/>
    <x v="0"/>
    <s v="Wednesday"/>
    <s v="26-35"/>
    <x v="1"/>
    <s v="Medium"/>
    <s v="Bronze"/>
  </r>
  <r>
    <x v="347"/>
    <x v="215"/>
    <d v="2026-01-19T00:00:00"/>
    <s v="CUST348"/>
    <x v="9"/>
    <s v="Female"/>
    <n v="32"/>
    <s v="Hyderabad"/>
    <x v="1"/>
    <x v="0"/>
    <s v="P102"/>
    <x v="6"/>
    <x v="0"/>
    <s v="Mobile"/>
    <x v="6"/>
    <n v="5"/>
    <n v="79900"/>
    <n v="0.08"/>
    <x v="185"/>
    <n v="65000"/>
    <n v="42540"/>
    <n v="0.11574250421722805"/>
    <x v="3"/>
    <x v="3"/>
    <n v="4"/>
    <x v="0"/>
    <n v="5"/>
    <s v="Excellent"/>
    <x v="0"/>
    <s v="Q1"/>
    <x v="0"/>
    <s v="Thursday"/>
    <s v="26-35"/>
    <x v="0"/>
    <s v="Medium"/>
    <s v="VIP"/>
  </r>
  <r>
    <x v="348"/>
    <x v="93"/>
    <d v="2026-02-23T00:00:00"/>
    <s v="CUST349"/>
    <x v="148"/>
    <s v="Female"/>
    <n v="30"/>
    <s v="Hyderabad"/>
    <x v="1"/>
    <x v="0"/>
    <s v="P107"/>
    <x v="1"/>
    <x v="1"/>
    <s v="Shoes"/>
    <x v="1"/>
    <n v="4"/>
    <n v="4500"/>
    <n v="0.2"/>
    <x v="33"/>
    <n v="3000"/>
    <n v="2400"/>
    <n v="0.16666666666666666"/>
    <x v="4"/>
    <x v="1"/>
    <n v="6"/>
    <x v="1"/>
    <n v="4"/>
    <s v="Excellent"/>
    <x v="9"/>
    <s v="Q1"/>
    <x v="0"/>
    <s v="Tuesday"/>
    <s v="26-35"/>
    <x v="1"/>
    <s v="High"/>
    <s v="Bronze"/>
  </r>
  <r>
    <x v="349"/>
    <x v="173"/>
    <d v="2026-01-30T00:00:00"/>
    <s v="CUST350"/>
    <x v="114"/>
    <s v="Male"/>
    <n v="46"/>
    <s v="Surat"/>
    <x v="6"/>
    <x v="1"/>
    <s v="P101"/>
    <x v="7"/>
    <x v="0"/>
    <s v="Mobile"/>
    <x v="7"/>
    <n v="5"/>
    <n v="28500"/>
    <n v="0.2"/>
    <x v="186"/>
    <n v="22000"/>
    <n v="4000"/>
    <n v="3.5087719298245612E-2"/>
    <x v="1"/>
    <x v="3"/>
    <n v="2"/>
    <x v="0"/>
    <n v="5"/>
    <s v="Excellent"/>
    <x v="0"/>
    <s v="Q1"/>
    <x v="0"/>
    <s v="Wednesday"/>
    <s v="46+"/>
    <x v="0"/>
    <s v="High"/>
    <s v="VIP"/>
  </r>
  <r>
    <x v="350"/>
    <x v="216"/>
    <d v="2026-09-16T00:00:00"/>
    <s v="CUST351"/>
    <x v="90"/>
    <s v="Female"/>
    <n v="35"/>
    <s v="Mumbai"/>
    <x v="2"/>
    <x v="1"/>
    <s v="P108"/>
    <x v="2"/>
    <x v="2"/>
    <s v="Mixer"/>
    <x v="2"/>
    <n v="4"/>
    <n v="3500"/>
    <n v="0.12"/>
    <x v="117"/>
    <n v="2500"/>
    <n v="2320"/>
    <n v="0.18831168831168832"/>
    <x v="0"/>
    <x v="1"/>
    <n v="6"/>
    <x v="1"/>
    <n v="2"/>
    <s v="Average"/>
    <x v="5"/>
    <s v="Q3"/>
    <x v="0"/>
    <s v="Thursday"/>
    <s v="26-35"/>
    <x v="1"/>
    <s v="Medium"/>
    <s v="Bronze"/>
  </r>
  <r>
    <x v="351"/>
    <x v="217"/>
    <d v="2026-05-22T00:00:00"/>
    <s v="CUST352"/>
    <x v="86"/>
    <s v="Female"/>
    <n v="29"/>
    <s v="Ahmedabad"/>
    <x v="6"/>
    <x v="1"/>
    <s v="P104"/>
    <x v="4"/>
    <x v="0"/>
    <s v="Laptop"/>
    <x v="4"/>
    <n v="5"/>
    <n v="58000"/>
    <n v="0.15"/>
    <x v="87"/>
    <n v="49000"/>
    <n v="1500"/>
    <n v="6.0851926977687626E-3"/>
    <x v="2"/>
    <x v="1"/>
    <n v="4"/>
    <x v="0"/>
    <n v="2"/>
    <s v="Average"/>
    <x v="7"/>
    <s v="Q2"/>
    <x v="0"/>
    <s v="Monday"/>
    <s v="26-35"/>
    <x v="0"/>
    <s v="Medium"/>
    <s v="VIP"/>
  </r>
  <r>
    <x v="352"/>
    <x v="218"/>
    <d v="2027-01-02T00:00:00"/>
    <s v="CUST353"/>
    <x v="110"/>
    <s v="Female"/>
    <n v="29"/>
    <s v="Mumbai"/>
    <x v="2"/>
    <x v="1"/>
    <s v="P102"/>
    <x v="6"/>
    <x v="0"/>
    <s v="Mobile"/>
    <x v="6"/>
    <n v="1"/>
    <n v="79900"/>
    <n v="0.05"/>
    <x v="183"/>
    <n v="65000"/>
    <n v="10905"/>
    <n v="0.14366642513668401"/>
    <x v="2"/>
    <x v="0"/>
    <n v="2"/>
    <x v="0"/>
    <n v="5"/>
    <s v="Excellent"/>
    <x v="8"/>
    <s v="Q4"/>
    <x v="0"/>
    <s v="Thursday"/>
    <s v="26-35"/>
    <x v="0"/>
    <s v="Low"/>
    <s v="Gold"/>
  </r>
  <r>
    <x v="353"/>
    <x v="131"/>
    <d v="2026-02-18T00:00:00"/>
    <s v="CUST354"/>
    <x v="170"/>
    <s v="Male"/>
    <n v="29"/>
    <s v="Hyderabad"/>
    <x v="1"/>
    <x v="0"/>
    <s v="P105"/>
    <x v="3"/>
    <x v="0"/>
    <s v="Television"/>
    <x v="3"/>
    <n v="3"/>
    <n v="42000"/>
    <n v="0.12"/>
    <x v="187"/>
    <n v="35000"/>
    <n v="5880"/>
    <n v="5.3030303030303032E-2"/>
    <x v="1"/>
    <x v="2"/>
    <n v="2"/>
    <x v="0"/>
    <n v="5"/>
    <s v="Excellent"/>
    <x v="9"/>
    <s v="Q1"/>
    <x v="0"/>
    <s v="Monday"/>
    <s v="26-35"/>
    <x v="0"/>
    <s v="Medium"/>
    <s v="VIP"/>
  </r>
  <r>
    <x v="354"/>
    <x v="86"/>
    <d v="2026-09-18T00:00:00"/>
    <s v="CUST355"/>
    <x v="148"/>
    <s v="Male"/>
    <n v="34"/>
    <s v="Mumbai"/>
    <x v="2"/>
    <x v="1"/>
    <s v="P104"/>
    <x v="4"/>
    <x v="0"/>
    <s v="Laptop"/>
    <x v="4"/>
    <n v="4"/>
    <n v="58000"/>
    <n v="0.15"/>
    <x v="80"/>
    <n v="49000"/>
    <n v="1200"/>
    <n v="6.0851926977687626E-3"/>
    <x v="1"/>
    <x v="1"/>
    <n v="5"/>
    <x v="0"/>
    <n v="4"/>
    <s v="Excellent"/>
    <x v="5"/>
    <s v="Q3"/>
    <x v="0"/>
    <s v="Sunday"/>
    <s v="26-35"/>
    <x v="0"/>
    <s v="Medium"/>
    <s v="VIP"/>
  </r>
  <r>
    <x v="355"/>
    <x v="3"/>
    <d v="2026-12-01T00:00:00"/>
    <s v="CUST356"/>
    <x v="22"/>
    <s v="Male"/>
    <n v="21"/>
    <s v="Delhi"/>
    <x v="4"/>
    <x v="3"/>
    <s v="P105"/>
    <x v="3"/>
    <x v="0"/>
    <s v="Television"/>
    <x v="3"/>
    <n v="4"/>
    <n v="42000"/>
    <n v="0.05"/>
    <x v="188"/>
    <n v="35000"/>
    <n v="19600"/>
    <n v="0.12280701754385964"/>
    <x v="3"/>
    <x v="0"/>
    <n v="5"/>
    <x v="0"/>
    <n v="4"/>
    <s v="Excellent"/>
    <x v="2"/>
    <s v="Q4"/>
    <x v="0"/>
    <s v="Thursday"/>
    <s v="18-25"/>
    <x v="0"/>
    <s v="Low"/>
    <s v="VIP"/>
  </r>
  <r>
    <x v="356"/>
    <x v="0"/>
    <d v="2026-02-04T00:00:00"/>
    <s v="CUST357"/>
    <x v="91"/>
    <s v="Male"/>
    <n v="42"/>
    <s v="Bengaluru"/>
    <x v="5"/>
    <x v="0"/>
    <s v="P106"/>
    <x v="5"/>
    <x v="0"/>
    <s v="Headphones"/>
    <x v="5"/>
    <n v="5"/>
    <n v="2500"/>
    <n v="0.05"/>
    <x v="70"/>
    <n v="1700"/>
    <n v="3375"/>
    <n v="0.28421052631578947"/>
    <x v="5"/>
    <x v="1"/>
    <n v="6"/>
    <x v="1"/>
    <n v="5"/>
    <s v="Excellent"/>
    <x v="0"/>
    <s v="Q1"/>
    <x v="0"/>
    <s v="Thursday"/>
    <s v="36-45"/>
    <x v="1"/>
    <s v="Low"/>
    <s v="Bronze"/>
  </r>
  <r>
    <x v="357"/>
    <x v="207"/>
    <d v="2026-08-09T00:00:00"/>
    <s v="CUST358"/>
    <x v="126"/>
    <s v="Female"/>
    <n v="27"/>
    <s v="Ahmedabad"/>
    <x v="6"/>
    <x v="1"/>
    <s v="P106"/>
    <x v="5"/>
    <x v="0"/>
    <s v="Headphones"/>
    <x v="5"/>
    <n v="3"/>
    <n v="2500"/>
    <n v="0.1"/>
    <x v="189"/>
    <n v="1700"/>
    <n v="1650"/>
    <n v="0.24444444444444444"/>
    <x v="2"/>
    <x v="3"/>
    <n v="3"/>
    <x v="1"/>
    <n v="3"/>
    <s v="Average"/>
    <x v="6"/>
    <s v="Q3"/>
    <x v="0"/>
    <s v="Thursday"/>
    <s v="26-35"/>
    <x v="2"/>
    <s v="Medium"/>
    <s v="Bronze"/>
  </r>
  <r>
    <x v="358"/>
    <x v="32"/>
    <d v="2026-02-09T00:00:00"/>
    <s v="CUST359"/>
    <x v="148"/>
    <s v="Male"/>
    <n v="30"/>
    <s v="Chennai"/>
    <x v="0"/>
    <x v="0"/>
    <s v="P106"/>
    <x v="5"/>
    <x v="0"/>
    <s v="Headphones"/>
    <x v="5"/>
    <n v="3"/>
    <n v="2500"/>
    <n v="0.15"/>
    <x v="190"/>
    <n v="1700"/>
    <n v="1275"/>
    <n v="0.2"/>
    <x v="5"/>
    <x v="0"/>
    <n v="2"/>
    <x v="1"/>
    <n v="2"/>
    <s v="Average"/>
    <x v="9"/>
    <s v="Q1"/>
    <x v="0"/>
    <s v="Saturday"/>
    <s v="26-35"/>
    <x v="2"/>
    <s v="Medium"/>
    <s v="Bronze"/>
  </r>
  <r>
    <x v="359"/>
    <x v="73"/>
    <d v="2026-10-01T00:00:00"/>
    <s v="CUST360"/>
    <x v="36"/>
    <s v="Male"/>
    <n v="23"/>
    <s v="Delhi"/>
    <x v="4"/>
    <x v="3"/>
    <s v="P108"/>
    <x v="2"/>
    <x v="2"/>
    <s v="Mixer"/>
    <x v="2"/>
    <n v="3"/>
    <n v="3500"/>
    <n v="0.2"/>
    <x v="65"/>
    <n v="2500"/>
    <n v="900"/>
    <n v="0.10714285714285714"/>
    <x v="5"/>
    <x v="2"/>
    <n v="4"/>
    <x v="1"/>
    <n v="4"/>
    <s v="Excellent"/>
    <x v="5"/>
    <s v="Q3"/>
    <x v="0"/>
    <s v="Sunday"/>
    <s v="18-25"/>
    <x v="2"/>
    <s v="High"/>
    <s v="Bronze"/>
  </r>
  <r>
    <x v="360"/>
    <x v="177"/>
    <d v="2026-02-06T00:00:00"/>
    <s v="CUST361"/>
    <x v="2"/>
    <s v="Female"/>
    <n v="28"/>
    <s v="Chennai"/>
    <x v="0"/>
    <x v="0"/>
    <s v="P107"/>
    <x v="1"/>
    <x v="1"/>
    <s v="Shoes"/>
    <x v="1"/>
    <n v="5"/>
    <n v="4500"/>
    <n v="0.08"/>
    <x v="25"/>
    <n v="3000"/>
    <n v="5700"/>
    <n v="0.27536231884057971"/>
    <x v="1"/>
    <x v="1"/>
    <n v="4"/>
    <x v="1"/>
    <n v="2"/>
    <s v="Average"/>
    <x v="9"/>
    <s v="Q1"/>
    <x v="0"/>
    <s v="Monday"/>
    <s v="26-35"/>
    <x v="1"/>
    <s v="Medium"/>
    <s v="Silver"/>
  </r>
  <r>
    <x v="361"/>
    <x v="219"/>
    <d v="2026-11-30T00:00:00"/>
    <s v="CUST362"/>
    <x v="129"/>
    <s v="Male"/>
    <n v="46"/>
    <s v="Bengaluru"/>
    <x v="5"/>
    <x v="0"/>
    <s v="P107"/>
    <x v="1"/>
    <x v="1"/>
    <s v="Shoes"/>
    <x v="1"/>
    <n v="5"/>
    <n v="4500"/>
    <n v="0.2"/>
    <x v="24"/>
    <n v="3000"/>
    <n v="3000"/>
    <n v="0.16666666666666666"/>
    <x v="1"/>
    <x v="0"/>
    <n v="3"/>
    <x v="1"/>
    <n v="4"/>
    <s v="Excellent"/>
    <x v="2"/>
    <s v="Q4"/>
    <x v="0"/>
    <s v="Friday"/>
    <s v="46+"/>
    <x v="1"/>
    <s v="High"/>
    <s v="Silver"/>
  </r>
  <r>
    <x v="362"/>
    <x v="41"/>
    <d v="2026-01-06T00:00:00"/>
    <s v="CUST363"/>
    <x v="160"/>
    <s v="Male"/>
    <n v="38"/>
    <s v="Chennai"/>
    <x v="0"/>
    <x v="0"/>
    <s v="P104"/>
    <x v="4"/>
    <x v="0"/>
    <s v="Laptop"/>
    <x v="4"/>
    <n v="2"/>
    <n v="58000"/>
    <n v="0.12"/>
    <x v="30"/>
    <n v="49000"/>
    <n v="4080"/>
    <n v="3.9968652037617555E-2"/>
    <x v="1"/>
    <x v="0"/>
    <n v="5"/>
    <x v="0"/>
    <n v="4"/>
    <s v="Excellent"/>
    <x v="0"/>
    <s v="Q1"/>
    <x v="0"/>
    <s v="Thursday"/>
    <s v="36-45"/>
    <x v="0"/>
    <s v="Medium"/>
    <s v="VIP"/>
  </r>
  <r>
    <x v="363"/>
    <x v="220"/>
    <d v="2026-06-28T00:00:00"/>
    <s v="CUST364"/>
    <x v="171"/>
    <s v="Female"/>
    <n v="45"/>
    <s v="Kolkata"/>
    <x v="3"/>
    <x v="2"/>
    <s v="P105"/>
    <x v="3"/>
    <x v="0"/>
    <s v="Television"/>
    <x v="3"/>
    <n v="4"/>
    <n v="42000"/>
    <n v="0.12"/>
    <x v="53"/>
    <n v="35000"/>
    <n v="7840"/>
    <n v="5.3030303030303032E-2"/>
    <x v="4"/>
    <x v="0"/>
    <n v="2"/>
    <x v="0"/>
    <n v="4"/>
    <s v="Excellent"/>
    <x v="11"/>
    <s v="Q2"/>
    <x v="0"/>
    <s v="Friday"/>
    <s v="36-45"/>
    <x v="0"/>
    <s v="Medium"/>
    <s v="VIP"/>
  </r>
  <r>
    <x v="364"/>
    <x v="221"/>
    <d v="2026-07-26T00:00:00"/>
    <s v="CUST365"/>
    <x v="121"/>
    <s v="Female"/>
    <n v="38"/>
    <s v="Kolkata"/>
    <x v="3"/>
    <x v="2"/>
    <s v="P102"/>
    <x v="6"/>
    <x v="0"/>
    <s v="Mobile"/>
    <x v="6"/>
    <n v="4"/>
    <n v="79900"/>
    <n v="0.15"/>
    <x v="109"/>
    <n v="65000"/>
    <n v="11660"/>
    <n v="4.292129868217625E-2"/>
    <x v="4"/>
    <x v="0"/>
    <n v="4"/>
    <x v="0"/>
    <n v="4"/>
    <s v="Excellent"/>
    <x v="4"/>
    <s v="Q3"/>
    <x v="0"/>
    <s v="Wednesday"/>
    <s v="36-45"/>
    <x v="0"/>
    <s v="Medium"/>
    <s v="VIP"/>
  </r>
  <r>
    <x v="365"/>
    <x v="13"/>
    <d v="2026-03-04T00:00:00"/>
    <s v="CUST366"/>
    <x v="47"/>
    <s v="Female"/>
    <n v="20"/>
    <s v="Chennai"/>
    <x v="0"/>
    <x v="0"/>
    <s v="P106"/>
    <x v="5"/>
    <x v="0"/>
    <s v="Headphones"/>
    <x v="5"/>
    <n v="4"/>
    <n v="2500"/>
    <n v="0.2"/>
    <x v="79"/>
    <n v="1700"/>
    <n v="1200"/>
    <n v="0.15"/>
    <x v="0"/>
    <x v="0"/>
    <n v="4"/>
    <x v="1"/>
    <n v="2"/>
    <s v="Average"/>
    <x v="9"/>
    <s v="Q1"/>
    <x v="0"/>
    <s v="Saturday"/>
    <s v="18-25"/>
    <x v="2"/>
    <s v="High"/>
    <s v="Bronze"/>
  </r>
  <r>
    <x v="366"/>
    <x v="222"/>
    <d v="2026-08-06T00:00:00"/>
    <s v="CUST367"/>
    <x v="172"/>
    <s v="Male"/>
    <n v="25"/>
    <s v="Chennai"/>
    <x v="0"/>
    <x v="0"/>
    <s v="P102"/>
    <x v="6"/>
    <x v="0"/>
    <s v="Mobile"/>
    <x v="6"/>
    <n v="5"/>
    <n v="79900"/>
    <n v="0.2"/>
    <x v="151"/>
    <n v="65000"/>
    <n v="-5400"/>
    <n v="-1.6896120150187734E-2"/>
    <x v="3"/>
    <x v="1"/>
    <n v="5"/>
    <x v="0"/>
    <n v="5"/>
    <s v="Excellent"/>
    <x v="6"/>
    <s v="Q3"/>
    <x v="0"/>
    <s v="Saturday"/>
    <s v="18-25"/>
    <x v="0"/>
    <s v="High"/>
    <s v="VIP"/>
  </r>
  <r>
    <x v="367"/>
    <x v="223"/>
    <d v="2026-09-22T00:00:00"/>
    <s v="CUST368"/>
    <x v="48"/>
    <s v="Male"/>
    <n v="29"/>
    <s v="Mumbai"/>
    <x v="2"/>
    <x v="1"/>
    <s v="P103"/>
    <x v="0"/>
    <x v="0"/>
    <s v="Laptop"/>
    <x v="0"/>
    <n v="5"/>
    <n v="62000"/>
    <n v="0.2"/>
    <x v="66"/>
    <n v="52000"/>
    <n v="-12000"/>
    <n v="-4.8387096774193547E-2"/>
    <x v="3"/>
    <x v="0"/>
    <n v="6"/>
    <x v="0"/>
    <n v="2"/>
    <s v="Average"/>
    <x v="5"/>
    <s v="Q3"/>
    <x v="0"/>
    <s v="Wednesday"/>
    <s v="26-35"/>
    <x v="0"/>
    <s v="High"/>
    <s v="VIP"/>
  </r>
  <r>
    <x v="368"/>
    <x v="106"/>
    <d v="2026-09-04T00:00:00"/>
    <s v="CUST369"/>
    <x v="111"/>
    <s v="Male"/>
    <n v="30"/>
    <s v="Hyderabad"/>
    <x v="1"/>
    <x v="0"/>
    <s v="P103"/>
    <x v="0"/>
    <x v="0"/>
    <s v="Laptop"/>
    <x v="0"/>
    <n v="2"/>
    <n v="62000"/>
    <n v="0.15"/>
    <x v="7"/>
    <n v="52000"/>
    <n v="1400"/>
    <n v="1.3282732447817837E-2"/>
    <x v="4"/>
    <x v="3"/>
    <n v="2"/>
    <x v="0"/>
    <n v="3"/>
    <s v="Average"/>
    <x v="5"/>
    <s v="Q3"/>
    <x v="0"/>
    <s v="Wednesday"/>
    <s v="26-35"/>
    <x v="0"/>
    <s v="Medium"/>
    <s v="VIP"/>
  </r>
  <r>
    <x v="369"/>
    <x v="121"/>
    <d v="2026-01-31T00:00:00"/>
    <s v="CUST370"/>
    <x v="61"/>
    <s v="Male"/>
    <n v="43"/>
    <s v="Ahmedabad"/>
    <x v="6"/>
    <x v="1"/>
    <s v="P105"/>
    <x v="3"/>
    <x v="0"/>
    <s v="Television"/>
    <x v="3"/>
    <n v="1"/>
    <n v="42000"/>
    <n v="0.1"/>
    <x v="10"/>
    <n v="35000"/>
    <n v="2800"/>
    <n v="7.407407407407407E-2"/>
    <x v="5"/>
    <x v="3"/>
    <n v="4"/>
    <x v="1"/>
    <n v="3"/>
    <s v="Average"/>
    <x v="0"/>
    <s v="Q1"/>
    <x v="0"/>
    <s v="Tuesday"/>
    <s v="36-45"/>
    <x v="0"/>
    <s v="Medium"/>
    <s v="Silver"/>
  </r>
  <r>
    <x v="370"/>
    <x v="224"/>
    <d v="2026-02-02T00:00:00"/>
    <s v="CUST371"/>
    <x v="54"/>
    <s v="Female"/>
    <n v="36"/>
    <s v="Mumbai"/>
    <x v="2"/>
    <x v="1"/>
    <s v="P101"/>
    <x v="7"/>
    <x v="0"/>
    <s v="Mobile"/>
    <x v="7"/>
    <n v="4"/>
    <n v="28500"/>
    <n v="0.08"/>
    <x v="31"/>
    <n v="22000"/>
    <n v="16880"/>
    <n v="0.16094584286803967"/>
    <x v="5"/>
    <x v="1"/>
    <n v="3"/>
    <x v="0"/>
    <n v="3"/>
    <s v="Average"/>
    <x v="0"/>
    <s v="Q1"/>
    <x v="0"/>
    <s v="Friday"/>
    <s v="36-45"/>
    <x v="0"/>
    <s v="Medium"/>
    <s v="VIP"/>
  </r>
  <r>
    <x v="371"/>
    <x v="10"/>
    <d v="2026-10-01T00:00:00"/>
    <s v="CUST372"/>
    <x v="173"/>
    <s v="Male"/>
    <n v="39"/>
    <s v="Kolkata"/>
    <x v="3"/>
    <x v="2"/>
    <s v="P102"/>
    <x v="6"/>
    <x v="0"/>
    <s v="Mobile"/>
    <x v="6"/>
    <n v="5"/>
    <n v="79900"/>
    <n v="0.15"/>
    <x v="55"/>
    <n v="65000"/>
    <n v="14575"/>
    <n v="4.292129868217625E-2"/>
    <x v="5"/>
    <x v="2"/>
    <n v="3"/>
    <x v="0"/>
    <n v="4"/>
    <s v="Excellent"/>
    <x v="5"/>
    <s v="Q3"/>
    <x v="0"/>
    <s v="Monday"/>
    <s v="36-45"/>
    <x v="0"/>
    <s v="Medium"/>
    <s v="VIP"/>
  </r>
  <r>
    <x v="372"/>
    <x v="175"/>
    <d v="2026-05-29T00:00:00"/>
    <s v="CUST373"/>
    <x v="65"/>
    <s v="Male"/>
    <n v="32"/>
    <s v="Hyderabad"/>
    <x v="1"/>
    <x v="0"/>
    <s v="P102"/>
    <x v="6"/>
    <x v="0"/>
    <s v="Mobile"/>
    <x v="6"/>
    <n v="1"/>
    <n v="79900"/>
    <n v="0.1"/>
    <x v="191"/>
    <n v="65000"/>
    <n v="6910"/>
    <n v="9.6092337644277576E-2"/>
    <x v="4"/>
    <x v="1"/>
    <n v="6"/>
    <x v="0"/>
    <n v="2"/>
    <s v="Average"/>
    <x v="7"/>
    <s v="Q2"/>
    <x v="0"/>
    <s v="Saturday"/>
    <s v="26-35"/>
    <x v="0"/>
    <s v="Medium"/>
    <s v="Gold"/>
  </r>
  <r>
    <x v="373"/>
    <x v="78"/>
    <d v="2026-11-15T00:00:00"/>
    <s v="CUST374"/>
    <x v="63"/>
    <s v="Female"/>
    <n v="45"/>
    <s v="Kolkata"/>
    <x v="3"/>
    <x v="2"/>
    <s v="P104"/>
    <x v="4"/>
    <x v="0"/>
    <s v="Laptop"/>
    <x v="4"/>
    <n v="3"/>
    <n v="58000"/>
    <n v="0.2"/>
    <x v="192"/>
    <n v="49000"/>
    <n v="-7800"/>
    <n v="-5.6034482758620691E-2"/>
    <x v="1"/>
    <x v="2"/>
    <n v="4"/>
    <x v="0"/>
    <n v="3"/>
    <s v="Average"/>
    <x v="2"/>
    <s v="Q4"/>
    <x v="0"/>
    <s v="Wednesday"/>
    <s v="36-45"/>
    <x v="0"/>
    <s v="High"/>
    <s v="VIP"/>
  </r>
  <r>
    <x v="374"/>
    <x v="80"/>
    <d v="2026-12-07T00:00:00"/>
    <s v="CUST375"/>
    <x v="156"/>
    <s v="Female"/>
    <n v="26"/>
    <s v="Surat"/>
    <x v="6"/>
    <x v="1"/>
    <s v="P103"/>
    <x v="0"/>
    <x v="0"/>
    <s v="Laptop"/>
    <x v="0"/>
    <n v="3"/>
    <n v="62000"/>
    <n v="0.1"/>
    <x v="0"/>
    <n v="52000"/>
    <n v="11400"/>
    <n v="6.8100358422939072E-2"/>
    <x v="5"/>
    <x v="1"/>
    <n v="3"/>
    <x v="0"/>
    <n v="3"/>
    <s v="Average"/>
    <x v="8"/>
    <s v="Q4"/>
    <x v="0"/>
    <s v="Friday"/>
    <s v="26-35"/>
    <x v="0"/>
    <s v="Medium"/>
    <s v="VIP"/>
  </r>
  <r>
    <x v="375"/>
    <x v="79"/>
    <d v="2026-08-04T00:00:00"/>
    <s v="CUST376"/>
    <x v="76"/>
    <s v="Female"/>
    <n v="28"/>
    <s v="Delhi"/>
    <x v="4"/>
    <x v="3"/>
    <s v="P104"/>
    <x v="4"/>
    <x v="0"/>
    <s v="Laptop"/>
    <x v="4"/>
    <n v="5"/>
    <n v="58000"/>
    <n v="0.2"/>
    <x v="12"/>
    <n v="49000"/>
    <n v="-13000"/>
    <n v="-5.6034482758620691E-2"/>
    <x v="5"/>
    <x v="1"/>
    <n v="4"/>
    <x v="0"/>
    <n v="4"/>
    <s v="Excellent"/>
    <x v="4"/>
    <s v="Q3"/>
    <x v="0"/>
    <s v="Friday"/>
    <s v="26-35"/>
    <x v="0"/>
    <s v="High"/>
    <s v="VIP"/>
  </r>
  <r>
    <x v="376"/>
    <x v="225"/>
    <d v="2026-03-23T00:00:00"/>
    <s v="CUST377"/>
    <x v="76"/>
    <s v="Female"/>
    <n v="34"/>
    <s v="Chennai"/>
    <x v="0"/>
    <x v="0"/>
    <s v="P103"/>
    <x v="0"/>
    <x v="0"/>
    <s v="Laptop"/>
    <x v="0"/>
    <n v="2"/>
    <n v="62000"/>
    <n v="0.05"/>
    <x v="193"/>
    <n v="52000"/>
    <n v="13800"/>
    <n v="0.11714770797962648"/>
    <x v="4"/>
    <x v="2"/>
    <n v="5"/>
    <x v="0"/>
    <n v="5"/>
    <s v="Excellent"/>
    <x v="10"/>
    <s v="Q1"/>
    <x v="0"/>
    <s v="Wednesday"/>
    <s v="26-35"/>
    <x v="0"/>
    <s v="Low"/>
    <s v="VIP"/>
  </r>
  <r>
    <x v="377"/>
    <x v="226"/>
    <d v="2026-06-17T00:00:00"/>
    <s v="CUST378"/>
    <x v="12"/>
    <s v="Female"/>
    <n v="47"/>
    <s v="Surat"/>
    <x v="6"/>
    <x v="1"/>
    <s v="P101"/>
    <x v="7"/>
    <x v="0"/>
    <s v="Mobile"/>
    <x v="7"/>
    <n v="2"/>
    <n v="28500"/>
    <n v="0.1"/>
    <x v="162"/>
    <n v="22000"/>
    <n v="7300"/>
    <n v="0.14230019493177387"/>
    <x v="2"/>
    <x v="0"/>
    <n v="5"/>
    <x v="0"/>
    <n v="2"/>
    <s v="Average"/>
    <x v="11"/>
    <s v="Q2"/>
    <x v="0"/>
    <s v="Friday"/>
    <s v="46+"/>
    <x v="0"/>
    <s v="Medium"/>
    <s v="Gold"/>
  </r>
  <r>
    <x v="378"/>
    <x v="227"/>
    <d v="2026-10-06T00:00:00"/>
    <s v="CUST379"/>
    <x v="10"/>
    <s v="Male"/>
    <n v="26"/>
    <s v="Chennai"/>
    <x v="0"/>
    <x v="0"/>
    <s v="P108"/>
    <x v="2"/>
    <x v="2"/>
    <s v="Mixer"/>
    <x v="2"/>
    <n v="2"/>
    <n v="3500"/>
    <n v="0.08"/>
    <x v="194"/>
    <n v="2500"/>
    <n v="1440"/>
    <n v="0.2236024844720497"/>
    <x v="0"/>
    <x v="2"/>
    <n v="6"/>
    <x v="1"/>
    <n v="5"/>
    <s v="Excellent"/>
    <x v="5"/>
    <s v="Q3"/>
    <x v="0"/>
    <s v="Wednesday"/>
    <s v="26-35"/>
    <x v="2"/>
    <s v="Medium"/>
    <s v="Bronze"/>
  </r>
  <r>
    <x v="379"/>
    <x v="228"/>
    <d v="2026-11-30T00:00:00"/>
    <s v="CUST380"/>
    <x v="15"/>
    <s v="Male"/>
    <n v="41"/>
    <s v="Ahmedabad"/>
    <x v="6"/>
    <x v="1"/>
    <s v="P107"/>
    <x v="1"/>
    <x v="1"/>
    <s v="Shoes"/>
    <x v="1"/>
    <n v="1"/>
    <n v="4500"/>
    <n v="0.2"/>
    <x v="134"/>
    <n v="3000"/>
    <n v="600"/>
    <n v="0.16666666666666666"/>
    <x v="0"/>
    <x v="2"/>
    <n v="2"/>
    <x v="1"/>
    <n v="5"/>
    <s v="Excellent"/>
    <x v="2"/>
    <s v="Q4"/>
    <x v="0"/>
    <s v="Saturday"/>
    <s v="36-45"/>
    <x v="2"/>
    <s v="High"/>
    <s v="Bronze"/>
  </r>
  <r>
    <x v="380"/>
    <x v="172"/>
    <d v="2026-04-07T00:00:00"/>
    <s v="CUST381"/>
    <x v="164"/>
    <s v="Female"/>
    <n v="38"/>
    <s v="Bengaluru"/>
    <x v="5"/>
    <x v="0"/>
    <s v="P105"/>
    <x v="3"/>
    <x v="0"/>
    <s v="Television"/>
    <x v="3"/>
    <n v="4"/>
    <n v="42000"/>
    <n v="0.12"/>
    <x v="53"/>
    <n v="35000"/>
    <n v="7840"/>
    <n v="5.3030303030303032E-2"/>
    <x v="3"/>
    <x v="0"/>
    <n v="2"/>
    <x v="0"/>
    <n v="2"/>
    <s v="Average"/>
    <x v="3"/>
    <s v="Q2"/>
    <x v="0"/>
    <s v="Sunday"/>
    <s v="36-45"/>
    <x v="0"/>
    <s v="Medium"/>
    <s v="VIP"/>
  </r>
  <r>
    <x v="381"/>
    <x v="143"/>
    <d v="2026-02-11T00:00:00"/>
    <s v="CUST382"/>
    <x v="97"/>
    <s v="Female"/>
    <n v="38"/>
    <s v="Mumbai"/>
    <x v="2"/>
    <x v="1"/>
    <s v="P101"/>
    <x v="7"/>
    <x v="0"/>
    <s v="Mobile"/>
    <x v="7"/>
    <n v="2"/>
    <n v="28500"/>
    <n v="0.1"/>
    <x v="162"/>
    <n v="22000"/>
    <n v="7300"/>
    <n v="0.14230019493177387"/>
    <x v="1"/>
    <x v="2"/>
    <n v="6"/>
    <x v="0"/>
    <n v="4"/>
    <s v="Excellent"/>
    <x v="9"/>
    <s v="Q1"/>
    <x v="0"/>
    <s v="Thursday"/>
    <s v="36-45"/>
    <x v="0"/>
    <s v="Medium"/>
    <s v="Gold"/>
  </r>
  <r>
    <x v="382"/>
    <x v="3"/>
    <d v="2026-11-29T00:00:00"/>
    <s v="CUST383"/>
    <x v="171"/>
    <s v="Male"/>
    <n v="37"/>
    <s v="Mumbai"/>
    <x v="2"/>
    <x v="1"/>
    <s v="P108"/>
    <x v="2"/>
    <x v="2"/>
    <s v="Mixer"/>
    <x v="2"/>
    <n v="4"/>
    <n v="3500"/>
    <n v="0.15"/>
    <x v="13"/>
    <n v="2500"/>
    <n v="1900"/>
    <n v="0.15966386554621848"/>
    <x v="2"/>
    <x v="2"/>
    <n v="3"/>
    <x v="1"/>
    <n v="4"/>
    <s v="Excellent"/>
    <x v="2"/>
    <s v="Q4"/>
    <x v="0"/>
    <s v="Thursday"/>
    <s v="36-45"/>
    <x v="1"/>
    <s v="Medium"/>
    <s v="Bronze"/>
  </r>
  <r>
    <x v="383"/>
    <x v="229"/>
    <d v="2026-07-05T00:00:00"/>
    <s v="CUST384"/>
    <x v="77"/>
    <s v="Female"/>
    <n v="21"/>
    <s v="Surat"/>
    <x v="6"/>
    <x v="1"/>
    <s v="P108"/>
    <x v="2"/>
    <x v="2"/>
    <s v="Mixer"/>
    <x v="2"/>
    <n v="4"/>
    <n v="3500"/>
    <n v="0.05"/>
    <x v="88"/>
    <n v="2500"/>
    <n v="3300"/>
    <n v="0.24812030075187969"/>
    <x v="5"/>
    <x v="1"/>
    <n v="2"/>
    <x v="1"/>
    <n v="2"/>
    <s v="Average"/>
    <x v="4"/>
    <s v="Q3"/>
    <x v="0"/>
    <s v="Friday"/>
    <s v="18-25"/>
    <x v="1"/>
    <s v="Low"/>
    <s v="Bronze"/>
  </r>
  <r>
    <x v="384"/>
    <x v="230"/>
    <d v="2026-04-25T00:00:00"/>
    <s v="CUST385"/>
    <x v="174"/>
    <s v="Male"/>
    <n v="20"/>
    <s v="Chennai"/>
    <x v="0"/>
    <x v="0"/>
    <s v="P101"/>
    <x v="7"/>
    <x v="0"/>
    <s v="Mobile"/>
    <x v="7"/>
    <n v="2"/>
    <n v="28500"/>
    <n v="0.15"/>
    <x v="195"/>
    <n v="22000"/>
    <n v="4450"/>
    <n v="9.1847265221878222E-2"/>
    <x v="0"/>
    <x v="3"/>
    <n v="2"/>
    <x v="1"/>
    <n v="3"/>
    <s v="Average"/>
    <x v="3"/>
    <s v="Q2"/>
    <x v="0"/>
    <s v="Thursday"/>
    <s v="18-25"/>
    <x v="0"/>
    <s v="Medium"/>
    <s v="Gold"/>
  </r>
  <r>
    <x v="385"/>
    <x v="231"/>
    <d v="2026-11-26T00:00:00"/>
    <s v="CUST386"/>
    <x v="100"/>
    <s v="Female"/>
    <n v="36"/>
    <s v="Kolkata"/>
    <x v="3"/>
    <x v="2"/>
    <s v="P102"/>
    <x v="6"/>
    <x v="0"/>
    <s v="Mobile"/>
    <x v="6"/>
    <n v="3"/>
    <n v="79900"/>
    <n v="0.12"/>
    <x v="196"/>
    <n v="65000"/>
    <n v="15936"/>
    <n v="7.5548981681647517E-2"/>
    <x v="5"/>
    <x v="3"/>
    <n v="3"/>
    <x v="0"/>
    <n v="2"/>
    <s v="Average"/>
    <x v="2"/>
    <s v="Q4"/>
    <x v="0"/>
    <s v="Monday"/>
    <s v="36-45"/>
    <x v="0"/>
    <s v="Medium"/>
    <s v="VIP"/>
  </r>
  <r>
    <x v="386"/>
    <x v="232"/>
    <d v="2026-06-11T00:00:00"/>
    <s v="CUST387"/>
    <x v="46"/>
    <s v="Male"/>
    <n v="43"/>
    <s v="Mumbai"/>
    <x v="2"/>
    <x v="1"/>
    <s v="P107"/>
    <x v="1"/>
    <x v="1"/>
    <s v="Shoes"/>
    <x v="1"/>
    <n v="1"/>
    <n v="4500"/>
    <n v="0.12"/>
    <x v="89"/>
    <n v="3000"/>
    <n v="960"/>
    <n v="0.24242424242424243"/>
    <x v="5"/>
    <x v="1"/>
    <n v="6"/>
    <x v="1"/>
    <n v="2"/>
    <s v="Average"/>
    <x v="11"/>
    <s v="Q2"/>
    <x v="0"/>
    <s v="Friday"/>
    <s v="36-45"/>
    <x v="2"/>
    <s v="Medium"/>
    <s v="Bronze"/>
  </r>
  <r>
    <x v="387"/>
    <x v="233"/>
    <d v="2026-10-15T00:00:00"/>
    <s v="CUST388"/>
    <x v="33"/>
    <s v="Female"/>
    <n v="25"/>
    <s v="Mumbai"/>
    <x v="2"/>
    <x v="1"/>
    <s v="P108"/>
    <x v="2"/>
    <x v="2"/>
    <s v="Mixer"/>
    <x v="2"/>
    <n v="5"/>
    <n v="3500"/>
    <n v="0.12"/>
    <x v="63"/>
    <n v="2500"/>
    <n v="2900"/>
    <n v="0.18831168831168832"/>
    <x v="0"/>
    <x v="1"/>
    <n v="5"/>
    <x v="1"/>
    <n v="4"/>
    <s v="Excellent"/>
    <x v="1"/>
    <s v="Q4"/>
    <x v="0"/>
    <s v="Saturday"/>
    <s v="18-25"/>
    <x v="1"/>
    <s v="Medium"/>
    <s v="Silver"/>
  </r>
  <r>
    <x v="388"/>
    <x v="55"/>
    <d v="2026-11-18T00:00:00"/>
    <s v="CUST389"/>
    <x v="153"/>
    <s v="Female"/>
    <n v="25"/>
    <s v="Kolkata"/>
    <x v="3"/>
    <x v="2"/>
    <s v="P105"/>
    <x v="3"/>
    <x v="0"/>
    <s v="Television"/>
    <x v="3"/>
    <n v="4"/>
    <n v="42000"/>
    <n v="0.12"/>
    <x v="53"/>
    <n v="35000"/>
    <n v="7840"/>
    <n v="5.3030303030303032E-2"/>
    <x v="5"/>
    <x v="3"/>
    <n v="2"/>
    <x v="0"/>
    <n v="3"/>
    <s v="Average"/>
    <x v="2"/>
    <s v="Q4"/>
    <x v="0"/>
    <s v="Monday"/>
    <s v="18-25"/>
    <x v="0"/>
    <s v="Medium"/>
    <s v="VIP"/>
  </r>
  <r>
    <x v="389"/>
    <x v="161"/>
    <d v="2026-09-10T00:00:00"/>
    <s v="CUST390"/>
    <x v="80"/>
    <s v="Male"/>
    <n v="20"/>
    <s v="Surat"/>
    <x v="6"/>
    <x v="1"/>
    <s v="P102"/>
    <x v="6"/>
    <x v="0"/>
    <s v="Mobile"/>
    <x v="6"/>
    <n v="5"/>
    <n v="79900"/>
    <n v="0.08"/>
    <x v="185"/>
    <n v="65000"/>
    <n v="42540"/>
    <n v="0.11574250421722805"/>
    <x v="2"/>
    <x v="0"/>
    <n v="2"/>
    <x v="0"/>
    <n v="5"/>
    <s v="Excellent"/>
    <x v="5"/>
    <s v="Q3"/>
    <x v="0"/>
    <s v="Tuesday"/>
    <s v="18-25"/>
    <x v="0"/>
    <s v="Medium"/>
    <s v="VIP"/>
  </r>
  <r>
    <x v="390"/>
    <x v="234"/>
    <d v="2026-07-21T00:00:00"/>
    <s v="CUST391"/>
    <x v="117"/>
    <s v="Female"/>
    <n v="43"/>
    <s v="Mumbai"/>
    <x v="2"/>
    <x v="1"/>
    <s v="P105"/>
    <x v="3"/>
    <x v="0"/>
    <s v="Television"/>
    <x v="3"/>
    <n v="4"/>
    <n v="42000"/>
    <n v="0.15"/>
    <x v="101"/>
    <n v="35000"/>
    <n v="2800"/>
    <n v="1.9607843137254902E-2"/>
    <x v="3"/>
    <x v="1"/>
    <n v="4"/>
    <x v="0"/>
    <n v="2"/>
    <s v="Average"/>
    <x v="4"/>
    <s v="Q3"/>
    <x v="0"/>
    <s v="Friday"/>
    <s v="36-45"/>
    <x v="0"/>
    <s v="Medium"/>
    <s v="VIP"/>
  </r>
  <r>
    <x v="391"/>
    <x v="221"/>
    <d v="2026-07-25T00:00:00"/>
    <s v="CUST392"/>
    <x v="175"/>
    <s v="Female"/>
    <n v="27"/>
    <s v="Chennai"/>
    <x v="0"/>
    <x v="0"/>
    <s v="P101"/>
    <x v="7"/>
    <x v="0"/>
    <s v="Mobile"/>
    <x v="7"/>
    <n v="4"/>
    <n v="28500"/>
    <n v="0.08"/>
    <x v="31"/>
    <n v="22000"/>
    <n v="16880"/>
    <n v="0.16094584286803967"/>
    <x v="5"/>
    <x v="2"/>
    <n v="3"/>
    <x v="0"/>
    <n v="5"/>
    <s v="Excellent"/>
    <x v="4"/>
    <s v="Q3"/>
    <x v="0"/>
    <s v="Wednesday"/>
    <s v="26-35"/>
    <x v="0"/>
    <s v="Medium"/>
    <s v="VIP"/>
  </r>
  <r>
    <x v="392"/>
    <x v="200"/>
    <d v="2026-12-14T00:00:00"/>
    <s v="CUST393"/>
    <x v="171"/>
    <s v="Female"/>
    <n v="47"/>
    <s v="Chennai"/>
    <x v="0"/>
    <x v="0"/>
    <s v="P107"/>
    <x v="1"/>
    <x v="1"/>
    <s v="Shoes"/>
    <x v="1"/>
    <n v="1"/>
    <n v="4500"/>
    <n v="0.15"/>
    <x v="166"/>
    <n v="3000"/>
    <n v="825"/>
    <n v="0.21568627450980393"/>
    <x v="5"/>
    <x v="1"/>
    <n v="3"/>
    <x v="1"/>
    <n v="4"/>
    <s v="Excellent"/>
    <x v="8"/>
    <s v="Q4"/>
    <x v="0"/>
    <s v="Friday"/>
    <s v="46+"/>
    <x v="2"/>
    <s v="Medium"/>
    <s v="Bronze"/>
  </r>
  <r>
    <x v="393"/>
    <x v="235"/>
    <d v="2026-08-21T00:00:00"/>
    <s v="CUST394"/>
    <x v="47"/>
    <s v="Female"/>
    <n v="31"/>
    <s v="Surat"/>
    <x v="6"/>
    <x v="1"/>
    <s v="P105"/>
    <x v="3"/>
    <x v="0"/>
    <s v="Television"/>
    <x v="3"/>
    <n v="2"/>
    <n v="42000"/>
    <n v="0.1"/>
    <x v="197"/>
    <n v="35000"/>
    <n v="5600"/>
    <n v="7.407407407407407E-2"/>
    <x v="2"/>
    <x v="3"/>
    <n v="6"/>
    <x v="0"/>
    <n v="4"/>
    <s v="Excellent"/>
    <x v="6"/>
    <s v="Q3"/>
    <x v="0"/>
    <s v="Saturday"/>
    <s v="26-35"/>
    <x v="0"/>
    <s v="Medium"/>
    <s v="Gold"/>
  </r>
  <r>
    <x v="394"/>
    <x v="236"/>
    <d v="2026-11-21T00:00:00"/>
    <s v="CUST395"/>
    <x v="119"/>
    <s v="Male"/>
    <n v="41"/>
    <s v="Chennai"/>
    <x v="0"/>
    <x v="0"/>
    <s v="P103"/>
    <x v="0"/>
    <x v="0"/>
    <s v="Laptop"/>
    <x v="0"/>
    <n v="4"/>
    <n v="62000"/>
    <n v="0.12"/>
    <x v="198"/>
    <n v="52000"/>
    <n v="10240"/>
    <n v="4.6920821114369501E-2"/>
    <x v="1"/>
    <x v="3"/>
    <n v="2"/>
    <x v="0"/>
    <n v="4"/>
    <s v="Excellent"/>
    <x v="2"/>
    <s v="Q4"/>
    <x v="0"/>
    <s v="Thursday"/>
    <s v="36-45"/>
    <x v="0"/>
    <s v="Medium"/>
    <s v="VIP"/>
  </r>
  <r>
    <x v="395"/>
    <x v="237"/>
    <d v="2026-11-09T00:00:00"/>
    <s v="CUST396"/>
    <x v="112"/>
    <s v="Female"/>
    <n v="43"/>
    <s v="Surat"/>
    <x v="6"/>
    <x v="1"/>
    <s v="P104"/>
    <x v="4"/>
    <x v="0"/>
    <s v="Laptop"/>
    <x v="4"/>
    <n v="3"/>
    <n v="58000"/>
    <n v="0.05"/>
    <x v="47"/>
    <n v="49000"/>
    <n v="18300"/>
    <n v="0.11070780399274047"/>
    <x v="1"/>
    <x v="2"/>
    <n v="3"/>
    <x v="0"/>
    <n v="3"/>
    <s v="Average"/>
    <x v="2"/>
    <s v="Q4"/>
    <x v="0"/>
    <s v="Friday"/>
    <s v="36-45"/>
    <x v="0"/>
    <s v="Low"/>
    <s v="VIP"/>
  </r>
  <r>
    <x v="396"/>
    <x v="238"/>
    <d v="2026-04-24T00:00:00"/>
    <s v="CUST397"/>
    <x v="98"/>
    <s v="Male"/>
    <n v="49"/>
    <s v="Bengaluru"/>
    <x v="5"/>
    <x v="0"/>
    <s v="P107"/>
    <x v="1"/>
    <x v="1"/>
    <s v="Shoes"/>
    <x v="1"/>
    <n v="1"/>
    <n v="4500"/>
    <n v="0.2"/>
    <x v="134"/>
    <n v="3000"/>
    <n v="600"/>
    <n v="0.16666666666666666"/>
    <x v="1"/>
    <x v="1"/>
    <n v="2"/>
    <x v="1"/>
    <n v="3"/>
    <s v="Average"/>
    <x v="3"/>
    <s v="Q2"/>
    <x v="0"/>
    <s v="Wednesday"/>
    <s v="46+"/>
    <x v="2"/>
    <s v="High"/>
    <s v="Bronze"/>
  </r>
  <r>
    <x v="397"/>
    <x v="92"/>
    <d v="2026-08-13T00:00:00"/>
    <s v="CUST398"/>
    <x v="145"/>
    <s v="Female"/>
    <n v="46"/>
    <s v="Chennai"/>
    <x v="0"/>
    <x v="0"/>
    <s v="P106"/>
    <x v="5"/>
    <x v="0"/>
    <s v="Headphones"/>
    <x v="5"/>
    <n v="2"/>
    <n v="2500"/>
    <n v="0.2"/>
    <x v="26"/>
    <n v="1700"/>
    <n v="600"/>
    <n v="0.15"/>
    <x v="5"/>
    <x v="3"/>
    <n v="6"/>
    <x v="1"/>
    <n v="4"/>
    <s v="Excellent"/>
    <x v="6"/>
    <s v="Q3"/>
    <x v="0"/>
    <s v="Friday"/>
    <s v="46+"/>
    <x v="2"/>
    <s v="High"/>
    <s v="Bronze"/>
  </r>
  <r>
    <x v="398"/>
    <x v="85"/>
    <d v="2026-05-19T00:00:00"/>
    <s v="CUST399"/>
    <x v="154"/>
    <s v="Male"/>
    <n v="29"/>
    <s v="Hyderabad"/>
    <x v="1"/>
    <x v="0"/>
    <s v="P106"/>
    <x v="5"/>
    <x v="0"/>
    <s v="Headphones"/>
    <x v="5"/>
    <n v="2"/>
    <n v="2500"/>
    <n v="0.15"/>
    <x v="98"/>
    <n v="1700"/>
    <n v="850"/>
    <n v="0.2"/>
    <x v="4"/>
    <x v="1"/>
    <n v="5"/>
    <x v="1"/>
    <n v="5"/>
    <s v="Excellent"/>
    <x v="7"/>
    <s v="Q2"/>
    <x v="0"/>
    <s v="Thursday"/>
    <s v="26-35"/>
    <x v="2"/>
    <s v="Medium"/>
    <s v="Bronze"/>
  </r>
  <r>
    <x v="399"/>
    <x v="41"/>
    <d v="2026-01-03T00:00:00"/>
    <s v="CUST400"/>
    <x v="29"/>
    <s v="Female"/>
    <n v="20"/>
    <s v="Surat"/>
    <x v="6"/>
    <x v="1"/>
    <s v="P102"/>
    <x v="6"/>
    <x v="0"/>
    <s v="Mobile"/>
    <x v="6"/>
    <n v="4"/>
    <n v="79900"/>
    <n v="0.12"/>
    <x v="199"/>
    <n v="65000"/>
    <n v="21248"/>
    <n v="7.5548981681647517E-2"/>
    <x v="3"/>
    <x v="0"/>
    <n v="2"/>
    <x v="0"/>
    <n v="5"/>
    <s v="Excellent"/>
    <x v="0"/>
    <s v="Q1"/>
    <x v="0"/>
    <s v="Thursday"/>
    <s v="18-25"/>
    <x v="0"/>
    <s v="Medium"/>
    <s v="VIP"/>
  </r>
  <r>
    <x v="400"/>
    <x v="114"/>
    <d v="2026-10-25T00:00:00"/>
    <s v="CUST401"/>
    <x v="126"/>
    <s v="Male"/>
    <n v="49"/>
    <s v="Hyderabad"/>
    <x v="1"/>
    <x v="0"/>
    <s v="P101"/>
    <x v="7"/>
    <x v="0"/>
    <s v="Mobile"/>
    <x v="7"/>
    <n v="1"/>
    <n v="28500"/>
    <n v="0.15"/>
    <x v="165"/>
    <n v="22000"/>
    <n v="2225"/>
    <n v="9.1847265221878222E-2"/>
    <x v="5"/>
    <x v="0"/>
    <n v="2"/>
    <x v="1"/>
    <n v="3"/>
    <s v="Average"/>
    <x v="1"/>
    <s v="Q4"/>
    <x v="0"/>
    <s v="Friday"/>
    <s v="46+"/>
    <x v="1"/>
    <s v="Medium"/>
    <s v="Silver"/>
  </r>
  <r>
    <x v="401"/>
    <x v="239"/>
    <d v="2026-03-25T00:00:00"/>
    <s v="CUST402"/>
    <x v="95"/>
    <s v="Female"/>
    <n v="37"/>
    <s v="Kolkata"/>
    <x v="3"/>
    <x v="2"/>
    <s v="P106"/>
    <x v="5"/>
    <x v="0"/>
    <s v="Headphones"/>
    <x v="5"/>
    <n v="4"/>
    <n v="2500"/>
    <n v="0.2"/>
    <x v="79"/>
    <n v="1700"/>
    <n v="1200"/>
    <n v="0.15"/>
    <x v="2"/>
    <x v="0"/>
    <n v="5"/>
    <x v="1"/>
    <n v="3"/>
    <s v="Average"/>
    <x v="10"/>
    <s v="Q1"/>
    <x v="0"/>
    <s v="Friday"/>
    <s v="36-45"/>
    <x v="2"/>
    <s v="High"/>
    <s v="Bronze"/>
  </r>
  <r>
    <x v="402"/>
    <x v="240"/>
    <d v="2026-12-12T00:00:00"/>
    <s v="CUST403"/>
    <x v="21"/>
    <s v="Female"/>
    <n v="43"/>
    <s v="Bengaluru"/>
    <x v="5"/>
    <x v="0"/>
    <s v="P106"/>
    <x v="5"/>
    <x v="0"/>
    <s v="Headphones"/>
    <x v="5"/>
    <n v="4"/>
    <n v="2500"/>
    <n v="0.08"/>
    <x v="172"/>
    <n v="1700"/>
    <n v="2400"/>
    <n v="0.2608695652173913"/>
    <x v="2"/>
    <x v="2"/>
    <n v="2"/>
    <x v="1"/>
    <n v="5"/>
    <s v="Excellent"/>
    <x v="8"/>
    <s v="Q4"/>
    <x v="0"/>
    <s v="Thursday"/>
    <s v="36-45"/>
    <x v="2"/>
    <s v="Medium"/>
    <s v="Bronze"/>
  </r>
  <r>
    <x v="403"/>
    <x v="7"/>
    <d v="2026-09-27T00:00:00"/>
    <s v="CUST404"/>
    <x v="170"/>
    <s v="Female"/>
    <n v="36"/>
    <s v="Mumbai"/>
    <x v="2"/>
    <x v="1"/>
    <s v="P105"/>
    <x v="3"/>
    <x v="0"/>
    <s v="Television"/>
    <x v="3"/>
    <n v="3"/>
    <n v="42000"/>
    <n v="0.08"/>
    <x v="50"/>
    <n v="35000"/>
    <n v="10920"/>
    <n v="9.420289855072464E-2"/>
    <x v="2"/>
    <x v="3"/>
    <n v="4"/>
    <x v="0"/>
    <n v="3"/>
    <s v="Average"/>
    <x v="5"/>
    <s v="Q3"/>
    <x v="0"/>
    <s v="Wednesday"/>
    <s v="36-45"/>
    <x v="0"/>
    <s v="Medium"/>
    <s v="VIP"/>
  </r>
  <r>
    <x v="404"/>
    <x v="241"/>
    <d v="2026-11-09T00:00:00"/>
    <s v="CUST405"/>
    <x v="149"/>
    <s v="Male"/>
    <n v="46"/>
    <s v="Bengaluru"/>
    <x v="5"/>
    <x v="0"/>
    <s v="P107"/>
    <x v="1"/>
    <x v="1"/>
    <s v="Shoes"/>
    <x v="1"/>
    <n v="1"/>
    <n v="4500"/>
    <n v="0.15"/>
    <x v="166"/>
    <n v="3000"/>
    <n v="825"/>
    <n v="0.21568627450980393"/>
    <x v="0"/>
    <x v="1"/>
    <n v="4"/>
    <x v="1"/>
    <n v="4"/>
    <s v="Excellent"/>
    <x v="2"/>
    <s v="Q4"/>
    <x v="0"/>
    <s v="Thursday"/>
    <s v="46+"/>
    <x v="2"/>
    <s v="Medium"/>
    <s v="Bronze"/>
  </r>
  <r>
    <x v="405"/>
    <x v="66"/>
    <d v="2026-09-27T00:00:00"/>
    <s v="CUST406"/>
    <x v="176"/>
    <s v="Female"/>
    <n v="23"/>
    <s v="Mumbai"/>
    <x v="2"/>
    <x v="1"/>
    <s v="P105"/>
    <x v="3"/>
    <x v="0"/>
    <s v="Television"/>
    <x v="3"/>
    <n v="2"/>
    <n v="42000"/>
    <n v="0.12"/>
    <x v="200"/>
    <n v="35000"/>
    <n v="3920"/>
    <n v="5.3030303030303032E-2"/>
    <x v="3"/>
    <x v="2"/>
    <n v="2"/>
    <x v="0"/>
    <n v="4"/>
    <s v="Excellent"/>
    <x v="5"/>
    <s v="Q3"/>
    <x v="0"/>
    <s v="Friday"/>
    <s v="18-25"/>
    <x v="0"/>
    <s v="Medium"/>
    <s v="Gold"/>
  </r>
  <r>
    <x v="406"/>
    <x v="115"/>
    <d v="2026-01-14T00:00:00"/>
    <s v="CUST407"/>
    <x v="143"/>
    <s v="Female"/>
    <n v="34"/>
    <s v="Mumbai"/>
    <x v="2"/>
    <x v="1"/>
    <s v="P104"/>
    <x v="4"/>
    <x v="0"/>
    <s v="Laptop"/>
    <x v="4"/>
    <n v="3"/>
    <n v="58000"/>
    <n v="0.1"/>
    <x v="108"/>
    <n v="49000"/>
    <n v="9600"/>
    <n v="6.1302681992337162E-2"/>
    <x v="1"/>
    <x v="1"/>
    <n v="5"/>
    <x v="0"/>
    <n v="5"/>
    <s v="Excellent"/>
    <x v="0"/>
    <s v="Q1"/>
    <x v="0"/>
    <s v="Friday"/>
    <s v="26-35"/>
    <x v="0"/>
    <s v="Medium"/>
    <s v="VIP"/>
  </r>
  <r>
    <x v="407"/>
    <x v="165"/>
    <d v="2026-08-15T00:00:00"/>
    <s v="CUST408"/>
    <x v="64"/>
    <s v="Female"/>
    <n v="26"/>
    <s v="Ahmedabad"/>
    <x v="6"/>
    <x v="1"/>
    <s v="P105"/>
    <x v="3"/>
    <x v="0"/>
    <s v="Television"/>
    <x v="3"/>
    <n v="3"/>
    <n v="42000"/>
    <n v="0.05"/>
    <x v="37"/>
    <n v="35000"/>
    <n v="14700"/>
    <n v="0.12280701754385964"/>
    <x v="4"/>
    <x v="3"/>
    <n v="3"/>
    <x v="0"/>
    <n v="3"/>
    <s v="Average"/>
    <x v="6"/>
    <s v="Q3"/>
    <x v="0"/>
    <s v="Wednesday"/>
    <s v="26-35"/>
    <x v="0"/>
    <s v="Low"/>
    <s v="VIP"/>
  </r>
  <r>
    <x v="408"/>
    <x v="144"/>
    <d v="2026-02-23T00:00:00"/>
    <s v="CUST409"/>
    <x v="147"/>
    <s v="Male"/>
    <n v="26"/>
    <s v="Kolkata"/>
    <x v="3"/>
    <x v="2"/>
    <s v="P106"/>
    <x v="5"/>
    <x v="0"/>
    <s v="Headphones"/>
    <x v="5"/>
    <n v="2"/>
    <n v="2500"/>
    <n v="0.12"/>
    <x v="21"/>
    <n v="1700"/>
    <n v="1000"/>
    <n v="0.22727272727272727"/>
    <x v="5"/>
    <x v="0"/>
    <n v="3"/>
    <x v="1"/>
    <n v="2"/>
    <s v="Average"/>
    <x v="9"/>
    <s v="Q1"/>
    <x v="0"/>
    <s v="Friday"/>
    <s v="26-35"/>
    <x v="2"/>
    <s v="Medium"/>
    <s v="Bronze"/>
  </r>
  <r>
    <x v="409"/>
    <x v="242"/>
    <d v="2026-09-28T00:00:00"/>
    <s v="CUST410"/>
    <x v="81"/>
    <s v="Female"/>
    <n v="43"/>
    <s v="Mumbai"/>
    <x v="2"/>
    <x v="1"/>
    <s v="P108"/>
    <x v="2"/>
    <x v="2"/>
    <s v="Mixer"/>
    <x v="2"/>
    <n v="5"/>
    <n v="3500"/>
    <n v="0.08"/>
    <x v="179"/>
    <n v="2500"/>
    <n v="3600"/>
    <n v="0.2236024844720497"/>
    <x v="4"/>
    <x v="1"/>
    <n v="2"/>
    <x v="1"/>
    <n v="5"/>
    <s v="Excellent"/>
    <x v="5"/>
    <s v="Q3"/>
    <x v="0"/>
    <s v="Saturday"/>
    <s v="36-45"/>
    <x v="1"/>
    <s v="Medium"/>
    <s v="Silver"/>
  </r>
  <r>
    <x v="410"/>
    <x v="199"/>
    <d v="2026-12-12T00:00:00"/>
    <s v="CUST411"/>
    <x v="91"/>
    <s v="Female"/>
    <n v="49"/>
    <s v="Mumbai"/>
    <x v="2"/>
    <x v="1"/>
    <s v="P101"/>
    <x v="7"/>
    <x v="0"/>
    <s v="Mobile"/>
    <x v="7"/>
    <n v="4"/>
    <n v="28500"/>
    <n v="0.05"/>
    <x v="159"/>
    <n v="22000"/>
    <n v="20300"/>
    <n v="0.18744228993536471"/>
    <x v="0"/>
    <x v="2"/>
    <n v="6"/>
    <x v="0"/>
    <n v="3"/>
    <s v="Average"/>
    <x v="8"/>
    <s v="Q4"/>
    <x v="0"/>
    <s v="Sunday"/>
    <s v="46+"/>
    <x v="0"/>
    <s v="Low"/>
    <s v="VIP"/>
  </r>
  <r>
    <x v="411"/>
    <x v="191"/>
    <d v="2026-06-05T00:00:00"/>
    <s v="CUST412"/>
    <x v="165"/>
    <s v="Female"/>
    <n v="46"/>
    <s v="Bengaluru"/>
    <x v="5"/>
    <x v="0"/>
    <s v="P104"/>
    <x v="4"/>
    <x v="0"/>
    <s v="Laptop"/>
    <x v="4"/>
    <n v="3"/>
    <n v="58000"/>
    <n v="0.2"/>
    <x v="192"/>
    <n v="49000"/>
    <n v="-7800"/>
    <n v="-5.6034482758620691E-2"/>
    <x v="0"/>
    <x v="2"/>
    <n v="6"/>
    <x v="0"/>
    <n v="4"/>
    <s v="Excellent"/>
    <x v="7"/>
    <s v="Q2"/>
    <x v="0"/>
    <s v="Saturday"/>
    <s v="46+"/>
    <x v="0"/>
    <s v="High"/>
    <s v="VIP"/>
  </r>
  <r>
    <x v="412"/>
    <x v="10"/>
    <d v="2026-10-01T00:00:00"/>
    <s v="CUST413"/>
    <x v="45"/>
    <s v="Female"/>
    <n v="39"/>
    <s v="Chennai"/>
    <x v="0"/>
    <x v="0"/>
    <s v="P106"/>
    <x v="5"/>
    <x v="0"/>
    <s v="Headphones"/>
    <x v="5"/>
    <n v="3"/>
    <n v="2500"/>
    <n v="0.05"/>
    <x v="124"/>
    <n v="1700"/>
    <n v="2025"/>
    <n v="0.28421052631578947"/>
    <x v="5"/>
    <x v="1"/>
    <n v="3"/>
    <x v="1"/>
    <n v="4"/>
    <s v="Excellent"/>
    <x v="5"/>
    <s v="Q3"/>
    <x v="0"/>
    <s v="Monday"/>
    <s v="36-45"/>
    <x v="2"/>
    <s v="Low"/>
    <s v="Bronze"/>
  </r>
  <r>
    <x v="413"/>
    <x v="106"/>
    <d v="2026-09-04T00:00:00"/>
    <s v="CUST414"/>
    <x v="96"/>
    <s v="Male"/>
    <n v="30"/>
    <s v="Delhi"/>
    <x v="4"/>
    <x v="3"/>
    <s v="P106"/>
    <x v="5"/>
    <x v="0"/>
    <s v="Headphones"/>
    <x v="5"/>
    <n v="3"/>
    <n v="2500"/>
    <n v="0.2"/>
    <x v="64"/>
    <n v="1700"/>
    <n v="900"/>
    <n v="0.15"/>
    <x v="3"/>
    <x v="3"/>
    <n v="2"/>
    <x v="1"/>
    <n v="5"/>
    <s v="Excellent"/>
    <x v="5"/>
    <s v="Q3"/>
    <x v="0"/>
    <s v="Wednesday"/>
    <s v="26-35"/>
    <x v="2"/>
    <s v="High"/>
    <s v="Bronze"/>
  </r>
  <r>
    <x v="414"/>
    <x v="243"/>
    <d v="2026-05-11T00:00:00"/>
    <s v="CUST415"/>
    <x v="105"/>
    <s v="Male"/>
    <n v="48"/>
    <s v="Hyderabad"/>
    <x v="1"/>
    <x v="0"/>
    <s v="P102"/>
    <x v="6"/>
    <x v="0"/>
    <s v="Mobile"/>
    <x v="6"/>
    <n v="1"/>
    <n v="79900"/>
    <n v="0.15"/>
    <x v="170"/>
    <n v="65000"/>
    <n v="2915"/>
    <n v="4.292129868217625E-2"/>
    <x v="1"/>
    <x v="3"/>
    <n v="2"/>
    <x v="0"/>
    <n v="3"/>
    <s v="Average"/>
    <x v="7"/>
    <s v="Q2"/>
    <x v="0"/>
    <s v="Saturday"/>
    <s v="46+"/>
    <x v="0"/>
    <s v="Medium"/>
    <s v="Gold"/>
  </r>
  <r>
    <x v="415"/>
    <x v="57"/>
    <d v="2026-04-07T00:00:00"/>
    <s v="CUST416"/>
    <x v="44"/>
    <s v="Female"/>
    <n v="37"/>
    <s v="Hyderabad"/>
    <x v="1"/>
    <x v="0"/>
    <s v="P103"/>
    <x v="0"/>
    <x v="0"/>
    <s v="Laptop"/>
    <x v="0"/>
    <n v="4"/>
    <n v="62000"/>
    <n v="0.2"/>
    <x v="178"/>
    <n v="52000"/>
    <n v="-9600"/>
    <n v="-4.8387096774193547E-2"/>
    <x v="2"/>
    <x v="0"/>
    <n v="5"/>
    <x v="0"/>
    <n v="4"/>
    <s v="Excellent"/>
    <x v="3"/>
    <s v="Q2"/>
    <x v="0"/>
    <s v="Thursday"/>
    <s v="36-45"/>
    <x v="0"/>
    <s v="High"/>
    <s v="VIP"/>
  </r>
  <r>
    <x v="416"/>
    <x v="244"/>
    <d v="2026-10-09T00:00:00"/>
    <s v="CUST417"/>
    <x v="168"/>
    <s v="Male"/>
    <n v="20"/>
    <s v="Ahmedabad"/>
    <x v="6"/>
    <x v="1"/>
    <s v="P101"/>
    <x v="7"/>
    <x v="0"/>
    <s v="Mobile"/>
    <x v="7"/>
    <n v="2"/>
    <n v="28500"/>
    <n v="0.15"/>
    <x v="195"/>
    <n v="22000"/>
    <n v="4450"/>
    <n v="9.1847265221878222E-2"/>
    <x v="1"/>
    <x v="0"/>
    <n v="5"/>
    <x v="1"/>
    <n v="3"/>
    <s v="Average"/>
    <x v="1"/>
    <s v="Q4"/>
    <x v="0"/>
    <s v="Sunday"/>
    <s v="18-25"/>
    <x v="0"/>
    <s v="Medium"/>
    <s v="Gold"/>
  </r>
  <r>
    <x v="417"/>
    <x v="245"/>
    <d v="2026-12-10T00:00:00"/>
    <s v="CUST418"/>
    <x v="112"/>
    <s v="Female"/>
    <n v="38"/>
    <s v="Delhi"/>
    <x v="4"/>
    <x v="3"/>
    <s v="P103"/>
    <x v="0"/>
    <x v="0"/>
    <s v="Laptop"/>
    <x v="0"/>
    <n v="4"/>
    <n v="62000"/>
    <n v="0.05"/>
    <x v="56"/>
    <n v="52000"/>
    <n v="27600"/>
    <n v="0.11714770797962648"/>
    <x v="0"/>
    <x v="2"/>
    <n v="2"/>
    <x v="0"/>
    <n v="3"/>
    <s v="Average"/>
    <x v="8"/>
    <s v="Q4"/>
    <x v="0"/>
    <s v="Tuesday"/>
    <s v="36-45"/>
    <x v="0"/>
    <s v="Low"/>
    <s v="VIP"/>
  </r>
  <r>
    <x v="418"/>
    <x v="83"/>
    <d v="2026-04-05T00:00:00"/>
    <s v="CUST419"/>
    <x v="38"/>
    <s v="Male"/>
    <n v="37"/>
    <s v="Hyderabad"/>
    <x v="1"/>
    <x v="0"/>
    <s v="P104"/>
    <x v="4"/>
    <x v="0"/>
    <s v="Laptop"/>
    <x v="4"/>
    <n v="1"/>
    <n v="58000"/>
    <n v="0.08"/>
    <x v="184"/>
    <n v="49000"/>
    <n v="4360"/>
    <n v="8.1709145427286356E-2"/>
    <x v="1"/>
    <x v="3"/>
    <n v="2"/>
    <x v="0"/>
    <n v="5"/>
    <s v="Excellent"/>
    <x v="3"/>
    <s v="Q2"/>
    <x v="0"/>
    <s v="Friday"/>
    <s v="36-45"/>
    <x v="0"/>
    <s v="Medium"/>
    <s v="Gold"/>
  </r>
  <r>
    <x v="419"/>
    <x v="246"/>
    <d v="2026-02-17T00:00:00"/>
    <s v="CUST420"/>
    <x v="94"/>
    <s v="Male"/>
    <n v="43"/>
    <s v="Bengaluru"/>
    <x v="5"/>
    <x v="0"/>
    <s v="P106"/>
    <x v="5"/>
    <x v="0"/>
    <s v="Headphones"/>
    <x v="5"/>
    <n v="4"/>
    <n v="2500"/>
    <n v="0.2"/>
    <x v="79"/>
    <n v="1700"/>
    <n v="1200"/>
    <n v="0.15"/>
    <x v="0"/>
    <x v="1"/>
    <n v="4"/>
    <x v="1"/>
    <n v="5"/>
    <s v="Excellent"/>
    <x v="9"/>
    <s v="Q1"/>
    <x v="0"/>
    <s v="Friday"/>
    <s v="36-45"/>
    <x v="2"/>
    <s v="High"/>
    <s v="Bronze"/>
  </r>
  <r>
    <x v="420"/>
    <x v="48"/>
    <d v="2026-01-24T00:00:00"/>
    <s v="CUST421"/>
    <x v="160"/>
    <s v="Male"/>
    <n v="34"/>
    <s v="Surat"/>
    <x v="6"/>
    <x v="1"/>
    <s v="P108"/>
    <x v="2"/>
    <x v="2"/>
    <s v="Mixer"/>
    <x v="2"/>
    <n v="4"/>
    <n v="3500"/>
    <n v="0.1"/>
    <x v="112"/>
    <n v="2500"/>
    <n v="2600"/>
    <n v="0.20634920634920634"/>
    <x v="4"/>
    <x v="2"/>
    <n v="5"/>
    <x v="1"/>
    <n v="5"/>
    <s v="Excellent"/>
    <x v="0"/>
    <s v="Q1"/>
    <x v="0"/>
    <s v="Monday"/>
    <s v="26-35"/>
    <x v="1"/>
    <s v="Medium"/>
    <s v="Bronze"/>
  </r>
  <r>
    <x v="421"/>
    <x v="85"/>
    <d v="2026-05-20T00:00:00"/>
    <s v="CUST422"/>
    <x v="177"/>
    <s v="Female"/>
    <n v="38"/>
    <s v="Hyderabad"/>
    <x v="1"/>
    <x v="0"/>
    <s v="P101"/>
    <x v="7"/>
    <x v="0"/>
    <s v="Mobile"/>
    <x v="7"/>
    <n v="4"/>
    <n v="28500"/>
    <n v="0.12"/>
    <x v="115"/>
    <n v="22000"/>
    <n v="12320"/>
    <n v="0.12280701754385964"/>
    <x v="5"/>
    <x v="2"/>
    <n v="6"/>
    <x v="0"/>
    <n v="2"/>
    <s v="Average"/>
    <x v="7"/>
    <s v="Q2"/>
    <x v="0"/>
    <s v="Thursday"/>
    <s v="36-45"/>
    <x v="0"/>
    <s v="Medium"/>
    <s v="VIP"/>
  </r>
  <r>
    <x v="422"/>
    <x v="78"/>
    <d v="2026-11-15T00:00:00"/>
    <s v="CUST423"/>
    <x v="66"/>
    <s v="Male"/>
    <n v="41"/>
    <s v="Delhi"/>
    <x v="4"/>
    <x v="3"/>
    <s v="P104"/>
    <x v="4"/>
    <x v="0"/>
    <s v="Laptop"/>
    <x v="4"/>
    <n v="4"/>
    <n v="58000"/>
    <n v="0.2"/>
    <x v="201"/>
    <n v="49000"/>
    <n v="-10400"/>
    <n v="-5.6034482758620691E-2"/>
    <x v="5"/>
    <x v="0"/>
    <n v="4"/>
    <x v="0"/>
    <n v="4"/>
    <s v="Excellent"/>
    <x v="2"/>
    <s v="Q4"/>
    <x v="0"/>
    <s v="Wednesday"/>
    <s v="36-45"/>
    <x v="0"/>
    <s v="High"/>
    <s v="VIP"/>
  </r>
  <r>
    <x v="423"/>
    <x v="65"/>
    <d v="2026-12-18T00:00:00"/>
    <s v="CUST424"/>
    <x v="60"/>
    <s v="Male"/>
    <n v="48"/>
    <s v="Bengaluru"/>
    <x v="5"/>
    <x v="0"/>
    <s v="P102"/>
    <x v="6"/>
    <x v="0"/>
    <s v="Mobile"/>
    <x v="6"/>
    <n v="2"/>
    <n v="79900"/>
    <n v="0.08"/>
    <x v="153"/>
    <n v="65000"/>
    <n v="17016"/>
    <n v="0.11574250421722805"/>
    <x v="1"/>
    <x v="1"/>
    <n v="6"/>
    <x v="0"/>
    <n v="3"/>
    <s v="Average"/>
    <x v="8"/>
    <s v="Q4"/>
    <x v="0"/>
    <s v="Saturday"/>
    <s v="46+"/>
    <x v="0"/>
    <s v="Medium"/>
    <s v="VIP"/>
  </r>
  <r>
    <x v="424"/>
    <x v="86"/>
    <d v="2026-09-17T00:00:00"/>
    <s v="CUST425"/>
    <x v="108"/>
    <s v="Male"/>
    <n v="46"/>
    <s v="Mumbai"/>
    <x v="2"/>
    <x v="1"/>
    <s v="P104"/>
    <x v="4"/>
    <x v="0"/>
    <s v="Laptop"/>
    <x v="4"/>
    <n v="1"/>
    <n v="58000"/>
    <n v="0.12"/>
    <x v="202"/>
    <n v="49000"/>
    <n v="2040"/>
    <n v="3.9968652037617555E-2"/>
    <x v="4"/>
    <x v="1"/>
    <n v="4"/>
    <x v="0"/>
    <n v="4"/>
    <s v="Excellent"/>
    <x v="5"/>
    <s v="Q3"/>
    <x v="0"/>
    <s v="Sunday"/>
    <s v="46+"/>
    <x v="0"/>
    <s v="Medium"/>
    <s v="Gold"/>
  </r>
  <r>
    <x v="425"/>
    <x v="204"/>
    <d v="2026-03-26T00:00:00"/>
    <s v="CUST426"/>
    <x v="73"/>
    <s v="Male"/>
    <n v="45"/>
    <s v="Kolkata"/>
    <x v="3"/>
    <x v="2"/>
    <s v="P106"/>
    <x v="5"/>
    <x v="0"/>
    <s v="Headphones"/>
    <x v="5"/>
    <n v="2"/>
    <n v="2500"/>
    <n v="0.08"/>
    <x v="122"/>
    <n v="1700"/>
    <n v="1200"/>
    <n v="0.2608695652173913"/>
    <x v="1"/>
    <x v="3"/>
    <n v="4"/>
    <x v="1"/>
    <n v="4"/>
    <s v="Excellent"/>
    <x v="10"/>
    <s v="Q1"/>
    <x v="0"/>
    <s v="Sunday"/>
    <s v="36-45"/>
    <x v="2"/>
    <s v="Medium"/>
    <s v="Bronze"/>
  </r>
  <r>
    <x v="426"/>
    <x v="241"/>
    <d v="2026-11-07T00:00:00"/>
    <s v="CUST427"/>
    <x v="1"/>
    <s v="Female"/>
    <n v="45"/>
    <s v="Chennai"/>
    <x v="0"/>
    <x v="0"/>
    <s v="P103"/>
    <x v="0"/>
    <x v="0"/>
    <s v="Laptop"/>
    <x v="0"/>
    <n v="1"/>
    <n v="62000"/>
    <n v="0.1"/>
    <x v="110"/>
    <n v="52000"/>
    <n v="3800"/>
    <n v="6.8100358422939072E-2"/>
    <x v="2"/>
    <x v="1"/>
    <n v="2"/>
    <x v="0"/>
    <n v="3"/>
    <s v="Average"/>
    <x v="2"/>
    <s v="Q4"/>
    <x v="0"/>
    <s v="Thursday"/>
    <s v="36-45"/>
    <x v="0"/>
    <s v="Medium"/>
    <s v="Gold"/>
  </r>
  <r>
    <x v="427"/>
    <x v="247"/>
    <d v="2026-03-02T00:00:00"/>
    <s v="CUST428"/>
    <x v="178"/>
    <s v="Female"/>
    <n v="33"/>
    <s v="Kolkata"/>
    <x v="3"/>
    <x v="2"/>
    <s v="P102"/>
    <x v="6"/>
    <x v="0"/>
    <s v="Mobile"/>
    <x v="6"/>
    <n v="1"/>
    <n v="79900"/>
    <n v="0.12"/>
    <x v="76"/>
    <n v="65000"/>
    <n v="5312"/>
    <n v="7.5548981681647517E-2"/>
    <x v="2"/>
    <x v="1"/>
    <n v="5"/>
    <x v="0"/>
    <n v="5"/>
    <s v="Excellent"/>
    <x v="9"/>
    <s v="Q1"/>
    <x v="0"/>
    <s v="Wednesday"/>
    <s v="26-35"/>
    <x v="0"/>
    <s v="Medium"/>
    <s v="Gold"/>
  </r>
  <r>
    <x v="428"/>
    <x v="78"/>
    <d v="2026-11-13T00:00:00"/>
    <s v="CUST429"/>
    <x v="179"/>
    <s v="Female"/>
    <n v="49"/>
    <s v="Kolkata"/>
    <x v="3"/>
    <x v="2"/>
    <s v="P106"/>
    <x v="5"/>
    <x v="0"/>
    <s v="Headphones"/>
    <x v="5"/>
    <n v="5"/>
    <n v="2500"/>
    <n v="0.15"/>
    <x v="78"/>
    <n v="1700"/>
    <n v="2125"/>
    <n v="0.2"/>
    <x v="2"/>
    <x v="1"/>
    <n v="2"/>
    <x v="1"/>
    <n v="2"/>
    <s v="Average"/>
    <x v="2"/>
    <s v="Q4"/>
    <x v="0"/>
    <s v="Wednesday"/>
    <s v="46+"/>
    <x v="1"/>
    <s v="Medium"/>
    <s v="Bronze"/>
  </r>
  <r>
    <x v="429"/>
    <x v="248"/>
    <d v="2026-09-09T00:00:00"/>
    <s v="CUST430"/>
    <x v="148"/>
    <s v="Female"/>
    <n v="46"/>
    <s v="Surat"/>
    <x v="6"/>
    <x v="1"/>
    <s v="P107"/>
    <x v="1"/>
    <x v="1"/>
    <s v="Shoes"/>
    <x v="1"/>
    <n v="2"/>
    <n v="4500"/>
    <n v="0.15"/>
    <x v="160"/>
    <n v="3000"/>
    <n v="1650"/>
    <n v="0.21568627450980393"/>
    <x v="2"/>
    <x v="2"/>
    <n v="4"/>
    <x v="1"/>
    <n v="5"/>
    <s v="Excellent"/>
    <x v="5"/>
    <s v="Q3"/>
    <x v="0"/>
    <s v="Saturday"/>
    <s v="46+"/>
    <x v="2"/>
    <s v="Medium"/>
    <s v="Bronze"/>
  </r>
  <r>
    <x v="430"/>
    <x v="55"/>
    <d v="2026-11-22T00:00:00"/>
    <s v="CUST431"/>
    <x v="100"/>
    <s v="Female"/>
    <n v="36"/>
    <s v="Bengaluru"/>
    <x v="5"/>
    <x v="0"/>
    <s v="P101"/>
    <x v="7"/>
    <x v="0"/>
    <s v="Mobile"/>
    <x v="7"/>
    <n v="5"/>
    <n v="28500"/>
    <n v="0.1"/>
    <x v="121"/>
    <n v="22000"/>
    <n v="18250"/>
    <n v="0.14230019493177387"/>
    <x v="4"/>
    <x v="0"/>
    <n v="6"/>
    <x v="0"/>
    <n v="2"/>
    <s v="Average"/>
    <x v="2"/>
    <s v="Q4"/>
    <x v="0"/>
    <s v="Monday"/>
    <s v="36-45"/>
    <x v="0"/>
    <s v="Medium"/>
    <s v="VIP"/>
  </r>
  <r>
    <x v="431"/>
    <x v="249"/>
    <d v="2026-04-04T00:00:00"/>
    <s v="CUST432"/>
    <x v="79"/>
    <s v="Female"/>
    <n v="49"/>
    <s v="Bengaluru"/>
    <x v="5"/>
    <x v="0"/>
    <s v="P101"/>
    <x v="7"/>
    <x v="0"/>
    <s v="Mobile"/>
    <x v="7"/>
    <n v="1"/>
    <n v="28500"/>
    <n v="0.1"/>
    <x v="148"/>
    <n v="22000"/>
    <n v="3650"/>
    <n v="0.14230019493177387"/>
    <x v="5"/>
    <x v="3"/>
    <n v="3"/>
    <x v="1"/>
    <n v="2"/>
    <s v="Average"/>
    <x v="3"/>
    <s v="Q2"/>
    <x v="0"/>
    <s v="Wednesday"/>
    <s v="46+"/>
    <x v="1"/>
    <s v="Medium"/>
    <s v="Silver"/>
  </r>
  <r>
    <x v="432"/>
    <x v="86"/>
    <d v="2026-09-16T00:00:00"/>
    <s v="CUST433"/>
    <x v="88"/>
    <s v="Male"/>
    <n v="28"/>
    <s v="Delhi"/>
    <x v="4"/>
    <x v="3"/>
    <s v="P107"/>
    <x v="1"/>
    <x v="1"/>
    <s v="Shoes"/>
    <x v="1"/>
    <n v="1"/>
    <n v="4500"/>
    <n v="0.12"/>
    <x v="89"/>
    <n v="3000"/>
    <n v="960"/>
    <n v="0.24242424242424243"/>
    <x v="2"/>
    <x v="2"/>
    <n v="3"/>
    <x v="1"/>
    <n v="5"/>
    <s v="Excellent"/>
    <x v="5"/>
    <s v="Q3"/>
    <x v="0"/>
    <s v="Sunday"/>
    <s v="26-35"/>
    <x v="2"/>
    <s v="Medium"/>
    <s v="Bronze"/>
  </r>
  <r>
    <x v="433"/>
    <x v="250"/>
    <d v="2026-02-27T00:00:00"/>
    <s v="CUST434"/>
    <x v="89"/>
    <s v="Female"/>
    <n v="48"/>
    <s v="Delhi"/>
    <x v="4"/>
    <x v="3"/>
    <s v="P105"/>
    <x v="3"/>
    <x v="0"/>
    <s v="Television"/>
    <x v="3"/>
    <n v="4"/>
    <n v="42000"/>
    <n v="0.1"/>
    <x v="90"/>
    <n v="35000"/>
    <n v="11200"/>
    <n v="7.407407407407407E-2"/>
    <x v="3"/>
    <x v="1"/>
    <n v="6"/>
    <x v="0"/>
    <n v="3"/>
    <s v="Average"/>
    <x v="9"/>
    <s v="Q1"/>
    <x v="0"/>
    <s v="Saturday"/>
    <s v="46+"/>
    <x v="0"/>
    <s v="Medium"/>
    <s v="VIP"/>
  </r>
  <r>
    <x v="434"/>
    <x v="251"/>
    <d v="2026-07-28T00:00:00"/>
    <s v="CUST435"/>
    <x v="162"/>
    <s v="Female"/>
    <n v="49"/>
    <s v="Delhi"/>
    <x v="4"/>
    <x v="3"/>
    <s v="P108"/>
    <x v="2"/>
    <x v="2"/>
    <s v="Mixer"/>
    <x v="2"/>
    <n v="3"/>
    <n v="3500"/>
    <n v="0.15"/>
    <x v="203"/>
    <n v="2500"/>
    <n v="1425"/>
    <n v="0.15966386554621848"/>
    <x v="4"/>
    <x v="2"/>
    <n v="5"/>
    <x v="1"/>
    <n v="4"/>
    <s v="Excellent"/>
    <x v="4"/>
    <s v="Q3"/>
    <x v="0"/>
    <s v="Thursday"/>
    <s v="46+"/>
    <x v="2"/>
    <s v="Medium"/>
    <s v="Bronze"/>
  </r>
  <r>
    <x v="435"/>
    <x v="252"/>
    <d v="2026-10-18T00:00:00"/>
    <s v="CUST436"/>
    <x v="180"/>
    <s v="Male"/>
    <n v="50"/>
    <s v="Mumbai"/>
    <x v="2"/>
    <x v="1"/>
    <s v="P103"/>
    <x v="0"/>
    <x v="0"/>
    <s v="Laptop"/>
    <x v="0"/>
    <n v="3"/>
    <n v="62000"/>
    <n v="0.08"/>
    <x v="5"/>
    <n v="52000"/>
    <n v="15120"/>
    <n v="8.8359046283309955E-2"/>
    <x v="0"/>
    <x v="1"/>
    <n v="5"/>
    <x v="0"/>
    <n v="2"/>
    <s v="Average"/>
    <x v="1"/>
    <s v="Q4"/>
    <x v="0"/>
    <s v="Tuesday"/>
    <s v="46+"/>
    <x v="0"/>
    <s v="Medium"/>
    <s v="VIP"/>
  </r>
  <r>
    <x v="436"/>
    <x v="16"/>
    <d v="2026-04-03T00:00:00"/>
    <s v="CUST437"/>
    <x v="15"/>
    <s v="Female"/>
    <n v="45"/>
    <s v="Bengaluru"/>
    <x v="5"/>
    <x v="0"/>
    <s v="P107"/>
    <x v="1"/>
    <x v="1"/>
    <s v="Shoes"/>
    <x v="1"/>
    <n v="5"/>
    <n v="4500"/>
    <n v="0.1"/>
    <x v="18"/>
    <n v="3000"/>
    <n v="5250"/>
    <n v="0.25925925925925924"/>
    <x v="2"/>
    <x v="2"/>
    <n v="5"/>
    <x v="1"/>
    <n v="5"/>
    <s v="Excellent"/>
    <x v="10"/>
    <s v="Q1"/>
    <x v="0"/>
    <s v="Sunday"/>
    <s v="36-45"/>
    <x v="1"/>
    <s v="Medium"/>
    <s v="Silver"/>
  </r>
  <r>
    <x v="437"/>
    <x v="232"/>
    <d v="2026-06-09T00:00:00"/>
    <s v="CUST438"/>
    <x v="66"/>
    <s v="Female"/>
    <n v="20"/>
    <s v="Hyderabad"/>
    <x v="1"/>
    <x v="0"/>
    <s v="P108"/>
    <x v="2"/>
    <x v="2"/>
    <s v="Mixer"/>
    <x v="2"/>
    <n v="5"/>
    <n v="3500"/>
    <n v="0.15"/>
    <x v="171"/>
    <n v="2500"/>
    <n v="2375"/>
    <n v="0.15966386554621848"/>
    <x v="0"/>
    <x v="0"/>
    <n v="4"/>
    <x v="1"/>
    <n v="3"/>
    <s v="Average"/>
    <x v="11"/>
    <s v="Q2"/>
    <x v="0"/>
    <s v="Friday"/>
    <s v="18-25"/>
    <x v="1"/>
    <s v="Medium"/>
    <s v="Bronze"/>
  </r>
  <r>
    <x v="438"/>
    <x v="136"/>
    <d v="2026-03-26T00:00:00"/>
    <s v="CUST439"/>
    <x v="13"/>
    <s v="Male"/>
    <n v="32"/>
    <s v="Bengaluru"/>
    <x v="5"/>
    <x v="0"/>
    <s v="P102"/>
    <x v="6"/>
    <x v="0"/>
    <s v="Mobile"/>
    <x v="6"/>
    <n v="1"/>
    <n v="79900"/>
    <n v="0.2"/>
    <x v="204"/>
    <n v="65000"/>
    <n v="-1080"/>
    <n v="-1.6896120150187734E-2"/>
    <x v="1"/>
    <x v="1"/>
    <n v="2"/>
    <x v="0"/>
    <n v="3"/>
    <s v="Average"/>
    <x v="10"/>
    <s v="Q1"/>
    <x v="0"/>
    <s v="Tuesday"/>
    <s v="26-35"/>
    <x v="0"/>
    <s v="High"/>
    <s v="Gold"/>
  </r>
  <r>
    <x v="439"/>
    <x v="209"/>
    <d v="2026-03-05T00:00:00"/>
    <s v="CUST440"/>
    <x v="123"/>
    <s v="Male"/>
    <n v="31"/>
    <s v="Ahmedabad"/>
    <x v="6"/>
    <x v="1"/>
    <s v="P104"/>
    <x v="4"/>
    <x v="0"/>
    <s v="Laptop"/>
    <x v="4"/>
    <n v="5"/>
    <n v="58000"/>
    <n v="0.12"/>
    <x v="136"/>
    <n v="49000"/>
    <n v="10200"/>
    <n v="3.9968652037617555E-2"/>
    <x v="3"/>
    <x v="2"/>
    <n v="6"/>
    <x v="0"/>
    <n v="4"/>
    <s v="Excellent"/>
    <x v="9"/>
    <s v="Q1"/>
    <x v="0"/>
    <s v="Friday"/>
    <s v="26-35"/>
    <x v="0"/>
    <s v="Medium"/>
    <s v="VIP"/>
  </r>
  <r>
    <x v="440"/>
    <x v="86"/>
    <d v="2026-09-16T00:00:00"/>
    <s v="CUST441"/>
    <x v="126"/>
    <s v="Male"/>
    <n v="37"/>
    <s v="Ahmedabad"/>
    <x v="6"/>
    <x v="1"/>
    <s v="P108"/>
    <x v="2"/>
    <x v="2"/>
    <s v="Mixer"/>
    <x v="2"/>
    <n v="5"/>
    <n v="3500"/>
    <n v="0.12"/>
    <x v="63"/>
    <n v="2500"/>
    <n v="2900"/>
    <n v="0.18831168831168832"/>
    <x v="1"/>
    <x v="2"/>
    <n v="3"/>
    <x v="1"/>
    <n v="2"/>
    <s v="Average"/>
    <x v="5"/>
    <s v="Q3"/>
    <x v="0"/>
    <s v="Sunday"/>
    <s v="36-45"/>
    <x v="1"/>
    <s v="Medium"/>
    <s v="Silver"/>
  </r>
  <r>
    <x v="441"/>
    <x v="113"/>
    <d v="2026-12-27T00:00:00"/>
    <s v="CUST442"/>
    <x v="108"/>
    <s v="Male"/>
    <n v="37"/>
    <s v="Bengaluru"/>
    <x v="5"/>
    <x v="0"/>
    <s v="P106"/>
    <x v="5"/>
    <x v="0"/>
    <s v="Headphones"/>
    <x v="5"/>
    <n v="2"/>
    <n v="2500"/>
    <n v="0.15"/>
    <x v="98"/>
    <n v="1700"/>
    <n v="850"/>
    <n v="0.2"/>
    <x v="2"/>
    <x v="2"/>
    <n v="2"/>
    <x v="1"/>
    <n v="4"/>
    <s v="Excellent"/>
    <x v="8"/>
    <s v="Q4"/>
    <x v="0"/>
    <s v="Friday"/>
    <s v="36-45"/>
    <x v="2"/>
    <s v="Medium"/>
    <s v="Bronze"/>
  </r>
  <r>
    <x v="442"/>
    <x v="242"/>
    <d v="2026-10-01T00:00:00"/>
    <s v="CUST443"/>
    <x v="42"/>
    <s v="Male"/>
    <n v="48"/>
    <s v="Hyderabad"/>
    <x v="1"/>
    <x v="0"/>
    <s v="P105"/>
    <x v="3"/>
    <x v="0"/>
    <s v="Television"/>
    <x v="3"/>
    <n v="2"/>
    <n v="42000"/>
    <n v="0.1"/>
    <x v="197"/>
    <n v="35000"/>
    <n v="5600"/>
    <n v="7.407407407407407E-2"/>
    <x v="1"/>
    <x v="2"/>
    <n v="5"/>
    <x v="0"/>
    <n v="4"/>
    <s v="Excellent"/>
    <x v="5"/>
    <s v="Q3"/>
    <x v="0"/>
    <s v="Saturday"/>
    <s v="46+"/>
    <x v="0"/>
    <s v="Medium"/>
    <s v="Gold"/>
  </r>
  <r>
    <x v="443"/>
    <x v="150"/>
    <d v="2026-09-24T00:00:00"/>
    <s v="CUST444"/>
    <x v="63"/>
    <s v="Female"/>
    <n v="32"/>
    <s v="Hyderabad"/>
    <x v="1"/>
    <x v="0"/>
    <s v="P106"/>
    <x v="5"/>
    <x v="0"/>
    <s v="Headphones"/>
    <x v="5"/>
    <n v="1"/>
    <n v="2500"/>
    <n v="0.2"/>
    <x v="29"/>
    <n v="1700"/>
    <n v="300"/>
    <n v="0.15"/>
    <x v="5"/>
    <x v="0"/>
    <n v="6"/>
    <x v="1"/>
    <n v="5"/>
    <s v="Excellent"/>
    <x v="5"/>
    <s v="Q3"/>
    <x v="0"/>
    <s v="Friday"/>
    <s v="26-35"/>
    <x v="2"/>
    <s v="High"/>
    <s v="Bronze"/>
  </r>
  <r>
    <x v="444"/>
    <x v="124"/>
    <d v="2026-03-08T00:00:00"/>
    <s v="CUST445"/>
    <x v="102"/>
    <s v="Male"/>
    <n v="20"/>
    <s v="Chennai"/>
    <x v="0"/>
    <x v="0"/>
    <s v="P105"/>
    <x v="3"/>
    <x v="0"/>
    <s v="Television"/>
    <x v="3"/>
    <n v="4"/>
    <n v="42000"/>
    <n v="0.1"/>
    <x v="90"/>
    <n v="35000"/>
    <n v="11200"/>
    <n v="7.407407407407407E-2"/>
    <x v="1"/>
    <x v="1"/>
    <n v="3"/>
    <x v="0"/>
    <n v="4"/>
    <s v="Excellent"/>
    <x v="10"/>
    <s v="Q1"/>
    <x v="0"/>
    <s v="Thursday"/>
    <s v="18-25"/>
    <x v="0"/>
    <s v="Medium"/>
    <s v="VIP"/>
  </r>
  <r>
    <x v="445"/>
    <x v="253"/>
    <d v="2026-08-05T00:00:00"/>
    <s v="CUST446"/>
    <x v="125"/>
    <s v="Male"/>
    <n v="32"/>
    <s v="Delhi"/>
    <x v="4"/>
    <x v="3"/>
    <s v="P105"/>
    <x v="3"/>
    <x v="0"/>
    <s v="Television"/>
    <x v="3"/>
    <n v="2"/>
    <n v="42000"/>
    <n v="0.05"/>
    <x v="145"/>
    <n v="35000"/>
    <n v="9800"/>
    <n v="0.12280701754385964"/>
    <x v="4"/>
    <x v="1"/>
    <n v="6"/>
    <x v="0"/>
    <n v="5"/>
    <s v="Excellent"/>
    <x v="4"/>
    <s v="Q3"/>
    <x v="0"/>
    <s v="Thursday"/>
    <s v="26-35"/>
    <x v="0"/>
    <s v="Low"/>
    <s v="Gold"/>
  </r>
  <r>
    <x v="446"/>
    <x v="66"/>
    <d v="2026-09-30T00:00:00"/>
    <s v="CUST447"/>
    <x v="110"/>
    <s v="Male"/>
    <n v="34"/>
    <s v="Surat"/>
    <x v="6"/>
    <x v="1"/>
    <s v="P101"/>
    <x v="7"/>
    <x v="0"/>
    <s v="Mobile"/>
    <x v="7"/>
    <n v="1"/>
    <n v="28500"/>
    <n v="0.08"/>
    <x v="118"/>
    <n v="22000"/>
    <n v="4220"/>
    <n v="0.16094584286803967"/>
    <x v="2"/>
    <x v="1"/>
    <n v="5"/>
    <x v="1"/>
    <n v="5"/>
    <s v="Excellent"/>
    <x v="5"/>
    <s v="Q3"/>
    <x v="0"/>
    <s v="Friday"/>
    <s v="26-35"/>
    <x v="1"/>
    <s v="Medium"/>
    <s v="Silver"/>
  </r>
  <r>
    <x v="447"/>
    <x v="194"/>
    <d v="2026-11-06T00:00:00"/>
    <s v="CUST448"/>
    <x v="25"/>
    <s v="Male"/>
    <n v="33"/>
    <s v="Mumbai"/>
    <x v="2"/>
    <x v="1"/>
    <s v="P101"/>
    <x v="7"/>
    <x v="0"/>
    <s v="Mobile"/>
    <x v="7"/>
    <n v="4"/>
    <n v="28500"/>
    <n v="0.12"/>
    <x v="115"/>
    <n v="22000"/>
    <n v="12320"/>
    <n v="0.12280701754385964"/>
    <x v="4"/>
    <x v="2"/>
    <n v="6"/>
    <x v="0"/>
    <n v="5"/>
    <s v="Excellent"/>
    <x v="1"/>
    <s v="Q4"/>
    <x v="0"/>
    <s v="Saturday"/>
    <s v="26-35"/>
    <x v="0"/>
    <s v="Medium"/>
    <s v="VIP"/>
  </r>
  <r>
    <x v="448"/>
    <x v="115"/>
    <d v="2026-01-15T00:00:00"/>
    <s v="CUST449"/>
    <x v="94"/>
    <s v="Male"/>
    <n v="32"/>
    <s v="Surat"/>
    <x v="6"/>
    <x v="1"/>
    <s v="P106"/>
    <x v="5"/>
    <x v="0"/>
    <s v="Headphones"/>
    <x v="5"/>
    <n v="5"/>
    <n v="2500"/>
    <n v="0.15"/>
    <x v="78"/>
    <n v="1700"/>
    <n v="2125"/>
    <n v="0.2"/>
    <x v="4"/>
    <x v="1"/>
    <n v="6"/>
    <x v="1"/>
    <n v="5"/>
    <s v="Excellent"/>
    <x v="0"/>
    <s v="Q1"/>
    <x v="0"/>
    <s v="Friday"/>
    <s v="26-35"/>
    <x v="1"/>
    <s v="Medium"/>
    <s v="Bronze"/>
  </r>
  <r>
    <x v="449"/>
    <x v="254"/>
    <d v="2026-08-08T00:00:00"/>
    <s v="CUST450"/>
    <x v="18"/>
    <s v="Male"/>
    <n v="33"/>
    <s v="Surat"/>
    <x v="6"/>
    <x v="1"/>
    <s v="P107"/>
    <x v="1"/>
    <x v="1"/>
    <s v="Shoes"/>
    <x v="1"/>
    <n v="2"/>
    <n v="4500"/>
    <n v="0.15"/>
    <x v="160"/>
    <n v="3000"/>
    <n v="1650"/>
    <n v="0.21568627450980393"/>
    <x v="4"/>
    <x v="2"/>
    <n v="5"/>
    <x v="1"/>
    <n v="4"/>
    <s v="Excellent"/>
    <x v="6"/>
    <s v="Q3"/>
    <x v="0"/>
    <s v="Monday"/>
    <s v="26-35"/>
    <x v="2"/>
    <s v="Medium"/>
    <s v="Bronze"/>
  </r>
  <r>
    <x v="450"/>
    <x v="35"/>
    <d v="2026-07-25T00:00:00"/>
    <s v="CUST451"/>
    <x v="79"/>
    <s v="Male"/>
    <n v="45"/>
    <s v="Ahmedabad"/>
    <x v="6"/>
    <x v="1"/>
    <s v="P108"/>
    <x v="2"/>
    <x v="2"/>
    <s v="Mixer"/>
    <x v="2"/>
    <n v="3"/>
    <n v="3500"/>
    <n v="0.08"/>
    <x v="205"/>
    <n v="2500"/>
    <n v="2160"/>
    <n v="0.2236024844720497"/>
    <x v="2"/>
    <x v="0"/>
    <n v="6"/>
    <x v="1"/>
    <n v="5"/>
    <s v="Excellent"/>
    <x v="4"/>
    <s v="Q3"/>
    <x v="0"/>
    <s v="Sunday"/>
    <s v="36-45"/>
    <x v="2"/>
    <s v="Medium"/>
    <s v="Bronze"/>
  </r>
  <r>
    <x v="451"/>
    <x v="255"/>
    <d v="2026-04-24T00:00:00"/>
    <s v="CUST452"/>
    <x v="8"/>
    <s v="Female"/>
    <n v="32"/>
    <s v="Chennai"/>
    <x v="0"/>
    <x v="0"/>
    <s v="P107"/>
    <x v="1"/>
    <x v="1"/>
    <s v="Shoes"/>
    <x v="1"/>
    <n v="2"/>
    <n v="4500"/>
    <n v="0.15"/>
    <x v="160"/>
    <n v="3000"/>
    <n v="1650"/>
    <n v="0.21568627450980393"/>
    <x v="3"/>
    <x v="2"/>
    <n v="3"/>
    <x v="1"/>
    <n v="3"/>
    <s v="Average"/>
    <x v="3"/>
    <s v="Q2"/>
    <x v="0"/>
    <s v="Tuesday"/>
    <s v="26-35"/>
    <x v="2"/>
    <s v="Medium"/>
    <s v="Bronze"/>
  </r>
  <r>
    <x v="452"/>
    <x v="199"/>
    <d v="2026-12-10T00:00:00"/>
    <s v="CUST453"/>
    <x v="158"/>
    <s v="Female"/>
    <n v="46"/>
    <s v="Hyderabad"/>
    <x v="1"/>
    <x v="0"/>
    <s v="P106"/>
    <x v="5"/>
    <x v="0"/>
    <s v="Headphones"/>
    <x v="5"/>
    <n v="2"/>
    <n v="2500"/>
    <n v="0.15"/>
    <x v="98"/>
    <n v="1700"/>
    <n v="850"/>
    <n v="0.2"/>
    <x v="0"/>
    <x v="0"/>
    <n v="4"/>
    <x v="1"/>
    <n v="2"/>
    <s v="Average"/>
    <x v="8"/>
    <s v="Q4"/>
    <x v="0"/>
    <s v="Sunday"/>
    <s v="46+"/>
    <x v="2"/>
    <s v="Medium"/>
    <s v="Bronze"/>
  </r>
  <r>
    <x v="453"/>
    <x v="55"/>
    <d v="2026-11-21T00:00:00"/>
    <s v="CUST454"/>
    <x v="99"/>
    <s v="Male"/>
    <n v="31"/>
    <s v="Bengaluru"/>
    <x v="5"/>
    <x v="0"/>
    <s v="P108"/>
    <x v="2"/>
    <x v="2"/>
    <s v="Mixer"/>
    <x v="2"/>
    <n v="3"/>
    <n v="3500"/>
    <n v="0.05"/>
    <x v="126"/>
    <n v="2500"/>
    <n v="2475"/>
    <n v="0.24812030075187969"/>
    <x v="1"/>
    <x v="1"/>
    <n v="5"/>
    <x v="1"/>
    <n v="5"/>
    <s v="Excellent"/>
    <x v="2"/>
    <s v="Q4"/>
    <x v="0"/>
    <s v="Monday"/>
    <s v="26-35"/>
    <x v="2"/>
    <s v="Low"/>
    <s v="Bronze"/>
  </r>
  <r>
    <x v="454"/>
    <x v="256"/>
    <d v="2026-10-17T00:00:00"/>
    <s v="CUST455"/>
    <x v="37"/>
    <s v="Male"/>
    <n v="33"/>
    <s v="Ahmedabad"/>
    <x v="6"/>
    <x v="1"/>
    <s v="P104"/>
    <x v="4"/>
    <x v="0"/>
    <s v="Laptop"/>
    <x v="4"/>
    <n v="1"/>
    <n v="58000"/>
    <n v="0.15"/>
    <x v="206"/>
    <n v="49000"/>
    <n v="300"/>
    <n v="6.0851926977687626E-3"/>
    <x v="1"/>
    <x v="1"/>
    <n v="5"/>
    <x v="1"/>
    <n v="3"/>
    <s v="Average"/>
    <x v="1"/>
    <s v="Q4"/>
    <x v="0"/>
    <s v="Monday"/>
    <s v="26-35"/>
    <x v="0"/>
    <s v="Medium"/>
    <s v="Gold"/>
  </r>
  <r>
    <x v="455"/>
    <x v="35"/>
    <d v="2026-07-21T00:00:00"/>
    <s v="CUST456"/>
    <x v="169"/>
    <s v="Male"/>
    <n v="41"/>
    <s v="Chennai"/>
    <x v="0"/>
    <x v="0"/>
    <s v="P108"/>
    <x v="2"/>
    <x v="2"/>
    <s v="Mixer"/>
    <x v="2"/>
    <n v="1"/>
    <n v="3500"/>
    <n v="0.2"/>
    <x v="207"/>
    <n v="2500"/>
    <n v="300"/>
    <n v="0.10714285714285714"/>
    <x v="3"/>
    <x v="2"/>
    <n v="2"/>
    <x v="1"/>
    <n v="5"/>
    <s v="Excellent"/>
    <x v="4"/>
    <s v="Q3"/>
    <x v="0"/>
    <s v="Sunday"/>
    <s v="36-45"/>
    <x v="2"/>
    <s v="High"/>
    <s v="Bronze"/>
  </r>
  <r>
    <x v="456"/>
    <x v="257"/>
    <d v="2026-09-21T00:00:00"/>
    <s v="CUST457"/>
    <x v="109"/>
    <s v="Male"/>
    <n v="37"/>
    <s v="Surat"/>
    <x v="6"/>
    <x v="1"/>
    <s v="P103"/>
    <x v="0"/>
    <x v="0"/>
    <s v="Laptop"/>
    <x v="0"/>
    <n v="2"/>
    <n v="62000"/>
    <n v="0.15"/>
    <x v="7"/>
    <n v="52000"/>
    <n v="1400"/>
    <n v="1.3282732447817837E-2"/>
    <x v="4"/>
    <x v="0"/>
    <n v="2"/>
    <x v="0"/>
    <n v="5"/>
    <s v="Excellent"/>
    <x v="5"/>
    <s v="Q3"/>
    <x v="0"/>
    <s v="Saturday"/>
    <s v="36-45"/>
    <x v="0"/>
    <s v="Medium"/>
    <s v="VIP"/>
  </r>
  <r>
    <x v="457"/>
    <x v="201"/>
    <d v="2026-05-24T00:00:00"/>
    <s v="CUST458"/>
    <x v="130"/>
    <s v="Male"/>
    <n v="31"/>
    <s v="Bengaluru"/>
    <x v="5"/>
    <x v="0"/>
    <s v="P108"/>
    <x v="2"/>
    <x v="2"/>
    <s v="Mixer"/>
    <x v="2"/>
    <n v="4"/>
    <n v="3500"/>
    <n v="0.08"/>
    <x v="3"/>
    <n v="2500"/>
    <n v="2880"/>
    <n v="0.2236024844720497"/>
    <x v="1"/>
    <x v="3"/>
    <n v="4"/>
    <x v="1"/>
    <n v="5"/>
    <s v="Excellent"/>
    <x v="7"/>
    <s v="Q2"/>
    <x v="0"/>
    <s v="Wednesday"/>
    <s v="26-35"/>
    <x v="1"/>
    <s v="Medium"/>
    <s v="Bronze"/>
  </r>
  <r>
    <x v="458"/>
    <x v="242"/>
    <d v="2026-09-28T00:00:00"/>
    <s v="CUST459"/>
    <x v="29"/>
    <s v="Female"/>
    <n v="48"/>
    <s v="Kolkata"/>
    <x v="3"/>
    <x v="2"/>
    <s v="P107"/>
    <x v="1"/>
    <x v="1"/>
    <s v="Shoes"/>
    <x v="1"/>
    <n v="2"/>
    <n v="4500"/>
    <n v="0.15"/>
    <x v="160"/>
    <n v="3000"/>
    <n v="1650"/>
    <n v="0.21568627450980393"/>
    <x v="0"/>
    <x v="1"/>
    <n v="2"/>
    <x v="1"/>
    <n v="4"/>
    <s v="Excellent"/>
    <x v="5"/>
    <s v="Q3"/>
    <x v="0"/>
    <s v="Saturday"/>
    <s v="46+"/>
    <x v="2"/>
    <s v="Medium"/>
    <s v="Bronze"/>
  </r>
  <r>
    <x v="459"/>
    <x v="87"/>
    <d v="2026-10-29T00:00:00"/>
    <s v="CUST460"/>
    <x v="23"/>
    <s v="Male"/>
    <n v="26"/>
    <s v="Surat"/>
    <x v="6"/>
    <x v="1"/>
    <s v="P103"/>
    <x v="0"/>
    <x v="0"/>
    <s v="Laptop"/>
    <x v="0"/>
    <n v="3"/>
    <n v="62000"/>
    <n v="0.2"/>
    <x v="72"/>
    <n v="52000"/>
    <n v="-7200"/>
    <n v="-4.8387096774193547E-2"/>
    <x v="0"/>
    <x v="1"/>
    <n v="5"/>
    <x v="0"/>
    <n v="4"/>
    <s v="Excellent"/>
    <x v="1"/>
    <s v="Q4"/>
    <x v="0"/>
    <s v="Saturday"/>
    <s v="26-35"/>
    <x v="0"/>
    <s v="High"/>
    <s v="VIP"/>
  </r>
  <r>
    <x v="460"/>
    <x v="258"/>
    <d v="2026-06-22T00:00:00"/>
    <s v="CUST461"/>
    <x v="103"/>
    <s v="Female"/>
    <n v="45"/>
    <s v="Hyderabad"/>
    <x v="1"/>
    <x v="0"/>
    <s v="P106"/>
    <x v="5"/>
    <x v="0"/>
    <s v="Headphones"/>
    <x v="5"/>
    <n v="5"/>
    <n v="2500"/>
    <n v="0.1"/>
    <x v="130"/>
    <n v="1700"/>
    <n v="2750"/>
    <n v="0.24444444444444444"/>
    <x v="4"/>
    <x v="2"/>
    <n v="3"/>
    <x v="1"/>
    <n v="2"/>
    <s v="Average"/>
    <x v="11"/>
    <s v="Q2"/>
    <x v="0"/>
    <s v="Friday"/>
    <s v="36-45"/>
    <x v="1"/>
    <s v="Medium"/>
    <s v="Bronze"/>
  </r>
  <r>
    <x v="461"/>
    <x v="259"/>
    <d v="2026-10-30T00:00:00"/>
    <s v="CUST462"/>
    <x v="125"/>
    <s v="Female"/>
    <n v="31"/>
    <s v="Delhi"/>
    <x v="4"/>
    <x v="3"/>
    <s v="P104"/>
    <x v="4"/>
    <x v="0"/>
    <s v="Laptop"/>
    <x v="4"/>
    <n v="5"/>
    <n v="58000"/>
    <n v="0.05"/>
    <x v="125"/>
    <n v="49000"/>
    <n v="30500"/>
    <n v="0.11070780399274047"/>
    <x v="1"/>
    <x v="0"/>
    <n v="2"/>
    <x v="0"/>
    <n v="4"/>
    <s v="Excellent"/>
    <x v="1"/>
    <s v="Q4"/>
    <x v="0"/>
    <s v="Wednesday"/>
    <s v="26-35"/>
    <x v="0"/>
    <s v="Low"/>
    <s v="VIP"/>
  </r>
  <r>
    <x v="462"/>
    <x v="121"/>
    <d v="2026-01-30T00:00:00"/>
    <s v="CUST463"/>
    <x v="38"/>
    <s v="Male"/>
    <n v="33"/>
    <s v="Kolkata"/>
    <x v="3"/>
    <x v="2"/>
    <s v="P108"/>
    <x v="2"/>
    <x v="2"/>
    <s v="Mixer"/>
    <x v="2"/>
    <n v="3"/>
    <n v="3500"/>
    <n v="0.15"/>
    <x v="203"/>
    <n v="2500"/>
    <n v="1425"/>
    <n v="0.15966386554621848"/>
    <x v="3"/>
    <x v="3"/>
    <n v="3"/>
    <x v="1"/>
    <n v="2"/>
    <s v="Average"/>
    <x v="0"/>
    <s v="Q1"/>
    <x v="0"/>
    <s v="Tuesday"/>
    <s v="26-35"/>
    <x v="2"/>
    <s v="Medium"/>
    <s v="Bronze"/>
  </r>
  <r>
    <x v="463"/>
    <x v="260"/>
    <d v="2026-09-18T00:00:00"/>
    <s v="CUST464"/>
    <x v="72"/>
    <s v="Male"/>
    <n v="38"/>
    <s v="Delhi"/>
    <x v="4"/>
    <x v="3"/>
    <s v="P106"/>
    <x v="5"/>
    <x v="0"/>
    <s v="Headphones"/>
    <x v="5"/>
    <n v="4"/>
    <n v="2500"/>
    <n v="0.08"/>
    <x v="172"/>
    <n v="1700"/>
    <n v="2400"/>
    <n v="0.2608695652173913"/>
    <x v="3"/>
    <x v="1"/>
    <n v="3"/>
    <x v="1"/>
    <n v="4"/>
    <s v="Excellent"/>
    <x v="5"/>
    <s v="Q3"/>
    <x v="0"/>
    <s v="Tuesday"/>
    <s v="36-45"/>
    <x v="2"/>
    <s v="Medium"/>
    <s v="Bronze"/>
  </r>
  <r>
    <x v="464"/>
    <x v="71"/>
    <d v="2026-11-22T00:00:00"/>
    <s v="CUST465"/>
    <x v="146"/>
    <s v="Male"/>
    <n v="27"/>
    <s v="Bengaluru"/>
    <x v="5"/>
    <x v="0"/>
    <s v="P108"/>
    <x v="2"/>
    <x v="2"/>
    <s v="Mixer"/>
    <x v="2"/>
    <n v="2"/>
    <n v="3500"/>
    <n v="0.05"/>
    <x v="208"/>
    <n v="2500"/>
    <n v="1650"/>
    <n v="0.24812030075187969"/>
    <x v="5"/>
    <x v="1"/>
    <n v="2"/>
    <x v="1"/>
    <n v="5"/>
    <s v="Excellent"/>
    <x v="2"/>
    <s v="Q4"/>
    <x v="0"/>
    <s v="Friday"/>
    <s v="26-35"/>
    <x v="2"/>
    <s v="Low"/>
    <s v="Bronze"/>
  </r>
  <r>
    <x v="465"/>
    <x v="261"/>
    <d v="2026-06-12T00:00:00"/>
    <s v="CUST466"/>
    <x v="102"/>
    <s v="Female"/>
    <n v="26"/>
    <s v="Chennai"/>
    <x v="0"/>
    <x v="0"/>
    <s v="P102"/>
    <x v="6"/>
    <x v="0"/>
    <s v="Mobile"/>
    <x v="6"/>
    <n v="2"/>
    <n v="79900"/>
    <n v="0.08"/>
    <x v="153"/>
    <n v="65000"/>
    <n v="17016"/>
    <n v="0.11574250421722805"/>
    <x v="3"/>
    <x v="2"/>
    <n v="2"/>
    <x v="0"/>
    <n v="3"/>
    <s v="Average"/>
    <x v="11"/>
    <s v="Q2"/>
    <x v="0"/>
    <s v="Wednesday"/>
    <s v="26-35"/>
    <x v="0"/>
    <s v="Medium"/>
    <s v="VIP"/>
  </r>
  <r>
    <x v="466"/>
    <x v="248"/>
    <d v="2026-09-09T00:00:00"/>
    <s v="CUST467"/>
    <x v="120"/>
    <s v="Male"/>
    <n v="30"/>
    <s v="Hyderabad"/>
    <x v="1"/>
    <x v="0"/>
    <s v="P101"/>
    <x v="7"/>
    <x v="0"/>
    <s v="Mobile"/>
    <x v="7"/>
    <n v="5"/>
    <n v="28500"/>
    <n v="0.15"/>
    <x v="48"/>
    <n v="22000"/>
    <n v="11125"/>
    <n v="9.1847265221878222E-2"/>
    <x v="4"/>
    <x v="2"/>
    <n v="4"/>
    <x v="0"/>
    <n v="4"/>
    <s v="Excellent"/>
    <x v="5"/>
    <s v="Q3"/>
    <x v="0"/>
    <s v="Saturday"/>
    <s v="26-35"/>
    <x v="0"/>
    <s v="Medium"/>
    <s v="VIP"/>
  </r>
  <r>
    <x v="467"/>
    <x v="229"/>
    <d v="2026-07-08T00:00:00"/>
    <s v="CUST468"/>
    <x v="58"/>
    <s v="Male"/>
    <n v="42"/>
    <s v="Ahmedabad"/>
    <x v="6"/>
    <x v="1"/>
    <s v="P103"/>
    <x v="0"/>
    <x v="0"/>
    <s v="Laptop"/>
    <x v="0"/>
    <n v="5"/>
    <n v="62000"/>
    <n v="0.2"/>
    <x v="66"/>
    <n v="52000"/>
    <n v="-12000"/>
    <n v="-4.8387096774193547E-2"/>
    <x v="4"/>
    <x v="1"/>
    <n v="5"/>
    <x v="0"/>
    <n v="2"/>
    <s v="Average"/>
    <x v="4"/>
    <s v="Q3"/>
    <x v="0"/>
    <s v="Friday"/>
    <s v="36-45"/>
    <x v="0"/>
    <s v="High"/>
    <s v="VIP"/>
  </r>
  <r>
    <x v="468"/>
    <x v="190"/>
    <d v="2026-01-19T00:00:00"/>
    <s v="CUST469"/>
    <x v="81"/>
    <s v="Male"/>
    <n v="20"/>
    <s v="Bengaluru"/>
    <x v="5"/>
    <x v="0"/>
    <s v="P105"/>
    <x v="3"/>
    <x v="0"/>
    <s v="Television"/>
    <x v="3"/>
    <n v="1"/>
    <n v="42000"/>
    <n v="0.2"/>
    <x v="14"/>
    <n v="35000"/>
    <n v="-1400"/>
    <n v="-4.1666666666666664E-2"/>
    <x v="0"/>
    <x v="1"/>
    <n v="3"/>
    <x v="1"/>
    <n v="3"/>
    <s v="Average"/>
    <x v="0"/>
    <s v="Q1"/>
    <x v="0"/>
    <s v="Friday"/>
    <s v="18-25"/>
    <x v="0"/>
    <s v="High"/>
    <s v="Silver"/>
  </r>
  <r>
    <x v="469"/>
    <x v="262"/>
    <d v="2026-02-13T00:00:00"/>
    <s v="CUST470"/>
    <x v="117"/>
    <s v="Male"/>
    <n v="42"/>
    <s v="Bengaluru"/>
    <x v="5"/>
    <x v="0"/>
    <s v="P105"/>
    <x v="3"/>
    <x v="0"/>
    <s v="Television"/>
    <x v="3"/>
    <n v="4"/>
    <n v="42000"/>
    <n v="0.15"/>
    <x v="101"/>
    <n v="35000"/>
    <n v="2800"/>
    <n v="1.9607843137254902E-2"/>
    <x v="4"/>
    <x v="2"/>
    <n v="5"/>
    <x v="0"/>
    <n v="4"/>
    <s v="Excellent"/>
    <x v="9"/>
    <s v="Q1"/>
    <x v="0"/>
    <s v="Sunday"/>
    <s v="36-45"/>
    <x v="0"/>
    <s v="Medium"/>
    <s v="VIP"/>
  </r>
  <r>
    <x v="470"/>
    <x v="61"/>
    <d v="2026-04-28T00:00:00"/>
    <s v="CUST471"/>
    <x v="61"/>
    <s v="Female"/>
    <n v="43"/>
    <s v="Chennai"/>
    <x v="0"/>
    <x v="0"/>
    <s v="P104"/>
    <x v="4"/>
    <x v="0"/>
    <s v="Laptop"/>
    <x v="4"/>
    <n v="1"/>
    <n v="58000"/>
    <n v="0.1"/>
    <x v="27"/>
    <n v="49000"/>
    <n v="3200"/>
    <n v="6.1302681992337162E-2"/>
    <x v="3"/>
    <x v="1"/>
    <n v="2"/>
    <x v="0"/>
    <n v="5"/>
    <s v="Excellent"/>
    <x v="3"/>
    <s v="Q2"/>
    <x v="0"/>
    <s v="Sunday"/>
    <s v="36-45"/>
    <x v="0"/>
    <s v="Medium"/>
    <s v="Gold"/>
  </r>
  <r>
    <x v="471"/>
    <x v="179"/>
    <d v="2026-11-24T00:00:00"/>
    <s v="CUST472"/>
    <x v="77"/>
    <s v="Male"/>
    <n v="47"/>
    <s v="Kolkata"/>
    <x v="3"/>
    <x v="2"/>
    <s v="P102"/>
    <x v="6"/>
    <x v="0"/>
    <s v="Mobile"/>
    <x v="6"/>
    <n v="2"/>
    <n v="79900"/>
    <n v="0.2"/>
    <x v="100"/>
    <n v="65000"/>
    <n v="-2160"/>
    <n v="-1.6896120150187734E-2"/>
    <x v="4"/>
    <x v="3"/>
    <n v="3"/>
    <x v="0"/>
    <n v="3"/>
    <s v="Average"/>
    <x v="2"/>
    <s v="Q4"/>
    <x v="0"/>
    <s v="Saturday"/>
    <s v="46+"/>
    <x v="0"/>
    <s v="High"/>
    <s v="VIP"/>
  </r>
  <r>
    <x v="472"/>
    <x v="120"/>
    <d v="2026-01-12T00:00:00"/>
    <s v="CUST473"/>
    <x v="177"/>
    <s v="Male"/>
    <n v="37"/>
    <s v="Kolkata"/>
    <x v="3"/>
    <x v="2"/>
    <s v="P105"/>
    <x v="3"/>
    <x v="0"/>
    <s v="Television"/>
    <x v="3"/>
    <n v="1"/>
    <n v="42000"/>
    <n v="0.08"/>
    <x v="209"/>
    <n v="35000"/>
    <n v="3640"/>
    <n v="9.420289855072464E-2"/>
    <x v="5"/>
    <x v="0"/>
    <n v="4"/>
    <x v="1"/>
    <n v="3"/>
    <s v="Average"/>
    <x v="0"/>
    <s v="Q1"/>
    <x v="0"/>
    <s v="Thursday"/>
    <s v="36-45"/>
    <x v="0"/>
    <s v="Medium"/>
    <s v="Silver"/>
  </r>
  <r>
    <x v="473"/>
    <x v="263"/>
    <d v="2026-04-12T00:00:00"/>
    <s v="CUST474"/>
    <x v="80"/>
    <s v="Female"/>
    <n v="25"/>
    <s v="Mumbai"/>
    <x v="2"/>
    <x v="1"/>
    <s v="P104"/>
    <x v="4"/>
    <x v="0"/>
    <s v="Laptop"/>
    <x v="4"/>
    <n v="3"/>
    <n v="58000"/>
    <n v="0.12"/>
    <x v="210"/>
    <n v="49000"/>
    <n v="6120"/>
    <n v="3.9968652037617555E-2"/>
    <x v="0"/>
    <x v="3"/>
    <n v="6"/>
    <x v="0"/>
    <n v="3"/>
    <s v="Average"/>
    <x v="3"/>
    <s v="Q2"/>
    <x v="0"/>
    <s v="Monday"/>
    <s v="18-25"/>
    <x v="0"/>
    <s v="Medium"/>
    <s v="VIP"/>
  </r>
  <r>
    <x v="474"/>
    <x v="62"/>
    <d v="2026-03-08T00:00:00"/>
    <s v="CUST475"/>
    <x v="22"/>
    <s v="Female"/>
    <n v="43"/>
    <s v="Kolkata"/>
    <x v="3"/>
    <x v="2"/>
    <s v="P103"/>
    <x v="0"/>
    <x v="0"/>
    <s v="Laptop"/>
    <x v="0"/>
    <n v="1"/>
    <n v="62000"/>
    <n v="0.2"/>
    <x v="211"/>
    <n v="52000"/>
    <n v="-2400"/>
    <n v="-4.8387096774193547E-2"/>
    <x v="4"/>
    <x v="0"/>
    <n v="5"/>
    <x v="1"/>
    <n v="4"/>
    <s v="Excellent"/>
    <x v="10"/>
    <s v="Q1"/>
    <x v="0"/>
    <s v="Tuesday"/>
    <s v="36-45"/>
    <x v="0"/>
    <s v="High"/>
    <s v="Gold"/>
  </r>
  <r>
    <x v="475"/>
    <x v="264"/>
    <d v="2026-12-18T00:00:00"/>
    <s v="CUST476"/>
    <x v="132"/>
    <s v="Female"/>
    <n v="29"/>
    <s v="Bengaluru"/>
    <x v="5"/>
    <x v="0"/>
    <s v="P104"/>
    <x v="4"/>
    <x v="0"/>
    <s v="Laptop"/>
    <x v="4"/>
    <n v="1"/>
    <n v="58000"/>
    <n v="0.08"/>
    <x v="184"/>
    <n v="49000"/>
    <n v="4360"/>
    <n v="8.1709145427286356E-2"/>
    <x v="0"/>
    <x v="3"/>
    <n v="2"/>
    <x v="0"/>
    <n v="2"/>
    <s v="Average"/>
    <x v="8"/>
    <s v="Q4"/>
    <x v="0"/>
    <s v="Wednesday"/>
    <s v="26-35"/>
    <x v="0"/>
    <s v="Medium"/>
    <s v="Gold"/>
  </r>
  <r>
    <x v="476"/>
    <x v="265"/>
    <d v="2026-12-19T00:00:00"/>
    <s v="CUST477"/>
    <x v="167"/>
    <s v="Female"/>
    <n v="33"/>
    <s v="Bengaluru"/>
    <x v="5"/>
    <x v="0"/>
    <s v="P104"/>
    <x v="4"/>
    <x v="0"/>
    <s v="Laptop"/>
    <x v="4"/>
    <n v="5"/>
    <n v="58000"/>
    <n v="0.2"/>
    <x v="12"/>
    <n v="49000"/>
    <n v="-13000"/>
    <n v="-5.6034482758620691E-2"/>
    <x v="4"/>
    <x v="0"/>
    <n v="6"/>
    <x v="0"/>
    <n v="3"/>
    <s v="Average"/>
    <x v="8"/>
    <s v="Q4"/>
    <x v="0"/>
    <s v="Sunday"/>
    <s v="26-35"/>
    <x v="0"/>
    <s v="High"/>
    <s v="VIP"/>
  </r>
  <r>
    <x v="477"/>
    <x v="229"/>
    <d v="2026-07-09T00:00:00"/>
    <s v="CUST478"/>
    <x v="178"/>
    <s v="Female"/>
    <n v="26"/>
    <s v="Chennai"/>
    <x v="0"/>
    <x v="0"/>
    <s v="P101"/>
    <x v="7"/>
    <x v="0"/>
    <s v="Mobile"/>
    <x v="7"/>
    <n v="5"/>
    <n v="28500"/>
    <n v="0.08"/>
    <x v="212"/>
    <n v="22000"/>
    <n v="21100"/>
    <n v="0.16094584286803967"/>
    <x v="1"/>
    <x v="2"/>
    <n v="6"/>
    <x v="0"/>
    <n v="5"/>
    <s v="Excellent"/>
    <x v="4"/>
    <s v="Q3"/>
    <x v="0"/>
    <s v="Friday"/>
    <s v="26-35"/>
    <x v="0"/>
    <s v="Medium"/>
    <s v="VIP"/>
  </r>
  <r>
    <x v="478"/>
    <x v="53"/>
    <d v="2026-06-30T00:00:00"/>
    <s v="CUST479"/>
    <x v="98"/>
    <s v="Female"/>
    <n v="22"/>
    <s v="Kolkata"/>
    <x v="3"/>
    <x v="2"/>
    <s v="P108"/>
    <x v="2"/>
    <x v="2"/>
    <s v="Mixer"/>
    <x v="2"/>
    <n v="4"/>
    <n v="3500"/>
    <n v="0.15"/>
    <x v="13"/>
    <n v="2500"/>
    <n v="1900"/>
    <n v="0.15966386554621848"/>
    <x v="3"/>
    <x v="1"/>
    <n v="2"/>
    <x v="1"/>
    <n v="4"/>
    <s v="Excellent"/>
    <x v="11"/>
    <s v="Q2"/>
    <x v="0"/>
    <s v="Sunday"/>
    <s v="18-25"/>
    <x v="1"/>
    <s v="Medium"/>
    <s v="Bronze"/>
  </r>
  <r>
    <x v="479"/>
    <x v="266"/>
    <d v="2026-03-24T00:00:00"/>
    <s v="CUST480"/>
    <x v="168"/>
    <s v="Male"/>
    <n v="40"/>
    <s v="Ahmedabad"/>
    <x v="6"/>
    <x v="1"/>
    <s v="P103"/>
    <x v="0"/>
    <x v="0"/>
    <s v="Laptop"/>
    <x v="0"/>
    <n v="5"/>
    <n v="62000"/>
    <n v="0.08"/>
    <x v="147"/>
    <n v="52000"/>
    <n v="25200"/>
    <n v="8.8359046283309955E-2"/>
    <x v="4"/>
    <x v="0"/>
    <n v="3"/>
    <x v="0"/>
    <n v="4"/>
    <s v="Excellent"/>
    <x v="10"/>
    <s v="Q1"/>
    <x v="0"/>
    <s v="Saturday"/>
    <s v="36-45"/>
    <x v="0"/>
    <s v="Medium"/>
    <s v="VIP"/>
  </r>
  <r>
    <x v="480"/>
    <x v="42"/>
    <d v="2026-11-21T00:00:00"/>
    <s v="CUST481"/>
    <x v="122"/>
    <s v="Female"/>
    <n v="25"/>
    <s v="Kolkata"/>
    <x v="3"/>
    <x v="2"/>
    <s v="P105"/>
    <x v="3"/>
    <x v="0"/>
    <s v="Television"/>
    <x v="3"/>
    <n v="1"/>
    <n v="42000"/>
    <n v="0.2"/>
    <x v="14"/>
    <n v="35000"/>
    <n v="-1400"/>
    <n v="-4.1666666666666664E-2"/>
    <x v="0"/>
    <x v="1"/>
    <n v="3"/>
    <x v="1"/>
    <n v="2"/>
    <s v="Average"/>
    <x v="2"/>
    <s v="Q4"/>
    <x v="0"/>
    <s v="Wednesday"/>
    <s v="18-25"/>
    <x v="0"/>
    <s v="High"/>
    <s v="Silver"/>
  </r>
  <r>
    <x v="481"/>
    <x v="103"/>
    <d v="2026-09-09T00:00:00"/>
    <s v="CUST482"/>
    <x v="84"/>
    <s v="Male"/>
    <n v="26"/>
    <s v="Kolkata"/>
    <x v="3"/>
    <x v="2"/>
    <s v="P108"/>
    <x v="2"/>
    <x v="2"/>
    <s v="Mixer"/>
    <x v="2"/>
    <n v="5"/>
    <n v="3500"/>
    <n v="0.2"/>
    <x v="140"/>
    <n v="2500"/>
    <n v="1500"/>
    <n v="0.10714285714285714"/>
    <x v="3"/>
    <x v="3"/>
    <n v="3"/>
    <x v="1"/>
    <n v="4"/>
    <s v="Excellent"/>
    <x v="5"/>
    <s v="Q3"/>
    <x v="0"/>
    <s v="Sunday"/>
    <s v="26-35"/>
    <x v="1"/>
    <s v="High"/>
    <s v="Bronze"/>
  </r>
  <r>
    <x v="482"/>
    <x v="16"/>
    <d v="2026-03-31T00:00:00"/>
    <s v="CUST483"/>
    <x v="164"/>
    <s v="Female"/>
    <n v="48"/>
    <s v="Hyderabad"/>
    <x v="1"/>
    <x v="0"/>
    <s v="P104"/>
    <x v="4"/>
    <x v="0"/>
    <s v="Laptop"/>
    <x v="4"/>
    <n v="5"/>
    <n v="58000"/>
    <n v="0.2"/>
    <x v="12"/>
    <n v="49000"/>
    <n v="-13000"/>
    <n v="-5.6034482758620691E-2"/>
    <x v="4"/>
    <x v="2"/>
    <n v="2"/>
    <x v="0"/>
    <n v="4"/>
    <s v="Excellent"/>
    <x v="10"/>
    <s v="Q1"/>
    <x v="0"/>
    <s v="Sunday"/>
    <s v="46+"/>
    <x v="0"/>
    <s v="High"/>
    <s v="VIP"/>
  </r>
  <r>
    <x v="483"/>
    <x v="267"/>
    <d v="2026-05-31T00:00:00"/>
    <s v="CUST484"/>
    <x v="181"/>
    <s v="Female"/>
    <n v="44"/>
    <s v="Kolkata"/>
    <x v="3"/>
    <x v="2"/>
    <s v="P102"/>
    <x v="6"/>
    <x v="0"/>
    <s v="Mobile"/>
    <x v="6"/>
    <n v="1"/>
    <n v="79900"/>
    <n v="0.15"/>
    <x v="170"/>
    <n v="65000"/>
    <n v="2915"/>
    <n v="4.292129868217625E-2"/>
    <x v="5"/>
    <x v="0"/>
    <n v="5"/>
    <x v="0"/>
    <n v="5"/>
    <s v="Excellent"/>
    <x v="7"/>
    <s v="Q2"/>
    <x v="0"/>
    <s v="Tuesday"/>
    <s v="36-45"/>
    <x v="0"/>
    <s v="Medium"/>
    <s v="Gold"/>
  </r>
  <r>
    <x v="484"/>
    <x v="268"/>
    <d v="2026-08-15T00:00:00"/>
    <s v="CUST485"/>
    <x v="3"/>
    <s v="Female"/>
    <n v="23"/>
    <s v="Surat"/>
    <x v="6"/>
    <x v="1"/>
    <s v="P102"/>
    <x v="6"/>
    <x v="0"/>
    <s v="Mobile"/>
    <x v="6"/>
    <n v="5"/>
    <n v="79900"/>
    <n v="0.05"/>
    <x v="127"/>
    <n v="65000"/>
    <n v="54525"/>
    <n v="0.14366642513668401"/>
    <x v="2"/>
    <x v="1"/>
    <n v="2"/>
    <x v="0"/>
    <n v="5"/>
    <s v="Excellent"/>
    <x v="6"/>
    <s v="Q3"/>
    <x v="0"/>
    <s v="Thursday"/>
    <s v="18-25"/>
    <x v="0"/>
    <s v="Low"/>
    <s v="VIP"/>
  </r>
  <r>
    <x v="485"/>
    <x v="236"/>
    <d v="2026-11-25T00:00:00"/>
    <s v="CUST486"/>
    <x v="27"/>
    <s v="Female"/>
    <n v="23"/>
    <s v="Mumbai"/>
    <x v="2"/>
    <x v="1"/>
    <s v="P104"/>
    <x v="4"/>
    <x v="0"/>
    <s v="Laptop"/>
    <x v="4"/>
    <n v="2"/>
    <n v="58000"/>
    <n v="0.08"/>
    <x v="32"/>
    <n v="49000"/>
    <n v="8720"/>
    <n v="8.1709145427286356E-2"/>
    <x v="1"/>
    <x v="3"/>
    <n v="6"/>
    <x v="0"/>
    <n v="5"/>
    <s v="Excellent"/>
    <x v="2"/>
    <s v="Q4"/>
    <x v="0"/>
    <s v="Thursday"/>
    <s v="18-25"/>
    <x v="0"/>
    <s v="Medium"/>
    <s v="VIP"/>
  </r>
  <r>
    <x v="486"/>
    <x v="179"/>
    <d v="2026-11-26T00:00:00"/>
    <s v="CUST487"/>
    <x v="113"/>
    <s v="Female"/>
    <n v="37"/>
    <s v="Kolkata"/>
    <x v="3"/>
    <x v="2"/>
    <s v="P102"/>
    <x v="6"/>
    <x v="0"/>
    <s v="Mobile"/>
    <x v="6"/>
    <n v="4"/>
    <n v="79900"/>
    <n v="0.2"/>
    <x v="154"/>
    <n v="65000"/>
    <n v="-4320"/>
    <n v="-1.6896120150187734E-2"/>
    <x v="3"/>
    <x v="1"/>
    <n v="5"/>
    <x v="0"/>
    <n v="2"/>
    <s v="Average"/>
    <x v="2"/>
    <s v="Q4"/>
    <x v="0"/>
    <s v="Saturday"/>
    <s v="36-45"/>
    <x v="0"/>
    <s v="High"/>
    <s v="VIP"/>
  </r>
  <r>
    <x v="487"/>
    <x v="162"/>
    <d v="2026-08-21T00:00:00"/>
    <s v="CUST488"/>
    <x v="182"/>
    <s v="Female"/>
    <n v="44"/>
    <s v="Ahmedabad"/>
    <x v="6"/>
    <x v="1"/>
    <s v="P104"/>
    <x v="4"/>
    <x v="0"/>
    <s v="Laptop"/>
    <x v="4"/>
    <n v="2"/>
    <n v="58000"/>
    <n v="0.2"/>
    <x v="45"/>
    <n v="49000"/>
    <n v="-5200"/>
    <n v="-5.6034482758620691E-2"/>
    <x v="0"/>
    <x v="2"/>
    <n v="3"/>
    <x v="0"/>
    <n v="2"/>
    <s v="Average"/>
    <x v="6"/>
    <s v="Q3"/>
    <x v="0"/>
    <s v="Tuesday"/>
    <s v="36-45"/>
    <x v="0"/>
    <s v="High"/>
    <s v="VIP"/>
  </r>
  <r>
    <x v="488"/>
    <x v="139"/>
    <d v="2026-08-23T00:00:00"/>
    <s v="CUST489"/>
    <x v="24"/>
    <s v="Male"/>
    <n v="27"/>
    <s v="Surat"/>
    <x v="6"/>
    <x v="1"/>
    <s v="P102"/>
    <x v="6"/>
    <x v="0"/>
    <s v="Mobile"/>
    <x v="6"/>
    <n v="1"/>
    <n v="79900"/>
    <n v="0.12"/>
    <x v="76"/>
    <n v="65000"/>
    <n v="5312"/>
    <n v="7.5548981681647517E-2"/>
    <x v="4"/>
    <x v="0"/>
    <n v="4"/>
    <x v="0"/>
    <n v="5"/>
    <s v="Excellent"/>
    <x v="6"/>
    <s v="Q3"/>
    <x v="0"/>
    <s v="Wednesday"/>
    <s v="26-35"/>
    <x v="0"/>
    <s v="Medium"/>
    <s v="Gold"/>
  </r>
  <r>
    <x v="489"/>
    <x v="269"/>
    <d v="2026-12-23T00:00:00"/>
    <s v="CUST490"/>
    <x v="53"/>
    <s v="Female"/>
    <n v="42"/>
    <s v="Delhi"/>
    <x v="4"/>
    <x v="3"/>
    <s v="P107"/>
    <x v="1"/>
    <x v="1"/>
    <s v="Shoes"/>
    <x v="1"/>
    <n v="1"/>
    <n v="4500"/>
    <n v="0.15"/>
    <x v="166"/>
    <n v="3000"/>
    <n v="825"/>
    <n v="0.21568627450980393"/>
    <x v="1"/>
    <x v="1"/>
    <n v="5"/>
    <x v="1"/>
    <n v="5"/>
    <s v="Excellent"/>
    <x v="8"/>
    <s v="Q4"/>
    <x v="0"/>
    <s v="Friday"/>
    <s v="36-45"/>
    <x v="2"/>
    <s v="Medium"/>
    <s v="Bronze"/>
  </r>
  <r>
    <x v="490"/>
    <x v="29"/>
    <d v="2026-09-29T00:00:00"/>
    <s v="CUST491"/>
    <x v="121"/>
    <s v="Male"/>
    <n v="33"/>
    <s v="Surat"/>
    <x v="6"/>
    <x v="1"/>
    <s v="P102"/>
    <x v="6"/>
    <x v="0"/>
    <s v="Mobile"/>
    <x v="6"/>
    <n v="2"/>
    <n v="79900"/>
    <n v="0.12"/>
    <x v="141"/>
    <n v="65000"/>
    <n v="10624"/>
    <n v="7.5548981681647517E-2"/>
    <x v="3"/>
    <x v="2"/>
    <n v="5"/>
    <x v="0"/>
    <n v="3"/>
    <s v="Average"/>
    <x v="5"/>
    <s v="Q3"/>
    <x v="0"/>
    <s v="Thursday"/>
    <s v="26-35"/>
    <x v="0"/>
    <s v="Medium"/>
    <s v="VIP"/>
  </r>
  <r>
    <x v="491"/>
    <x v="122"/>
    <d v="2026-05-09T00:00:00"/>
    <s v="CUST492"/>
    <x v="33"/>
    <s v="Male"/>
    <n v="38"/>
    <s v="Delhi"/>
    <x v="4"/>
    <x v="3"/>
    <s v="P104"/>
    <x v="4"/>
    <x v="0"/>
    <s v="Laptop"/>
    <x v="4"/>
    <n v="4"/>
    <n v="58000"/>
    <n v="0.1"/>
    <x v="105"/>
    <n v="49000"/>
    <n v="12800"/>
    <n v="6.1302681992337162E-2"/>
    <x v="1"/>
    <x v="2"/>
    <n v="5"/>
    <x v="0"/>
    <n v="5"/>
    <s v="Excellent"/>
    <x v="7"/>
    <s v="Q2"/>
    <x v="0"/>
    <s v="Monday"/>
    <s v="36-45"/>
    <x v="0"/>
    <s v="Medium"/>
    <s v="VIP"/>
  </r>
  <r>
    <x v="492"/>
    <x v="152"/>
    <d v="2026-09-26T00:00:00"/>
    <s v="CUST493"/>
    <x v="72"/>
    <s v="Female"/>
    <n v="29"/>
    <s v="Chennai"/>
    <x v="0"/>
    <x v="0"/>
    <s v="P104"/>
    <x v="4"/>
    <x v="0"/>
    <s v="Laptop"/>
    <x v="4"/>
    <n v="2"/>
    <n v="58000"/>
    <n v="0.05"/>
    <x v="213"/>
    <n v="49000"/>
    <n v="12200"/>
    <n v="0.11070780399274047"/>
    <x v="1"/>
    <x v="0"/>
    <n v="6"/>
    <x v="0"/>
    <n v="3"/>
    <s v="Average"/>
    <x v="5"/>
    <s v="Q3"/>
    <x v="0"/>
    <s v="Sunday"/>
    <s v="26-35"/>
    <x v="0"/>
    <s v="Low"/>
    <s v="VIP"/>
  </r>
  <r>
    <x v="493"/>
    <x v="259"/>
    <d v="2026-11-03T00:00:00"/>
    <s v="CUST494"/>
    <x v="67"/>
    <s v="Male"/>
    <n v="33"/>
    <s v="Kolkata"/>
    <x v="3"/>
    <x v="2"/>
    <s v="P104"/>
    <x v="4"/>
    <x v="0"/>
    <s v="Laptop"/>
    <x v="4"/>
    <n v="4"/>
    <n v="58000"/>
    <n v="0.2"/>
    <x v="201"/>
    <n v="49000"/>
    <n v="-10400"/>
    <n v="-5.6034482758620691E-2"/>
    <x v="0"/>
    <x v="3"/>
    <n v="6"/>
    <x v="0"/>
    <n v="5"/>
    <s v="Excellent"/>
    <x v="1"/>
    <s v="Q4"/>
    <x v="0"/>
    <s v="Wednesday"/>
    <s v="26-35"/>
    <x v="0"/>
    <s v="High"/>
    <s v="VIP"/>
  </r>
  <r>
    <x v="494"/>
    <x v="270"/>
    <d v="2026-07-29T00:00:00"/>
    <s v="CUST495"/>
    <x v="10"/>
    <s v="Male"/>
    <n v="47"/>
    <s v="Hyderabad"/>
    <x v="1"/>
    <x v="0"/>
    <s v="P103"/>
    <x v="0"/>
    <x v="0"/>
    <s v="Laptop"/>
    <x v="0"/>
    <n v="5"/>
    <n v="62000"/>
    <n v="0.1"/>
    <x v="214"/>
    <n v="52000"/>
    <n v="19000"/>
    <n v="6.8100358422939072E-2"/>
    <x v="2"/>
    <x v="3"/>
    <n v="4"/>
    <x v="0"/>
    <n v="2"/>
    <s v="Average"/>
    <x v="4"/>
    <s v="Q3"/>
    <x v="0"/>
    <s v="Saturday"/>
    <s v="46+"/>
    <x v="0"/>
    <s v="Medium"/>
    <s v="VIP"/>
  </r>
  <r>
    <x v="495"/>
    <x v="140"/>
    <d v="2026-01-28T00:00:00"/>
    <s v="CUST496"/>
    <x v="51"/>
    <s v="Male"/>
    <n v="48"/>
    <s v="Kolkata"/>
    <x v="3"/>
    <x v="2"/>
    <s v="P101"/>
    <x v="7"/>
    <x v="0"/>
    <s v="Mobile"/>
    <x v="7"/>
    <n v="4"/>
    <n v="28500"/>
    <n v="0.12"/>
    <x v="115"/>
    <n v="22000"/>
    <n v="12320"/>
    <n v="0.12280701754385964"/>
    <x v="5"/>
    <x v="1"/>
    <n v="5"/>
    <x v="0"/>
    <n v="2"/>
    <s v="Average"/>
    <x v="0"/>
    <s v="Q1"/>
    <x v="0"/>
    <s v="Friday"/>
    <s v="46+"/>
    <x v="0"/>
    <s v="Medium"/>
    <s v="VIP"/>
  </r>
  <r>
    <x v="496"/>
    <x v="213"/>
    <d v="2026-12-29T00:00:00"/>
    <s v="CUST497"/>
    <x v="86"/>
    <s v="Male"/>
    <n v="24"/>
    <s v="Kolkata"/>
    <x v="3"/>
    <x v="2"/>
    <s v="P101"/>
    <x v="7"/>
    <x v="0"/>
    <s v="Mobile"/>
    <x v="7"/>
    <n v="4"/>
    <n v="28500"/>
    <n v="0.05"/>
    <x v="159"/>
    <n v="22000"/>
    <n v="20300"/>
    <n v="0.18744228993536471"/>
    <x v="0"/>
    <x v="3"/>
    <n v="6"/>
    <x v="0"/>
    <n v="2"/>
    <s v="Average"/>
    <x v="8"/>
    <s v="Q4"/>
    <x v="0"/>
    <s v="Wednesday"/>
    <s v="18-25"/>
    <x v="0"/>
    <s v="Low"/>
    <s v="VIP"/>
  </r>
  <r>
    <x v="497"/>
    <x v="94"/>
    <d v="2026-03-31T00:00:00"/>
    <s v="CUST498"/>
    <x v="5"/>
    <s v="Male"/>
    <n v="20"/>
    <s v="Ahmedabad"/>
    <x v="6"/>
    <x v="1"/>
    <s v="P103"/>
    <x v="0"/>
    <x v="0"/>
    <s v="Laptop"/>
    <x v="0"/>
    <n v="2"/>
    <n v="62000"/>
    <n v="0.15"/>
    <x v="7"/>
    <n v="52000"/>
    <n v="1400"/>
    <n v="1.3282732447817837E-2"/>
    <x v="4"/>
    <x v="0"/>
    <n v="5"/>
    <x v="0"/>
    <n v="2"/>
    <s v="Average"/>
    <x v="10"/>
    <s v="Q1"/>
    <x v="0"/>
    <s v="Thursday"/>
    <s v="18-25"/>
    <x v="0"/>
    <s v="Medium"/>
    <s v="VIP"/>
  </r>
  <r>
    <x v="498"/>
    <x v="41"/>
    <d v="2026-01-05T00:00:00"/>
    <s v="CUST499"/>
    <x v="50"/>
    <s v="Female"/>
    <n v="32"/>
    <s v="Hyderabad"/>
    <x v="1"/>
    <x v="0"/>
    <s v="P103"/>
    <x v="0"/>
    <x v="0"/>
    <s v="Laptop"/>
    <x v="0"/>
    <n v="1"/>
    <n v="62000"/>
    <n v="0.15"/>
    <x v="180"/>
    <n v="52000"/>
    <n v="700"/>
    <n v="1.3282732447817837E-2"/>
    <x v="1"/>
    <x v="2"/>
    <n v="4"/>
    <x v="0"/>
    <n v="3"/>
    <s v="Average"/>
    <x v="0"/>
    <s v="Q1"/>
    <x v="0"/>
    <s v="Thursday"/>
    <s v="26-35"/>
    <x v="0"/>
    <s v="Medium"/>
    <s v="Gold"/>
  </r>
  <r>
    <x v="499"/>
    <x v="229"/>
    <d v="2026-07-09T00:00:00"/>
    <s v="CUST500"/>
    <x v="23"/>
    <s v="Male"/>
    <n v="44"/>
    <s v="Ahmedabad"/>
    <x v="6"/>
    <x v="1"/>
    <s v="P101"/>
    <x v="7"/>
    <x v="0"/>
    <s v="Mobile"/>
    <x v="7"/>
    <n v="4"/>
    <n v="28500"/>
    <n v="0.2"/>
    <x v="81"/>
    <n v="22000"/>
    <n v="3200"/>
    <n v="3.5087719298245612E-2"/>
    <x v="1"/>
    <x v="2"/>
    <n v="6"/>
    <x v="0"/>
    <n v="3"/>
    <s v="Average"/>
    <x v="4"/>
    <s v="Q3"/>
    <x v="0"/>
    <s v="Friday"/>
    <s v="36-45"/>
    <x v="0"/>
    <s v="High"/>
    <s v="VIP"/>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F88B53-48A8-4214-83B3-DEF1D8649C39}" name="PivotTable16"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Q16:R22" firstHeaderRow="1" firstDataRow="1" firstDataCol="1"/>
  <pivotFields count="36">
    <pivotField showAll="0"/>
    <pivotField numFmtId="14" showAll="0">
      <items count="272">
        <item x="41"/>
        <item x="101"/>
        <item x="107"/>
        <item x="67"/>
        <item x="120"/>
        <item x="115"/>
        <item x="129"/>
        <item x="181"/>
        <item x="105"/>
        <item x="70"/>
        <item x="214"/>
        <item x="215"/>
        <item x="190"/>
        <item x="108"/>
        <item x="48"/>
        <item x="148"/>
        <item x="170"/>
        <item x="140"/>
        <item x="39"/>
        <item x="188"/>
        <item x="121"/>
        <item x="173"/>
        <item x="0"/>
        <item x="224"/>
        <item x="176"/>
        <item x="177"/>
        <item x="151"/>
        <item x="143"/>
        <item x="32"/>
        <item x="262"/>
        <item x="74"/>
        <item x="149"/>
        <item x="246"/>
        <item x="54"/>
        <item x="131"/>
        <item x="93"/>
        <item x="44"/>
        <item x="144"/>
        <item x="250"/>
        <item x="19"/>
        <item x="164"/>
        <item x="247"/>
        <item x="134"/>
        <item x="209"/>
        <item x="13"/>
        <item x="22"/>
        <item x="17"/>
        <item x="62"/>
        <item x="124"/>
        <item x="146"/>
        <item x="21"/>
        <item x="159"/>
        <item x="212"/>
        <item x="133"/>
        <item x="15"/>
        <item x="225"/>
        <item x="46"/>
        <item x="239"/>
        <item x="266"/>
        <item x="204"/>
        <item x="51"/>
        <item x="136"/>
        <item x="94"/>
        <item x="185"/>
        <item x="50"/>
        <item x="16"/>
        <item x="249"/>
        <item x="57"/>
        <item x="83"/>
        <item x="174"/>
        <item x="172"/>
        <item x="263"/>
        <item x="72"/>
        <item x="28"/>
        <item x="132"/>
        <item x="123"/>
        <item x="49"/>
        <item x="34"/>
        <item x="202"/>
        <item x="255"/>
        <item x="238"/>
        <item x="230"/>
        <item x="56"/>
        <item x="4"/>
        <item x="61"/>
        <item x="95"/>
        <item x="116"/>
        <item x="122"/>
        <item x="11"/>
        <item x="178"/>
        <item x="243"/>
        <item x="155"/>
        <item x="208"/>
        <item x="85"/>
        <item x="125"/>
        <item x="9"/>
        <item x="128"/>
        <item x="217"/>
        <item x="104"/>
        <item x="201"/>
        <item x="117"/>
        <item x="175"/>
        <item x="119"/>
        <item x="192"/>
        <item x="267"/>
        <item x="75"/>
        <item x="69"/>
        <item x="184"/>
        <item x="191"/>
        <item x="187"/>
        <item x="166"/>
        <item x="127"/>
        <item x="97"/>
        <item x="232"/>
        <item x="90"/>
        <item x="145"/>
        <item x="261"/>
        <item x="38"/>
        <item x="226"/>
        <item x="186"/>
        <item x="30"/>
        <item x="258"/>
        <item x="142"/>
        <item x="37"/>
        <item x="220"/>
        <item x="53"/>
        <item x="31"/>
        <item x="60"/>
        <item x="206"/>
        <item x="229"/>
        <item x="5"/>
        <item x="189"/>
        <item x="197"/>
        <item x="84"/>
        <item x="203"/>
        <item x="64"/>
        <item x="111"/>
        <item x="112"/>
        <item x="196"/>
        <item x="118"/>
        <item x="234"/>
        <item x="193"/>
        <item x="35"/>
        <item x="221"/>
        <item x="251"/>
        <item x="96"/>
        <item x="270"/>
        <item x="110"/>
        <item x="40"/>
        <item x="253"/>
        <item x="79"/>
        <item x="222"/>
        <item x="254"/>
        <item x="138"/>
        <item x="99"/>
        <item x="207"/>
        <item x="92"/>
        <item x="47"/>
        <item x="20"/>
        <item x="165"/>
        <item x="268"/>
        <item x="235"/>
        <item x="8"/>
        <item x="162"/>
        <item x="139"/>
        <item x="23"/>
        <item x="91"/>
        <item x="163"/>
        <item x="63"/>
        <item x="33"/>
        <item x="210"/>
        <item x="82"/>
        <item x="98"/>
        <item x="106"/>
        <item x="25"/>
        <item x="52"/>
        <item x="248"/>
        <item x="103"/>
        <item x="14"/>
        <item x="161"/>
        <item x="216"/>
        <item x="154"/>
        <item x="100"/>
        <item x="86"/>
        <item x="102"/>
        <item x="260"/>
        <item x="223"/>
        <item x="109"/>
        <item x="150"/>
        <item x="257"/>
        <item x="152"/>
        <item x="77"/>
        <item x="58"/>
        <item x="7"/>
        <item x="29"/>
        <item x="66"/>
        <item x="242"/>
        <item x="73"/>
        <item x="10"/>
        <item x="183"/>
        <item x="227"/>
        <item x="205"/>
        <item x="171"/>
        <item x="158"/>
        <item x="244"/>
        <item x="89"/>
        <item x="76"/>
        <item x="153"/>
        <item x="160"/>
        <item x="233"/>
        <item x="1"/>
        <item x="256"/>
        <item x="252"/>
        <item x="24"/>
        <item x="18"/>
        <item x="126"/>
        <item x="88"/>
        <item x="130"/>
        <item x="195"/>
        <item x="114"/>
        <item x="87"/>
        <item x="2"/>
        <item x="6"/>
        <item x="259"/>
        <item x="157"/>
        <item x="194"/>
        <item x="45"/>
        <item x="156"/>
        <item x="169"/>
        <item x="241"/>
        <item x="237"/>
        <item x="198"/>
        <item x="167"/>
        <item x="78"/>
        <item x="55"/>
        <item x="211"/>
        <item x="42"/>
        <item x="236"/>
        <item x="71"/>
        <item x="179"/>
        <item x="231"/>
        <item x="26"/>
        <item x="3"/>
        <item x="219"/>
        <item x="228"/>
        <item x="182"/>
        <item x="135"/>
        <item x="141"/>
        <item x="81"/>
        <item x="59"/>
        <item x="80"/>
        <item x="199"/>
        <item x="12"/>
        <item x="245"/>
        <item x="137"/>
        <item x="240"/>
        <item x="200"/>
        <item x="65"/>
        <item x="265"/>
        <item x="43"/>
        <item x="264"/>
        <item x="168"/>
        <item x="269"/>
        <item x="27"/>
        <item x="213"/>
        <item x="180"/>
        <item x="113"/>
        <item x="147"/>
        <item x="36"/>
        <item x="68"/>
        <item x="218"/>
        <item t="default"/>
      </items>
    </pivotField>
    <pivotField numFmtId="14" showAll="0"/>
    <pivotField showAll="0"/>
    <pivotField showAll="0"/>
    <pivotField showAll="0"/>
    <pivotField showAll="0"/>
    <pivotField showAll="0"/>
    <pivotField showAll="0"/>
    <pivotField showAll="0">
      <items count="5">
        <item x="2"/>
        <item x="3"/>
        <item x="0"/>
        <item x="1"/>
        <item t="default"/>
      </items>
    </pivotField>
    <pivotField showAll="0"/>
    <pivotField axis="axisRow" showAll="0" measureFilter="1">
      <items count="9">
        <item x="5"/>
        <item x="4"/>
        <item x="0"/>
        <item x="6"/>
        <item x="3"/>
        <item x="1"/>
        <item x="2"/>
        <item x="7"/>
        <item t="default"/>
      </items>
    </pivotField>
    <pivotField showAll="0">
      <items count="4">
        <item x="0"/>
        <item x="1"/>
        <item x="2"/>
        <item t="default"/>
      </items>
    </pivotField>
    <pivotField showAll="0"/>
    <pivotField showAll="0">
      <items count="9">
        <item x="6"/>
        <item x="5"/>
        <item x="4"/>
        <item x="0"/>
        <item x="3"/>
        <item x="1"/>
        <item x="2"/>
        <item x="7"/>
        <item t="default"/>
      </items>
    </pivotField>
    <pivotField showAll="0"/>
    <pivotField numFmtId="164" showAll="0"/>
    <pivotField numFmtId="10" showAll="0"/>
    <pivotField dataField="1" numFmtId="44" showAll="0"/>
    <pivotField numFmtId="44" showAll="0"/>
    <pivotField numFmtId="164" showAll="0"/>
    <pivotField numFmtId="10" showAll="0"/>
    <pivotField showAll="0">
      <items count="7">
        <item x="5"/>
        <item x="4"/>
        <item x="2"/>
        <item x="1"/>
        <item x="0"/>
        <item x="3"/>
        <item t="default"/>
      </items>
    </pivotField>
    <pivotField showAll="0">
      <items count="5">
        <item x="0"/>
        <item x="1"/>
        <item x="3"/>
        <item x="2"/>
        <item t="default"/>
      </items>
    </pivotField>
    <pivotField showAll="0"/>
    <pivotField showAll="0">
      <items count="3">
        <item x="0"/>
        <item x="1"/>
        <item t="default"/>
      </items>
    </pivotField>
    <pivotField showAll="0"/>
    <pivotField showAll="0"/>
    <pivotField showAll="0"/>
    <pivotField showAll="0"/>
    <pivotField showAll="0">
      <items count="2">
        <item x="0"/>
        <item t="default"/>
      </items>
    </pivotField>
    <pivotField showAll="0"/>
    <pivotField showAll="0"/>
    <pivotField showAll="0"/>
    <pivotField showAll="0"/>
    <pivotField showAll="0"/>
  </pivotFields>
  <rowFields count="1">
    <field x="11"/>
  </rowFields>
  <rowItems count="6">
    <i>
      <x v="1"/>
    </i>
    <i>
      <x v="2"/>
    </i>
    <i>
      <x v="3"/>
    </i>
    <i>
      <x v="4"/>
    </i>
    <i>
      <x v="7"/>
    </i>
    <i t="grand">
      <x/>
    </i>
  </rowItems>
  <colItems count="1">
    <i/>
  </colItems>
  <dataFields count="1">
    <dataField name="Sum of Sales Amount" fld="18" baseField="0" baseItem="0" numFmtId="44"/>
  </dataFields>
  <chartFormats count="2">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A47754-3578-4D28-BA9D-4BE4C1C14ED6}" name="PivotTable15"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N20:O33" firstHeaderRow="1" firstDataRow="1" firstDataCol="1"/>
  <pivotFields count="36">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4" showAll="0">
      <items count="272">
        <item x="41"/>
        <item x="101"/>
        <item x="107"/>
        <item x="67"/>
        <item x="120"/>
        <item x="115"/>
        <item x="129"/>
        <item x="181"/>
        <item x="105"/>
        <item x="70"/>
        <item x="214"/>
        <item x="215"/>
        <item x="190"/>
        <item x="108"/>
        <item x="48"/>
        <item x="148"/>
        <item x="170"/>
        <item x="140"/>
        <item x="39"/>
        <item x="188"/>
        <item x="121"/>
        <item x="173"/>
        <item x="0"/>
        <item x="224"/>
        <item x="176"/>
        <item x="177"/>
        <item x="151"/>
        <item x="143"/>
        <item x="32"/>
        <item x="262"/>
        <item x="74"/>
        <item x="149"/>
        <item x="246"/>
        <item x="54"/>
        <item x="131"/>
        <item x="93"/>
        <item x="44"/>
        <item x="144"/>
        <item x="250"/>
        <item x="19"/>
        <item x="164"/>
        <item x="247"/>
        <item x="134"/>
        <item x="209"/>
        <item x="13"/>
        <item x="22"/>
        <item x="17"/>
        <item x="62"/>
        <item x="124"/>
        <item x="146"/>
        <item x="21"/>
        <item x="159"/>
        <item x="212"/>
        <item x="133"/>
        <item x="15"/>
        <item x="225"/>
        <item x="46"/>
        <item x="239"/>
        <item x="266"/>
        <item x="204"/>
        <item x="51"/>
        <item x="136"/>
        <item x="94"/>
        <item x="185"/>
        <item x="50"/>
        <item x="16"/>
        <item x="249"/>
        <item x="57"/>
        <item x="83"/>
        <item x="174"/>
        <item x="172"/>
        <item x="263"/>
        <item x="72"/>
        <item x="28"/>
        <item x="132"/>
        <item x="123"/>
        <item x="49"/>
        <item x="34"/>
        <item x="202"/>
        <item x="255"/>
        <item x="238"/>
        <item x="230"/>
        <item x="56"/>
        <item x="4"/>
        <item x="61"/>
        <item x="95"/>
        <item x="116"/>
        <item x="122"/>
        <item x="11"/>
        <item x="178"/>
        <item x="243"/>
        <item x="155"/>
        <item x="208"/>
        <item x="85"/>
        <item x="125"/>
        <item x="9"/>
        <item x="128"/>
        <item x="217"/>
        <item x="104"/>
        <item x="201"/>
        <item x="117"/>
        <item x="175"/>
        <item x="119"/>
        <item x="192"/>
        <item x="267"/>
        <item x="75"/>
        <item x="69"/>
        <item x="184"/>
        <item x="191"/>
        <item x="187"/>
        <item x="166"/>
        <item x="127"/>
        <item x="97"/>
        <item x="232"/>
        <item x="90"/>
        <item x="145"/>
        <item x="261"/>
        <item x="38"/>
        <item x="226"/>
        <item x="186"/>
        <item x="30"/>
        <item x="258"/>
        <item x="142"/>
        <item x="37"/>
        <item x="220"/>
        <item x="53"/>
        <item x="31"/>
        <item x="60"/>
        <item x="206"/>
        <item x="229"/>
        <item x="5"/>
        <item x="189"/>
        <item x="197"/>
        <item x="84"/>
        <item x="203"/>
        <item x="64"/>
        <item x="111"/>
        <item x="112"/>
        <item x="196"/>
        <item x="118"/>
        <item x="234"/>
        <item x="193"/>
        <item x="35"/>
        <item x="221"/>
        <item x="251"/>
        <item x="96"/>
        <item x="270"/>
        <item x="110"/>
        <item x="40"/>
        <item x="253"/>
        <item x="79"/>
        <item x="222"/>
        <item x="254"/>
        <item x="138"/>
        <item x="99"/>
        <item x="207"/>
        <item x="92"/>
        <item x="47"/>
        <item x="20"/>
        <item x="165"/>
        <item x="268"/>
        <item x="235"/>
        <item x="8"/>
        <item x="162"/>
        <item x="139"/>
        <item x="23"/>
        <item x="91"/>
        <item x="163"/>
        <item x="63"/>
        <item x="33"/>
        <item x="210"/>
        <item x="82"/>
        <item x="98"/>
        <item x="106"/>
        <item x="25"/>
        <item x="52"/>
        <item x="248"/>
        <item x="103"/>
        <item x="14"/>
        <item x="161"/>
        <item x="216"/>
        <item x="154"/>
        <item x="100"/>
        <item x="86"/>
        <item x="102"/>
        <item x="260"/>
        <item x="223"/>
        <item x="109"/>
        <item x="150"/>
        <item x="257"/>
        <item x="152"/>
        <item x="77"/>
        <item x="58"/>
        <item x="7"/>
        <item x="29"/>
        <item x="66"/>
        <item x="242"/>
        <item x="73"/>
        <item x="10"/>
        <item x="183"/>
        <item x="227"/>
        <item x="205"/>
        <item x="171"/>
        <item x="158"/>
        <item x="244"/>
        <item x="89"/>
        <item x="76"/>
        <item x="153"/>
        <item x="160"/>
        <item x="233"/>
        <item x="1"/>
        <item x="256"/>
        <item x="252"/>
        <item x="24"/>
        <item x="18"/>
        <item x="126"/>
        <item x="88"/>
        <item x="130"/>
        <item x="195"/>
        <item x="114"/>
        <item x="87"/>
        <item x="2"/>
        <item x="6"/>
        <item x="259"/>
        <item x="157"/>
        <item x="194"/>
        <item x="45"/>
        <item x="156"/>
        <item x="169"/>
        <item x="241"/>
        <item x="237"/>
        <item x="198"/>
        <item x="167"/>
        <item x="78"/>
        <item x="55"/>
        <item x="211"/>
        <item x="42"/>
        <item x="236"/>
        <item x="71"/>
        <item x="179"/>
        <item x="231"/>
        <item x="26"/>
        <item x="3"/>
        <item x="219"/>
        <item x="228"/>
        <item x="182"/>
        <item x="135"/>
        <item x="141"/>
        <item x="81"/>
        <item x="59"/>
        <item x="80"/>
        <item x="199"/>
        <item x="12"/>
        <item x="245"/>
        <item x="137"/>
        <item x="240"/>
        <item x="200"/>
        <item x="65"/>
        <item x="265"/>
        <item x="43"/>
        <item x="264"/>
        <item x="168"/>
        <item x="269"/>
        <item x="27"/>
        <item x="213"/>
        <item x="180"/>
        <item x="113"/>
        <item x="147"/>
        <item x="36"/>
        <item x="68"/>
        <item x="218"/>
        <item t="default"/>
      </items>
    </pivotField>
    <pivotField numFmtId="14"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9">
        <item x="6"/>
        <item x="5"/>
        <item x="4"/>
        <item x="0"/>
        <item x="3"/>
        <item x="1"/>
        <item x="2"/>
        <item x="7"/>
        <item t="default"/>
      </items>
    </pivotField>
    <pivotField showAll="0"/>
    <pivotField numFmtId="164" showAll="0"/>
    <pivotField numFmtId="10" showAll="0"/>
    <pivotField numFmtId="44" showAll="0"/>
    <pivotField numFmtId="44" showAll="0"/>
    <pivotField numFmtId="164" showAll="0"/>
    <pivotField numFmtId="10" showAll="0"/>
    <pivotField showAll="0">
      <items count="7">
        <item x="5"/>
        <item x="4"/>
        <item x="2"/>
        <item x="1"/>
        <item x="0"/>
        <item x="3"/>
        <item t="default"/>
      </items>
    </pivotField>
    <pivotField showAll="0">
      <items count="5">
        <item x="0"/>
        <item x="1"/>
        <item x="3"/>
        <item x="2"/>
        <item t="default"/>
      </items>
    </pivotField>
    <pivotField showAll="0"/>
    <pivotField showAll="0">
      <items count="3">
        <item x="0"/>
        <item x="1"/>
        <item t="default"/>
      </items>
    </pivotField>
    <pivotField showAll="0"/>
    <pivotField showAll="0"/>
    <pivotField axis="axisRow" showAll="0">
      <items count="13">
        <item x="0"/>
        <item x="9"/>
        <item x="10"/>
        <item x="3"/>
        <item x="7"/>
        <item x="11"/>
        <item x="4"/>
        <item x="6"/>
        <item x="5"/>
        <item x="1"/>
        <item x="2"/>
        <item x="8"/>
        <item t="default"/>
      </items>
    </pivotField>
    <pivotField showAll="0"/>
    <pivotField showAll="0">
      <items count="2">
        <item x="0"/>
        <item t="default"/>
      </items>
    </pivotField>
    <pivotField showAll="0"/>
    <pivotField showAll="0"/>
    <pivotField showAll="0">
      <items count="4">
        <item x="0"/>
        <item x="1"/>
        <item x="2"/>
        <item t="default"/>
      </items>
    </pivotField>
    <pivotField showAll="0"/>
    <pivotField showAll="0"/>
  </pivotFields>
  <rowFields count="1">
    <field x="28"/>
  </rowFields>
  <rowItems count="13">
    <i>
      <x/>
    </i>
    <i>
      <x v="1"/>
    </i>
    <i>
      <x v="2"/>
    </i>
    <i>
      <x v="3"/>
    </i>
    <i>
      <x v="4"/>
    </i>
    <i>
      <x v="5"/>
    </i>
    <i>
      <x v="6"/>
    </i>
    <i>
      <x v="7"/>
    </i>
    <i>
      <x v="8"/>
    </i>
    <i>
      <x v="9"/>
    </i>
    <i>
      <x v="10"/>
    </i>
    <i>
      <x v="11"/>
    </i>
    <i t="grand">
      <x/>
    </i>
  </rowItems>
  <colItems count="1">
    <i/>
  </colItems>
  <dataFields count="1">
    <dataField name="Count of Order ID" fld="0" subtotal="count" baseField="0" baseItem="0"/>
  </dataFields>
  <chartFormats count="2">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79963F-693A-4966-8134-13D3FA3AC7D6}" name="PivotTable14"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K20:L25" firstHeaderRow="1" firstDataRow="1" firstDataCol="1"/>
  <pivotFields count="36">
    <pivotField showAll="0"/>
    <pivotField numFmtId="14" showAll="0">
      <items count="272">
        <item x="41"/>
        <item x="101"/>
        <item x="107"/>
        <item x="67"/>
        <item x="120"/>
        <item x="115"/>
        <item x="129"/>
        <item x="181"/>
        <item x="105"/>
        <item x="70"/>
        <item x="214"/>
        <item x="215"/>
        <item x="190"/>
        <item x="108"/>
        <item x="48"/>
        <item x="148"/>
        <item x="170"/>
        <item x="140"/>
        <item x="39"/>
        <item x="188"/>
        <item x="121"/>
        <item x="173"/>
        <item x="0"/>
        <item x="224"/>
        <item x="176"/>
        <item x="177"/>
        <item x="151"/>
        <item x="143"/>
        <item x="32"/>
        <item x="262"/>
        <item x="74"/>
        <item x="149"/>
        <item x="246"/>
        <item x="54"/>
        <item x="131"/>
        <item x="93"/>
        <item x="44"/>
        <item x="144"/>
        <item x="250"/>
        <item x="19"/>
        <item x="164"/>
        <item x="247"/>
        <item x="134"/>
        <item x="209"/>
        <item x="13"/>
        <item x="22"/>
        <item x="17"/>
        <item x="62"/>
        <item x="124"/>
        <item x="146"/>
        <item x="21"/>
        <item x="159"/>
        <item x="212"/>
        <item x="133"/>
        <item x="15"/>
        <item x="225"/>
        <item x="46"/>
        <item x="239"/>
        <item x="266"/>
        <item x="204"/>
        <item x="51"/>
        <item x="136"/>
        <item x="94"/>
        <item x="185"/>
        <item x="50"/>
        <item x="16"/>
        <item x="249"/>
        <item x="57"/>
        <item x="83"/>
        <item x="174"/>
        <item x="172"/>
        <item x="263"/>
        <item x="72"/>
        <item x="28"/>
        <item x="132"/>
        <item x="123"/>
        <item x="49"/>
        <item x="34"/>
        <item x="202"/>
        <item x="255"/>
        <item x="238"/>
        <item x="230"/>
        <item x="56"/>
        <item x="4"/>
        <item x="61"/>
        <item x="95"/>
        <item x="116"/>
        <item x="122"/>
        <item x="11"/>
        <item x="178"/>
        <item x="243"/>
        <item x="155"/>
        <item x="208"/>
        <item x="85"/>
        <item x="125"/>
        <item x="9"/>
        <item x="128"/>
        <item x="217"/>
        <item x="104"/>
        <item x="201"/>
        <item x="117"/>
        <item x="175"/>
        <item x="119"/>
        <item x="192"/>
        <item x="267"/>
        <item x="75"/>
        <item x="69"/>
        <item x="184"/>
        <item x="191"/>
        <item x="187"/>
        <item x="166"/>
        <item x="127"/>
        <item x="97"/>
        <item x="232"/>
        <item x="90"/>
        <item x="145"/>
        <item x="261"/>
        <item x="38"/>
        <item x="226"/>
        <item x="186"/>
        <item x="30"/>
        <item x="258"/>
        <item x="142"/>
        <item x="37"/>
        <item x="220"/>
        <item x="53"/>
        <item x="31"/>
        <item x="60"/>
        <item x="206"/>
        <item x="229"/>
        <item x="5"/>
        <item x="189"/>
        <item x="197"/>
        <item x="84"/>
        <item x="203"/>
        <item x="64"/>
        <item x="111"/>
        <item x="112"/>
        <item x="196"/>
        <item x="118"/>
        <item x="234"/>
        <item x="193"/>
        <item x="35"/>
        <item x="221"/>
        <item x="251"/>
        <item x="96"/>
        <item x="270"/>
        <item x="110"/>
        <item x="40"/>
        <item x="253"/>
        <item x="79"/>
        <item x="222"/>
        <item x="254"/>
        <item x="138"/>
        <item x="99"/>
        <item x="207"/>
        <item x="92"/>
        <item x="47"/>
        <item x="20"/>
        <item x="165"/>
        <item x="268"/>
        <item x="235"/>
        <item x="8"/>
        <item x="162"/>
        <item x="139"/>
        <item x="23"/>
        <item x="91"/>
        <item x="163"/>
        <item x="63"/>
        <item x="33"/>
        <item x="210"/>
        <item x="82"/>
        <item x="98"/>
        <item x="106"/>
        <item x="25"/>
        <item x="52"/>
        <item x="248"/>
        <item x="103"/>
        <item x="14"/>
        <item x="161"/>
        <item x="216"/>
        <item x="154"/>
        <item x="100"/>
        <item x="86"/>
        <item x="102"/>
        <item x="260"/>
        <item x="223"/>
        <item x="109"/>
        <item x="150"/>
        <item x="257"/>
        <item x="152"/>
        <item x="77"/>
        <item x="58"/>
        <item x="7"/>
        <item x="29"/>
        <item x="66"/>
        <item x="242"/>
        <item x="73"/>
        <item x="10"/>
        <item x="183"/>
        <item x="227"/>
        <item x="205"/>
        <item x="171"/>
        <item x="158"/>
        <item x="244"/>
        <item x="89"/>
        <item x="76"/>
        <item x="153"/>
        <item x="160"/>
        <item x="233"/>
        <item x="1"/>
        <item x="256"/>
        <item x="252"/>
        <item x="24"/>
        <item x="18"/>
        <item x="126"/>
        <item x="88"/>
        <item x="130"/>
        <item x="195"/>
        <item x="114"/>
        <item x="87"/>
        <item x="2"/>
        <item x="6"/>
        <item x="259"/>
        <item x="157"/>
        <item x="194"/>
        <item x="45"/>
        <item x="156"/>
        <item x="169"/>
        <item x="241"/>
        <item x="237"/>
        <item x="198"/>
        <item x="167"/>
        <item x="78"/>
        <item x="55"/>
        <item x="211"/>
        <item x="42"/>
        <item x="236"/>
        <item x="71"/>
        <item x="179"/>
        <item x="231"/>
        <item x="26"/>
        <item x="3"/>
        <item x="219"/>
        <item x="228"/>
        <item x="182"/>
        <item x="135"/>
        <item x="141"/>
        <item x="81"/>
        <item x="59"/>
        <item x="80"/>
        <item x="199"/>
        <item x="12"/>
        <item x="245"/>
        <item x="137"/>
        <item x="240"/>
        <item x="200"/>
        <item x="65"/>
        <item x="265"/>
        <item x="43"/>
        <item x="264"/>
        <item x="168"/>
        <item x="269"/>
        <item x="27"/>
        <item x="213"/>
        <item x="180"/>
        <item x="113"/>
        <item x="147"/>
        <item x="36"/>
        <item x="68"/>
        <item x="218"/>
        <item t="default"/>
      </items>
    </pivotField>
    <pivotField numFmtId="14"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items count="9">
        <item x="6"/>
        <item x="5"/>
        <item x="4"/>
        <item x="0"/>
        <item x="3"/>
        <item x="1"/>
        <item x="2"/>
        <item x="7"/>
        <item t="default"/>
      </items>
    </pivotField>
    <pivotField showAll="0"/>
    <pivotField numFmtId="164" showAll="0"/>
    <pivotField numFmtId="10" showAll="0"/>
    <pivotField numFmtId="44" showAll="0"/>
    <pivotField numFmtId="44" showAll="0"/>
    <pivotField dataField="1" numFmtId="164" showAll="0"/>
    <pivotField numFmtId="10" showAll="0"/>
    <pivotField showAll="0">
      <items count="7">
        <item x="5"/>
        <item x="4"/>
        <item x="2"/>
        <item x="1"/>
        <item x="0"/>
        <item x="3"/>
        <item t="default"/>
      </items>
    </pivotField>
    <pivotField showAll="0">
      <items count="5">
        <item x="0"/>
        <item x="1"/>
        <item x="3"/>
        <item x="2"/>
        <item t="default"/>
      </items>
    </pivotField>
    <pivotField showAll="0"/>
    <pivotField showAll="0">
      <items count="3">
        <item x="0"/>
        <item x="1"/>
        <item t="default"/>
      </items>
    </pivotField>
    <pivotField showAll="0"/>
    <pivotField showAll="0"/>
    <pivotField showAll="0"/>
    <pivotField showAll="0"/>
    <pivotField showAll="0">
      <items count="2">
        <item x="0"/>
        <item t="default"/>
      </items>
    </pivotField>
    <pivotField showAll="0"/>
    <pivotField showAll="0"/>
    <pivotField showAll="0"/>
    <pivotField showAll="0"/>
    <pivotField showAll="0"/>
  </pivotFields>
  <rowFields count="1">
    <field x="9"/>
  </rowFields>
  <rowItems count="5">
    <i>
      <x/>
    </i>
    <i>
      <x v="1"/>
    </i>
    <i>
      <x v="2"/>
    </i>
    <i>
      <x v="3"/>
    </i>
    <i t="grand">
      <x/>
    </i>
  </rowItems>
  <colItems count="1">
    <i/>
  </colItems>
  <dataFields count="1">
    <dataField name="Sum of Profit" fld="20" baseField="0" baseItem="0" numFmtId="164"/>
  </dataFields>
  <chartFormats count="2">
    <chartFormat chart="8" format="4"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4391AB-F6AD-45F0-8C8E-985227CF41B2}" name="PivotTable13"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H20:I24" firstHeaderRow="1" firstDataRow="1" firstDataCol="1"/>
  <pivotFields count="36">
    <pivotField showAll="0"/>
    <pivotField numFmtId="14" showAll="0">
      <items count="272">
        <item x="41"/>
        <item x="101"/>
        <item x="107"/>
        <item x="67"/>
        <item x="120"/>
        <item x="115"/>
        <item x="129"/>
        <item x="181"/>
        <item x="105"/>
        <item x="70"/>
        <item x="214"/>
        <item x="215"/>
        <item x="190"/>
        <item x="108"/>
        <item x="48"/>
        <item x="148"/>
        <item x="170"/>
        <item x="140"/>
        <item x="39"/>
        <item x="188"/>
        <item x="121"/>
        <item x="173"/>
        <item x="0"/>
        <item x="224"/>
        <item x="176"/>
        <item x="177"/>
        <item x="151"/>
        <item x="143"/>
        <item x="32"/>
        <item x="262"/>
        <item x="74"/>
        <item x="149"/>
        <item x="246"/>
        <item x="54"/>
        <item x="131"/>
        <item x="93"/>
        <item x="44"/>
        <item x="144"/>
        <item x="250"/>
        <item x="19"/>
        <item x="164"/>
        <item x="247"/>
        <item x="134"/>
        <item x="209"/>
        <item x="13"/>
        <item x="22"/>
        <item x="17"/>
        <item x="62"/>
        <item x="124"/>
        <item x="146"/>
        <item x="21"/>
        <item x="159"/>
        <item x="212"/>
        <item x="133"/>
        <item x="15"/>
        <item x="225"/>
        <item x="46"/>
        <item x="239"/>
        <item x="266"/>
        <item x="204"/>
        <item x="51"/>
        <item x="136"/>
        <item x="94"/>
        <item x="185"/>
        <item x="50"/>
        <item x="16"/>
        <item x="249"/>
        <item x="57"/>
        <item x="83"/>
        <item x="174"/>
        <item x="172"/>
        <item x="263"/>
        <item x="72"/>
        <item x="28"/>
        <item x="132"/>
        <item x="123"/>
        <item x="49"/>
        <item x="34"/>
        <item x="202"/>
        <item x="255"/>
        <item x="238"/>
        <item x="230"/>
        <item x="56"/>
        <item x="4"/>
        <item x="61"/>
        <item x="95"/>
        <item x="116"/>
        <item x="122"/>
        <item x="11"/>
        <item x="178"/>
        <item x="243"/>
        <item x="155"/>
        <item x="208"/>
        <item x="85"/>
        <item x="125"/>
        <item x="9"/>
        <item x="128"/>
        <item x="217"/>
        <item x="104"/>
        <item x="201"/>
        <item x="117"/>
        <item x="175"/>
        <item x="119"/>
        <item x="192"/>
        <item x="267"/>
        <item x="75"/>
        <item x="69"/>
        <item x="184"/>
        <item x="191"/>
        <item x="187"/>
        <item x="166"/>
        <item x="127"/>
        <item x="97"/>
        <item x="232"/>
        <item x="90"/>
        <item x="145"/>
        <item x="261"/>
        <item x="38"/>
        <item x="226"/>
        <item x="186"/>
        <item x="30"/>
        <item x="258"/>
        <item x="142"/>
        <item x="37"/>
        <item x="220"/>
        <item x="53"/>
        <item x="31"/>
        <item x="60"/>
        <item x="206"/>
        <item x="229"/>
        <item x="5"/>
        <item x="189"/>
        <item x="197"/>
        <item x="84"/>
        <item x="203"/>
        <item x="64"/>
        <item x="111"/>
        <item x="112"/>
        <item x="196"/>
        <item x="118"/>
        <item x="234"/>
        <item x="193"/>
        <item x="35"/>
        <item x="221"/>
        <item x="251"/>
        <item x="96"/>
        <item x="270"/>
        <item x="110"/>
        <item x="40"/>
        <item x="253"/>
        <item x="79"/>
        <item x="222"/>
        <item x="254"/>
        <item x="138"/>
        <item x="99"/>
        <item x="207"/>
        <item x="92"/>
        <item x="47"/>
        <item x="20"/>
        <item x="165"/>
        <item x="268"/>
        <item x="235"/>
        <item x="8"/>
        <item x="162"/>
        <item x="139"/>
        <item x="23"/>
        <item x="91"/>
        <item x="163"/>
        <item x="63"/>
        <item x="33"/>
        <item x="210"/>
        <item x="82"/>
        <item x="98"/>
        <item x="106"/>
        <item x="25"/>
        <item x="52"/>
        <item x="248"/>
        <item x="103"/>
        <item x="14"/>
        <item x="161"/>
        <item x="216"/>
        <item x="154"/>
        <item x="100"/>
        <item x="86"/>
        <item x="102"/>
        <item x="260"/>
        <item x="223"/>
        <item x="109"/>
        <item x="150"/>
        <item x="257"/>
        <item x="152"/>
        <item x="77"/>
        <item x="58"/>
        <item x="7"/>
        <item x="29"/>
        <item x="66"/>
        <item x="242"/>
        <item x="73"/>
        <item x="10"/>
        <item x="183"/>
        <item x="227"/>
        <item x="205"/>
        <item x="171"/>
        <item x="158"/>
        <item x="244"/>
        <item x="89"/>
        <item x="76"/>
        <item x="153"/>
        <item x="160"/>
        <item x="233"/>
        <item x="1"/>
        <item x="256"/>
        <item x="252"/>
        <item x="24"/>
        <item x="18"/>
        <item x="126"/>
        <item x="88"/>
        <item x="130"/>
        <item x="195"/>
        <item x="114"/>
        <item x="87"/>
        <item x="2"/>
        <item x="6"/>
        <item x="259"/>
        <item x="157"/>
        <item x="194"/>
        <item x="45"/>
        <item x="156"/>
        <item x="169"/>
        <item x="241"/>
        <item x="237"/>
        <item x="198"/>
        <item x="167"/>
        <item x="78"/>
        <item x="55"/>
        <item x="211"/>
        <item x="42"/>
        <item x="236"/>
        <item x="71"/>
        <item x="179"/>
        <item x="231"/>
        <item x="26"/>
        <item x="3"/>
        <item x="219"/>
        <item x="228"/>
        <item x="182"/>
        <item x="135"/>
        <item x="141"/>
        <item x="81"/>
        <item x="59"/>
        <item x="80"/>
        <item x="199"/>
        <item x="12"/>
        <item x="245"/>
        <item x="137"/>
        <item x="240"/>
        <item x="200"/>
        <item x="65"/>
        <item x="265"/>
        <item x="43"/>
        <item x="264"/>
        <item x="168"/>
        <item x="269"/>
        <item x="27"/>
        <item x="213"/>
        <item x="180"/>
        <item x="113"/>
        <item x="147"/>
        <item x="36"/>
        <item x="68"/>
        <item x="218"/>
        <item t="default"/>
      </items>
    </pivotField>
    <pivotField numFmtId="14" showAll="0"/>
    <pivotField showAll="0"/>
    <pivotField showAll="0"/>
    <pivotField showAll="0"/>
    <pivotField showAll="0"/>
    <pivotField showAll="0"/>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9">
        <item x="6"/>
        <item x="5"/>
        <item x="4"/>
        <item x="0"/>
        <item x="3"/>
        <item x="1"/>
        <item x="2"/>
        <item x="7"/>
        <item t="default"/>
      </items>
    </pivotField>
    <pivotField dataField="1" showAll="0"/>
    <pivotField numFmtId="164" showAll="0"/>
    <pivotField numFmtId="10" showAll="0"/>
    <pivotField numFmtId="44" showAll="0"/>
    <pivotField numFmtId="44" showAll="0"/>
    <pivotField numFmtId="164" showAll="0"/>
    <pivotField numFmtId="10" showAll="0"/>
    <pivotField showAll="0">
      <items count="7">
        <item x="5"/>
        <item x="4"/>
        <item x="2"/>
        <item x="1"/>
        <item x="0"/>
        <item x="3"/>
        <item t="default"/>
      </items>
    </pivotField>
    <pivotField showAll="0">
      <items count="5">
        <item x="0"/>
        <item x="1"/>
        <item x="3"/>
        <item x="2"/>
        <item t="default"/>
      </items>
    </pivotField>
    <pivotField showAll="0"/>
    <pivotField showAll="0">
      <items count="3">
        <item x="0"/>
        <item x="1"/>
        <item t="default"/>
      </items>
    </pivotField>
    <pivotField showAll="0"/>
    <pivotField showAll="0"/>
    <pivotField showAll="0"/>
    <pivotField showAll="0"/>
    <pivotField showAll="0">
      <items count="2">
        <item x="0"/>
        <item t="default"/>
      </items>
    </pivotField>
    <pivotField showAll="0"/>
    <pivotField showAll="0"/>
    <pivotField showAll="0"/>
    <pivotField showAll="0"/>
    <pivotField showAll="0"/>
  </pivotFields>
  <rowFields count="1">
    <field x="12"/>
  </rowFields>
  <rowItems count="4">
    <i>
      <x/>
    </i>
    <i>
      <x v="1"/>
    </i>
    <i>
      <x v="2"/>
    </i>
    <i t="grand">
      <x/>
    </i>
  </rowItems>
  <colItems count="1">
    <i/>
  </colItems>
  <dataFields count="1">
    <dataField name="Sum of Qty" fld="15" baseField="0" baseItem="0"/>
  </dataFields>
  <chartFormats count="2">
    <chartFormat chart="8" format="4"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E643AA-A333-4CF2-80B7-8664EEFB64C6}" name="PivotTable12"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E20:F29" firstHeaderRow="1" firstDataRow="1" firstDataCol="1"/>
  <pivotFields count="36">
    <pivotField showAll="0"/>
    <pivotField numFmtId="14" showAll="0">
      <items count="272">
        <item x="41"/>
        <item x="101"/>
        <item x="107"/>
        <item x="67"/>
        <item x="120"/>
        <item x="115"/>
        <item x="129"/>
        <item x="181"/>
        <item x="105"/>
        <item x="70"/>
        <item x="214"/>
        <item x="215"/>
        <item x="190"/>
        <item x="108"/>
        <item x="48"/>
        <item x="148"/>
        <item x="170"/>
        <item x="140"/>
        <item x="39"/>
        <item x="188"/>
        <item x="121"/>
        <item x="173"/>
        <item x="0"/>
        <item x="224"/>
        <item x="176"/>
        <item x="177"/>
        <item x="151"/>
        <item x="143"/>
        <item x="32"/>
        <item x="262"/>
        <item x="74"/>
        <item x="149"/>
        <item x="246"/>
        <item x="54"/>
        <item x="131"/>
        <item x="93"/>
        <item x="44"/>
        <item x="144"/>
        <item x="250"/>
        <item x="19"/>
        <item x="164"/>
        <item x="247"/>
        <item x="134"/>
        <item x="209"/>
        <item x="13"/>
        <item x="22"/>
        <item x="17"/>
        <item x="62"/>
        <item x="124"/>
        <item x="146"/>
        <item x="21"/>
        <item x="159"/>
        <item x="212"/>
        <item x="133"/>
        <item x="15"/>
        <item x="225"/>
        <item x="46"/>
        <item x="239"/>
        <item x="266"/>
        <item x="204"/>
        <item x="51"/>
        <item x="136"/>
        <item x="94"/>
        <item x="185"/>
        <item x="50"/>
        <item x="16"/>
        <item x="249"/>
        <item x="57"/>
        <item x="83"/>
        <item x="174"/>
        <item x="172"/>
        <item x="263"/>
        <item x="72"/>
        <item x="28"/>
        <item x="132"/>
        <item x="123"/>
        <item x="49"/>
        <item x="34"/>
        <item x="202"/>
        <item x="255"/>
        <item x="238"/>
        <item x="230"/>
        <item x="56"/>
        <item x="4"/>
        <item x="61"/>
        <item x="95"/>
        <item x="116"/>
        <item x="122"/>
        <item x="11"/>
        <item x="178"/>
        <item x="243"/>
        <item x="155"/>
        <item x="208"/>
        <item x="85"/>
        <item x="125"/>
        <item x="9"/>
        <item x="128"/>
        <item x="217"/>
        <item x="104"/>
        <item x="201"/>
        <item x="117"/>
        <item x="175"/>
        <item x="119"/>
        <item x="192"/>
        <item x="267"/>
        <item x="75"/>
        <item x="69"/>
        <item x="184"/>
        <item x="191"/>
        <item x="187"/>
        <item x="166"/>
        <item x="127"/>
        <item x="97"/>
        <item x="232"/>
        <item x="90"/>
        <item x="145"/>
        <item x="261"/>
        <item x="38"/>
        <item x="226"/>
        <item x="186"/>
        <item x="30"/>
        <item x="258"/>
        <item x="142"/>
        <item x="37"/>
        <item x="220"/>
        <item x="53"/>
        <item x="31"/>
        <item x="60"/>
        <item x="206"/>
        <item x="229"/>
        <item x="5"/>
        <item x="189"/>
        <item x="197"/>
        <item x="84"/>
        <item x="203"/>
        <item x="64"/>
        <item x="111"/>
        <item x="112"/>
        <item x="196"/>
        <item x="118"/>
        <item x="234"/>
        <item x="193"/>
        <item x="35"/>
        <item x="221"/>
        <item x="251"/>
        <item x="96"/>
        <item x="270"/>
        <item x="110"/>
        <item x="40"/>
        <item x="253"/>
        <item x="79"/>
        <item x="222"/>
        <item x="254"/>
        <item x="138"/>
        <item x="99"/>
        <item x="207"/>
        <item x="92"/>
        <item x="47"/>
        <item x="20"/>
        <item x="165"/>
        <item x="268"/>
        <item x="235"/>
        <item x="8"/>
        <item x="162"/>
        <item x="139"/>
        <item x="23"/>
        <item x="91"/>
        <item x="163"/>
        <item x="63"/>
        <item x="33"/>
        <item x="210"/>
        <item x="82"/>
        <item x="98"/>
        <item x="106"/>
        <item x="25"/>
        <item x="52"/>
        <item x="248"/>
        <item x="103"/>
        <item x="14"/>
        <item x="161"/>
        <item x="216"/>
        <item x="154"/>
        <item x="100"/>
        <item x="86"/>
        <item x="102"/>
        <item x="260"/>
        <item x="223"/>
        <item x="109"/>
        <item x="150"/>
        <item x="257"/>
        <item x="152"/>
        <item x="77"/>
        <item x="58"/>
        <item x="7"/>
        <item x="29"/>
        <item x="66"/>
        <item x="242"/>
        <item x="73"/>
        <item x="10"/>
        <item x="183"/>
        <item x="227"/>
        <item x="205"/>
        <item x="171"/>
        <item x="158"/>
        <item x="244"/>
        <item x="89"/>
        <item x="76"/>
        <item x="153"/>
        <item x="160"/>
        <item x="233"/>
        <item x="1"/>
        <item x="256"/>
        <item x="252"/>
        <item x="24"/>
        <item x="18"/>
        <item x="126"/>
        <item x="88"/>
        <item x="130"/>
        <item x="195"/>
        <item x="114"/>
        <item x="87"/>
        <item x="2"/>
        <item x="6"/>
        <item x="259"/>
        <item x="157"/>
        <item x="194"/>
        <item x="45"/>
        <item x="156"/>
        <item x="169"/>
        <item x="241"/>
        <item x="237"/>
        <item x="198"/>
        <item x="167"/>
        <item x="78"/>
        <item x="55"/>
        <item x="211"/>
        <item x="42"/>
        <item x="236"/>
        <item x="71"/>
        <item x="179"/>
        <item x="231"/>
        <item x="26"/>
        <item x="3"/>
        <item x="219"/>
        <item x="228"/>
        <item x="182"/>
        <item x="135"/>
        <item x="141"/>
        <item x="81"/>
        <item x="59"/>
        <item x="80"/>
        <item x="199"/>
        <item x="12"/>
        <item x="245"/>
        <item x="137"/>
        <item x="240"/>
        <item x="200"/>
        <item x="65"/>
        <item x="265"/>
        <item x="43"/>
        <item x="264"/>
        <item x="168"/>
        <item x="269"/>
        <item x="27"/>
        <item x="213"/>
        <item x="180"/>
        <item x="113"/>
        <item x="147"/>
        <item x="36"/>
        <item x="68"/>
        <item x="218"/>
        <item t="default"/>
      </items>
    </pivotField>
    <pivotField numFmtId="14"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axis="axisRow" showAll="0">
      <items count="9">
        <item x="6"/>
        <item x="5"/>
        <item x="4"/>
        <item x="0"/>
        <item x="3"/>
        <item x="1"/>
        <item x="2"/>
        <item x="7"/>
        <item t="default"/>
      </items>
    </pivotField>
    <pivotField showAll="0"/>
    <pivotField numFmtId="164" showAll="0"/>
    <pivotField numFmtId="10" showAll="0"/>
    <pivotField numFmtId="44" showAll="0"/>
    <pivotField numFmtId="44" showAll="0"/>
    <pivotField numFmtId="164" showAll="0"/>
    <pivotField numFmtId="10" showAll="0"/>
    <pivotField showAll="0">
      <items count="7">
        <item x="5"/>
        <item x="4"/>
        <item x="2"/>
        <item x="1"/>
        <item x="0"/>
        <item x="3"/>
        <item t="default"/>
      </items>
    </pivotField>
    <pivotField showAll="0">
      <items count="5">
        <item x="0"/>
        <item x="1"/>
        <item x="3"/>
        <item x="2"/>
        <item t="default"/>
      </items>
    </pivotField>
    <pivotField showAll="0"/>
    <pivotField showAll="0">
      <items count="3">
        <item x="0"/>
        <item x="1"/>
        <item t="default"/>
      </items>
    </pivotField>
    <pivotField dataField="1" showAll="0"/>
    <pivotField showAll="0"/>
    <pivotField showAll="0"/>
    <pivotField showAll="0"/>
    <pivotField showAll="0">
      <items count="2">
        <item x="0"/>
        <item t="default"/>
      </items>
    </pivotField>
    <pivotField showAll="0"/>
    <pivotField showAll="0"/>
    <pivotField showAll="0"/>
    <pivotField showAll="0"/>
    <pivotField showAll="0"/>
  </pivotFields>
  <rowFields count="1">
    <field x="14"/>
  </rowFields>
  <rowItems count="9">
    <i>
      <x/>
    </i>
    <i>
      <x v="1"/>
    </i>
    <i>
      <x v="2"/>
    </i>
    <i>
      <x v="3"/>
    </i>
    <i>
      <x v="4"/>
    </i>
    <i>
      <x v="5"/>
    </i>
    <i>
      <x v="6"/>
    </i>
    <i>
      <x v="7"/>
    </i>
    <i t="grand">
      <x/>
    </i>
  </rowItems>
  <colItems count="1">
    <i/>
  </colItems>
  <dataFields count="1">
    <dataField name="Average of Rating" fld="26" subtotal="average" baseField="14" baseItem="0" numFmtId="2"/>
  </dataFields>
  <chartFormats count="2">
    <chartFormat chart="8" format="4"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ECFF5A-B562-4C71-B582-C6507E48C6D3}" name="PivotTable11"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B20:C25" firstHeaderRow="1" firstDataRow="1" firstDataCol="1"/>
  <pivotFields count="36">
    <pivotField showAll="0"/>
    <pivotField numFmtId="14" showAll="0">
      <items count="272">
        <item x="41"/>
        <item x="101"/>
        <item x="107"/>
        <item x="67"/>
        <item x="120"/>
        <item x="115"/>
        <item x="129"/>
        <item x="181"/>
        <item x="105"/>
        <item x="70"/>
        <item x="214"/>
        <item x="215"/>
        <item x="190"/>
        <item x="108"/>
        <item x="48"/>
        <item x="148"/>
        <item x="170"/>
        <item x="140"/>
        <item x="39"/>
        <item x="188"/>
        <item x="121"/>
        <item x="173"/>
        <item x="0"/>
        <item x="224"/>
        <item x="176"/>
        <item x="177"/>
        <item x="151"/>
        <item x="143"/>
        <item x="32"/>
        <item x="262"/>
        <item x="74"/>
        <item x="149"/>
        <item x="246"/>
        <item x="54"/>
        <item x="131"/>
        <item x="93"/>
        <item x="44"/>
        <item x="144"/>
        <item x="250"/>
        <item x="19"/>
        <item x="164"/>
        <item x="247"/>
        <item x="134"/>
        <item x="209"/>
        <item x="13"/>
        <item x="22"/>
        <item x="17"/>
        <item x="62"/>
        <item x="124"/>
        <item x="146"/>
        <item x="21"/>
        <item x="159"/>
        <item x="212"/>
        <item x="133"/>
        <item x="15"/>
        <item x="225"/>
        <item x="46"/>
        <item x="239"/>
        <item x="266"/>
        <item x="204"/>
        <item x="51"/>
        <item x="136"/>
        <item x="94"/>
        <item x="185"/>
        <item x="50"/>
        <item x="16"/>
        <item x="249"/>
        <item x="57"/>
        <item x="83"/>
        <item x="174"/>
        <item x="172"/>
        <item x="263"/>
        <item x="72"/>
        <item x="28"/>
        <item x="132"/>
        <item x="123"/>
        <item x="49"/>
        <item x="34"/>
        <item x="202"/>
        <item x="255"/>
        <item x="238"/>
        <item x="230"/>
        <item x="56"/>
        <item x="4"/>
        <item x="61"/>
        <item x="95"/>
        <item x="116"/>
        <item x="122"/>
        <item x="11"/>
        <item x="178"/>
        <item x="243"/>
        <item x="155"/>
        <item x="208"/>
        <item x="85"/>
        <item x="125"/>
        <item x="9"/>
        <item x="128"/>
        <item x="217"/>
        <item x="104"/>
        <item x="201"/>
        <item x="117"/>
        <item x="175"/>
        <item x="119"/>
        <item x="192"/>
        <item x="267"/>
        <item x="75"/>
        <item x="69"/>
        <item x="184"/>
        <item x="191"/>
        <item x="187"/>
        <item x="166"/>
        <item x="127"/>
        <item x="97"/>
        <item x="232"/>
        <item x="90"/>
        <item x="145"/>
        <item x="261"/>
        <item x="38"/>
        <item x="226"/>
        <item x="186"/>
        <item x="30"/>
        <item x="258"/>
        <item x="142"/>
        <item x="37"/>
        <item x="220"/>
        <item x="53"/>
        <item x="31"/>
        <item x="60"/>
        <item x="206"/>
        <item x="229"/>
        <item x="5"/>
        <item x="189"/>
        <item x="197"/>
        <item x="84"/>
        <item x="203"/>
        <item x="64"/>
        <item x="111"/>
        <item x="112"/>
        <item x="196"/>
        <item x="118"/>
        <item x="234"/>
        <item x="193"/>
        <item x="35"/>
        <item x="221"/>
        <item x="251"/>
        <item x="96"/>
        <item x="270"/>
        <item x="110"/>
        <item x="40"/>
        <item x="253"/>
        <item x="79"/>
        <item x="222"/>
        <item x="254"/>
        <item x="138"/>
        <item x="99"/>
        <item x="207"/>
        <item x="92"/>
        <item x="47"/>
        <item x="20"/>
        <item x="165"/>
        <item x="268"/>
        <item x="235"/>
        <item x="8"/>
        <item x="162"/>
        <item x="139"/>
        <item x="23"/>
        <item x="91"/>
        <item x="163"/>
        <item x="63"/>
        <item x="33"/>
        <item x="210"/>
        <item x="82"/>
        <item x="98"/>
        <item x="106"/>
        <item x="25"/>
        <item x="52"/>
        <item x="248"/>
        <item x="103"/>
        <item x="14"/>
        <item x="161"/>
        <item x="216"/>
        <item x="154"/>
        <item x="100"/>
        <item x="86"/>
        <item x="102"/>
        <item x="260"/>
        <item x="223"/>
        <item x="109"/>
        <item x="150"/>
        <item x="257"/>
        <item x="152"/>
        <item x="77"/>
        <item x="58"/>
        <item x="7"/>
        <item x="29"/>
        <item x="66"/>
        <item x="242"/>
        <item x="73"/>
        <item x="10"/>
        <item x="183"/>
        <item x="227"/>
        <item x="205"/>
        <item x="171"/>
        <item x="158"/>
        <item x="244"/>
        <item x="89"/>
        <item x="76"/>
        <item x="153"/>
        <item x="160"/>
        <item x="233"/>
        <item x="1"/>
        <item x="256"/>
        <item x="252"/>
        <item x="24"/>
        <item x="18"/>
        <item x="126"/>
        <item x="88"/>
        <item x="130"/>
        <item x="195"/>
        <item x="114"/>
        <item x="87"/>
        <item x="2"/>
        <item x="6"/>
        <item x="259"/>
        <item x="157"/>
        <item x="194"/>
        <item x="45"/>
        <item x="156"/>
        <item x="169"/>
        <item x="241"/>
        <item x="237"/>
        <item x="198"/>
        <item x="167"/>
        <item x="78"/>
        <item x="55"/>
        <item x="211"/>
        <item x="42"/>
        <item x="236"/>
        <item x="71"/>
        <item x="179"/>
        <item x="231"/>
        <item x="26"/>
        <item x="3"/>
        <item x="219"/>
        <item x="228"/>
        <item x="182"/>
        <item x="135"/>
        <item x="141"/>
        <item x="81"/>
        <item x="59"/>
        <item x="80"/>
        <item x="199"/>
        <item x="12"/>
        <item x="245"/>
        <item x="137"/>
        <item x="240"/>
        <item x="200"/>
        <item x="65"/>
        <item x="265"/>
        <item x="43"/>
        <item x="264"/>
        <item x="168"/>
        <item x="269"/>
        <item x="27"/>
        <item x="213"/>
        <item x="180"/>
        <item x="113"/>
        <item x="147"/>
        <item x="36"/>
        <item x="68"/>
        <item x="218"/>
        <item t="default"/>
      </items>
    </pivotField>
    <pivotField numFmtId="14"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9">
        <item x="6"/>
        <item x="5"/>
        <item x="4"/>
        <item x="0"/>
        <item x="3"/>
        <item x="1"/>
        <item x="2"/>
        <item x="7"/>
        <item t="default"/>
      </items>
    </pivotField>
    <pivotField showAll="0"/>
    <pivotField numFmtId="164" showAll="0"/>
    <pivotField numFmtId="10" showAll="0"/>
    <pivotField dataField="1" numFmtId="44" showAll="0"/>
    <pivotField numFmtId="44" showAll="0"/>
    <pivotField numFmtId="164" showAll="0"/>
    <pivotField numFmtId="10" showAll="0"/>
    <pivotField showAll="0">
      <items count="7">
        <item x="5"/>
        <item x="4"/>
        <item x="2"/>
        <item x="1"/>
        <item x="0"/>
        <item x="3"/>
        <item t="default"/>
      </items>
    </pivotField>
    <pivotField axis="axisRow" showAll="0">
      <items count="5">
        <item x="0"/>
        <item x="1"/>
        <item x="3"/>
        <item x="2"/>
        <item t="default"/>
      </items>
    </pivotField>
    <pivotField showAll="0"/>
    <pivotField showAll="0">
      <items count="3">
        <item x="0"/>
        <item x="1"/>
        <item t="default"/>
      </items>
    </pivotField>
    <pivotField showAll="0"/>
    <pivotField showAll="0"/>
    <pivotField showAll="0"/>
    <pivotField showAll="0"/>
    <pivotField showAll="0">
      <items count="2">
        <item x="0"/>
        <item t="default"/>
      </items>
    </pivotField>
    <pivotField showAll="0"/>
    <pivotField showAll="0"/>
    <pivotField showAll="0"/>
    <pivotField showAll="0"/>
    <pivotField showAll="0"/>
  </pivotFields>
  <rowFields count="1">
    <field x="23"/>
  </rowFields>
  <rowItems count="5">
    <i>
      <x/>
    </i>
    <i>
      <x v="1"/>
    </i>
    <i>
      <x v="2"/>
    </i>
    <i>
      <x v="3"/>
    </i>
    <i t="grand">
      <x/>
    </i>
  </rowItems>
  <colItems count="1">
    <i/>
  </colItems>
  <dataFields count="1">
    <dataField name="Sum of Sales Amount" fld="18" baseField="0" baseItem="0" numFmtId="44"/>
  </dataFields>
  <chartFormats count="2">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EC70C1-2D46-47FF-91D9-AC17BE55A49D}" name="PivotTable10"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1">
  <location ref="Q3:R14" firstHeaderRow="1" firstDataRow="1" firstDataCol="1"/>
  <pivotFields count="36">
    <pivotField showAll="0"/>
    <pivotField numFmtId="14" showAll="0">
      <items count="272">
        <item x="41"/>
        <item x="101"/>
        <item x="107"/>
        <item x="67"/>
        <item x="120"/>
        <item x="115"/>
        <item x="129"/>
        <item x="181"/>
        <item x="105"/>
        <item x="70"/>
        <item x="214"/>
        <item x="215"/>
        <item x="190"/>
        <item x="108"/>
        <item x="48"/>
        <item x="148"/>
        <item x="170"/>
        <item x="140"/>
        <item x="39"/>
        <item x="188"/>
        <item x="121"/>
        <item x="173"/>
        <item x="0"/>
        <item x="224"/>
        <item x="176"/>
        <item x="177"/>
        <item x="151"/>
        <item x="143"/>
        <item x="32"/>
        <item x="262"/>
        <item x="74"/>
        <item x="149"/>
        <item x="246"/>
        <item x="54"/>
        <item x="131"/>
        <item x="93"/>
        <item x="44"/>
        <item x="144"/>
        <item x="250"/>
        <item x="19"/>
        <item x="164"/>
        <item x="247"/>
        <item x="134"/>
        <item x="209"/>
        <item x="13"/>
        <item x="22"/>
        <item x="17"/>
        <item x="62"/>
        <item x="124"/>
        <item x="146"/>
        <item x="21"/>
        <item x="159"/>
        <item x="212"/>
        <item x="133"/>
        <item x="15"/>
        <item x="225"/>
        <item x="46"/>
        <item x="239"/>
        <item x="266"/>
        <item x="204"/>
        <item x="51"/>
        <item x="136"/>
        <item x="94"/>
        <item x="185"/>
        <item x="50"/>
        <item x="16"/>
        <item x="249"/>
        <item x="57"/>
        <item x="83"/>
        <item x="174"/>
        <item x="172"/>
        <item x="263"/>
        <item x="72"/>
        <item x="28"/>
        <item x="132"/>
        <item x="123"/>
        <item x="49"/>
        <item x="34"/>
        <item x="202"/>
        <item x="255"/>
        <item x="238"/>
        <item x="230"/>
        <item x="56"/>
        <item x="4"/>
        <item x="61"/>
        <item x="95"/>
        <item x="116"/>
        <item x="122"/>
        <item x="11"/>
        <item x="178"/>
        <item x="243"/>
        <item x="155"/>
        <item x="208"/>
        <item x="85"/>
        <item x="125"/>
        <item x="9"/>
        <item x="128"/>
        <item x="217"/>
        <item x="104"/>
        <item x="201"/>
        <item x="117"/>
        <item x="175"/>
        <item x="119"/>
        <item x="192"/>
        <item x="267"/>
        <item x="75"/>
        <item x="69"/>
        <item x="184"/>
        <item x="191"/>
        <item x="187"/>
        <item x="166"/>
        <item x="127"/>
        <item x="97"/>
        <item x="232"/>
        <item x="90"/>
        <item x="145"/>
        <item x="261"/>
        <item x="38"/>
        <item x="226"/>
        <item x="186"/>
        <item x="30"/>
        <item x="258"/>
        <item x="142"/>
        <item x="37"/>
        <item x="220"/>
        <item x="53"/>
        <item x="31"/>
        <item x="60"/>
        <item x="206"/>
        <item x="229"/>
        <item x="5"/>
        <item x="189"/>
        <item x="197"/>
        <item x="84"/>
        <item x="203"/>
        <item x="64"/>
        <item x="111"/>
        <item x="112"/>
        <item x="196"/>
        <item x="118"/>
        <item x="234"/>
        <item x="193"/>
        <item x="35"/>
        <item x="221"/>
        <item x="251"/>
        <item x="96"/>
        <item x="270"/>
        <item x="110"/>
        <item x="40"/>
        <item x="253"/>
        <item x="79"/>
        <item x="222"/>
        <item x="254"/>
        <item x="138"/>
        <item x="99"/>
        <item x="207"/>
        <item x="92"/>
        <item x="47"/>
        <item x="20"/>
        <item x="165"/>
        <item x="268"/>
        <item x="235"/>
        <item x="8"/>
        <item x="162"/>
        <item x="139"/>
        <item x="23"/>
        <item x="91"/>
        <item x="163"/>
        <item x="63"/>
        <item x="33"/>
        <item x="210"/>
        <item x="82"/>
        <item x="98"/>
        <item x="106"/>
        <item x="25"/>
        <item x="52"/>
        <item x="248"/>
        <item x="103"/>
        <item x="14"/>
        <item x="161"/>
        <item x="216"/>
        <item x="154"/>
        <item x="100"/>
        <item x="86"/>
        <item x="102"/>
        <item x="260"/>
        <item x="223"/>
        <item x="109"/>
        <item x="150"/>
        <item x="257"/>
        <item x="152"/>
        <item x="77"/>
        <item x="58"/>
        <item x="7"/>
        <item x="29"/>
        <item x="66"/>
        <item x="242"/>
        <item x="73"/>
        <item x="10"/>
        <item x="183"/>
        <item x="227"/>
        <item x="205"/>
        <item x="171"/>
        <item x="158"/>
        <item x="244"/>
        <item x="89"/>
        <item x="76"/>
        <item x="153"/>
        <item x="160"/>
        <item x="233"/>
        <item x="1"/>
        <item x="256"/>
        <item x="252"/>
        <item x="24"/>
        <item x="18"/>
        <item x="126"/>
        <item x="88"/>
        <item x="130"/>
        <item x="195"/>
        <item x="114"/>
        <item x="87"/>
        <item x="2"/>
        <item x="6"/>
        <item x="259"/>
        <item x="157"/>
        <item x="194"/>
        <item x="45"/>
        <item x="156"/>
        <item x="169"/>
        <item x="241"/>
        <item x="237"/>
        <item x="198"/>
        <item x="167"/>
        <item x="78"/>
        <item x="55"/>
        <item x="211"/>
        <item x="42"/>
        <item x="236"/>
        <item x="71"/>
        <item x="179"/>
        <item x="231"/>
        <item x="26"/>
        <item x="3"/>
        <item x="219"/>
        <item x="228"/>
        <item x="182"/>
        <item x="135"/>
        <item x="141"/>
        <item x="81"/>
        <item x="59"/>
        <item x="80"/>
        <item x="199"/>
        <item x="12"/>
        <item x="245"/>
        <item x="137"/>
        <item x="240"/>
        <item x="200"/>
        <item x="65"/>
        <item x="265"/>
        <item x="43"/>
        <item x="264"/>
        <item x="168"/>
        <item x="269"/>
        <item x="27"/>
        <item x="213"/>
        <item x="180"/>
        <item x="113"/>
        <item x="147"/>
        <item x="36"/>
        <item x="68"/>
        <item x="218"/>
        <item t="default"/>
      </items>
    </pivotField>
    <pivotField numFmtId="14" showAll="0"/>
    <pivotField showAll="0"/>
    <pivotField axis="axisRow" showAll="0" measureFilter="1">
      <items count="184">
        <item x="76"/>
        <item x="136"/>
        <item x="170"/>
        <item x="10"/>
        <item x="83"/>
        <item x="36"/>
        <item x="49"/>
        <item x="39"/>
        <item x="129"/>
        <item x="52"/>
        <item x="93"/>
        <item x="77"/>
        <item x="7"/>
        <item x="115"/>
        <item x="98"/>
        <item x="174"/>
        <item x="107"/>
        <item x="5"/>
        <item x="85"/>
        <item x="164"/>
        <item x="71"/>
        <item x="171"/>
        <item x="159"/>
        <item x="81"/>
        <item x="180"/>
        <item x="34"/>
        <item x="104"/>
        <item x="114"/>
        <item x="173"/>
        <item x="133"/>
        <item x="108"/>
        <item x="132"/>
        <item x="95"/>
        <item x="44"/>
        <item x="87"/>
        <item x="155"/>
        <item x="116"/>
        <item x="135"/>
        <item x="25"/>
        <item x="43"/>
        <item x="131"/>
        <item x="118"/>
        <item x="19"/>
        <item x="51"/>
        <item x="48"/>
        <item x="182"/>
        <item x="130"/>
        <item x="158"/>
        <item x="105"/>
        <item x="137"/>
        <item x="175"/>
        <item x="8"/>
        <item x="62"/>
        <item x="147"/>
        <item x="80"/>
        <item x="38"/>
        <item x="167"/>
        <item x="181"/>
        <item x="17"/>
        <item x="113"/>
        <item x="128"/>
        <item x="146"/>
        <item x="72"/>
        <item x="153"/>
        <item x="1"/>
        <item x="29"/>
        <item x="2"/>
        <item x="42"/>
        <item x="21"/>
        <item x="26"/>
        <item x="75"/>
        <item x="40"/>
        <item x="30"/>
        <item x="172"/>
        <item x="37"/>
        <item x="124"/>
        <item x="16"/>
        <item x="82"/>
        <item x="151"/>
        <item x="11"/>
        <item x="15"/>
        <item x="126"/>
        <item x="65"/>
        <item x="28"/>
        <item x="112"/>
        <item x="3"/>
        <item x="60"/>
        <item x="69"/>
        <item x="160"/>
        <item x="121"/>
        <item x="150"/>
        <item x="117"/>
        <item x="68"/>
        <item x="92"/>
        <item x="24"/>
        <item x="79"/>
        <item x="27"/>
        <item x="127"/>
        <item x="122"/>
        <item x="179"/>
        <item x="58"/>
        <item x="33"/>
        <item x="61"/>
        <item x="169"/>
        <item x="59"/>
        <item x="53"/>
        <item x="35"/>
        <item x="144"/>
        <item x="31"/>
        <item x="50"/>
        <item x="54"/>
        <item x="156"/>
        <item x="143"/>
        <item x="152"/>
        <item x="78"/>
        <item x="110"/>
        <item x="47"/>
        <item x="103"/>
        <item x="119"/>
        <item x="94"/>
        <item x="100"/>
        <item x="86"/>
        <item x="139"/>
        <item x="89"/>
        <item x="88"/>
        <item x="162"/>
        <item x="67"/>
        <item x="91"/>
        <item x="163"/>
        <item x="14"/>
        <item x="123"/>
        <item x="56"/>
        <item x="168"/>
        <item x="149"/>
        <item x="23"/>
        <item x="32"/>
        <item x="138"/>
        <item x="0"/>
        <item x="18"/>
        <item x="102"/>
        <item x="20"/>
        <item x="99"/>
        <item x="96"/>
        <item x="57"/>
        <item x="154"/>
        <item x="178"/>
        <item x="12"/>
        <item x="13"/>
        <item x="176"/>
        <item x="106"/>
        <item x="46"/>
        <item x="157"/>
        <item x="148"/>
        <item x="134"/>
        <item x="41"/>
        <item x="70"/>
        <item x="177"/>
        <item x="45"/>
        <item x="22"/>
        <item x="64"/>
        <item x="55"/>
        <item x="97"/>
        <item x="63"/>
        <item x="140"/>
        <item x="101"/>
        <item x="120"/>
        <item x="90"/>
        <item x="6"/>
        <item x="84"/>
        <item x="9"/>
        <item x="111"/>
        <item x="66"/>
        <item x="161"/>
        <item x="166"/>
        <item x="125"/>
        <item x="145"/>
        <item x="142"/>
        <item x="165"/>
        <item x="141"/>
        <item x="73"/>
        <item x="109"/>
        <item x="4"/>
        <item x="74"/>
        <item t="default"/>
      </items>
    </pivotField>
    <pivotField showAll="0"/>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9">
        <item x="6"/>
        <item x="5"/>
        <item x="4"/>
        <item x="0"/>
        <item x="3"/>
        <item x="1"/>
        <item x="2"/>
        <item x="7"/>
        <item t="default"/>
      </items>
    </pivotField>
    <pivotField showAll="0"/>
    <pivotField numFmtId="164" showAll="0"/>
    <pivotField numFmtId="10" showAll="0"/>
    <pivotField dataField="1" numFmtId="44" showAll="0"/>
    <pivotField numFmtId="44" showAll="0"/>
    <pivotField numFmtId="164" showAll="0"/>
    <pivotField numFmtId="10" showAll="0"/>
    <pivotField showAll="0">
      <items count="7">
        <item x="5"/>
        <item x="4"/>
        <item x="2"/>
        <item x="1"/>
        <item x="0"/>
        <item x="3"/>
        <item t="default"/>
      </items>
    </pivotField>
    <pivotField showAll="0">
      <items count="5">
        <item x="0"/>
        <item x="1"/>
        <item x="3"/>
        <item x="2"/>
        <item t="default"/>
      </items>
    </pivotField>
    <pivotField showAll="0"/>
    <pivotField showAll="0">
      <items count="3">
        <item x="0"/>
        <item x="1"/>
        <item t="default"/>
      </items>
    </pivotField>
    <pivotField showAll="0"/>
    <pivotField showAll="0"/>
    <pivotField showAll="0"/>
    <pivotField showAll="0"/>
    <pivotField showAll="0">
      <items count="2">
        <item x="0"/>
        <item t="default"/>
      </items>
    </pivotField>
    <pivotField showAll="0"/>
    <pivotField showAll="0"/>
    <pivotField showAll="0"/>
    <pivotField showAll="0"/>
    <pivotField showAll="0"/>
  </pivotFields>
  <rowFields count="1">
    <field x="4"/>
  </rowFields>
  <rowItems count="11">
    <i>
      <x v="41"/>
    </i>
    <i>
      <x v="67"/>
    </i>
    <i>
      <x v="84"/>
    </i>
    <i>
      <x v="85"/>
    </i>
    <i>
      <x v="86"/>
    </i>
    <i>
      <x v="109"/>
    </i>
    <i>
      <x v="121"/>
    </i>
    <i>
      <x v="146"/>
    </i>
    <i>
      <x v="159"/>
    </i>
    <i>
      <x v="169"/>
    </i>
    <i t="grand">
      <x/>
    </i>
  </rowItems>
  <colItems count="1">
    <i/>
  </colItems>
  <dataFields count="1">
    <dataField name="Sum of Sales Amount" fld="18" baseField="0" baseItem="0" numFmtId="44"/>
  </dataFields>
  <chartFormats count="5">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EFDF66-B174-4239-B78E-803665FD6654}" name="PivotTable9"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location ref="N15:O18" firstHeaderRow="1" firstDataRow="1" firstDataCol="1"/>
  <pivotFields count="36">
    <pivotField showAll="0"/>
    <pivotField numFmtId="14" showAll="0">
      <items count="272">
        <item x="41"/>
        <item x="101"/>
        <item x="107"/>
        <item x="67"/>
        <item x="120"/>
        <item x="115"/>
        <item x="129"/>
        <item x="181"/>
        <item x="105"/>
        <item x="70"/>
        <item x="214"/>
        <item x="215"/>
        <item x="190"/>
        <item x="108"/>
        <item x="48"/>
        <item x="148"/>
        <item x="170"/>
        <item x="140"/>
        <item x="39"/>
        <item x="188"/>
        <item x="121"/>
        <item x="173"/>
        <item x="0"/>
        <item x="224"/>
        <item x="176"/>
        <item x="177"/>
        <item x="151"/>
        <item x="143"/>
        <item x="32"/>
        <item x="262"/>
        <item x="74"/>
        <item x="149"/>
        <item x="246"/>
        <item x="54"/>
        <item x="131"/>
        <item x="93"/>
        <item x="44"/>
        <item x="144"/>
        <item x="250"/>
        <item x="19"/>
        <item x="164"/>
        <item x="247"/>
        <item x="134"/>
        <item x="209"/>
        <item x="13"/>
        <item x="22"/>
        <item x="17"/>
        <item x="62"/>
        <item x="124"/>
        <item x="146"/>
        <item x="21"/>
        <item x="159"/>
        <item x="212"/>
        <item x="133"/>
        <item x="15"/>
        <item x="225"/>
        <item x="46"/>
        <item x="239"/>
        <item x="266"/>
        <item x="204"/>
        <item x="51"/>
        <item x="136"/>
        <item x="94"/>
        <item x="185"/>
        <item x="50"/>
        <item x="16"/>
        <item x="249"/>
        <item x="57"/>
        <item x="83"/>
        <item x="174"/>
        <item x="172"/>
        <item x="263"/>
        <item x="72"/>
        <item x="28"/>
        <item x="132"/>
        <item x="123"/>
        <item x="49"/>
        <item x="34"/>
        <item x="202"/>
        <item x="255"/>
        <item x="238"/>
        <item x="230"/>
        <item x="56"/>
        <item x="4"/>
        <item x="61"/>
        <item x="95"/>
        <item x="116"/>
        <item x="122"/>
        <item x="11"/>
        <item x="178"/>
        <item x="243"/>
        <item x="155"/>
        <item x="208"/>
        <item x="85"/>
        <item x="125"/>
        <item x="9"/>
        <item x="128"/>
        <item x="217"/>
        <item x="104"/>
        <item x="201"/>
        <item x="117"/>
        <item x="175"/>
        <item x="119"/>
        <item x="192"/>
        <item x="267"/>
        <item x="75"/>
        <item x="69"/>
        <item x="184"/>
        <item x="191"/>
        <item x="187"/>
        <item x="166"/>
        <item x="127"/>
        <item x="97"/>
        <item x="232"/>
        <item x="90"/>
        <item x="145"/>
        <item x="261"/>
        <item x="38"/>
        <item x="226"/>
        <item x="186"/>
        <item x="30"/>
        <item x="258"/>
        <item x="142"/>
        <item x="37"/>
        <item x="220"/>
        <item x="53"/>
        <item x="31"/>
        <item x="60"/>
        <item x="206"/>
        <item x="229"/>
        <item x="5"/>
        <item x="189"/>
        <item x="197"/>
        <item x="84"/>
        <item x="203"/>
        <item x="64"/>
        <item x="111"/>
        <item x="112"/>
        <item x="196"/>
        <item x="118"/>
        <item x="234"/>
        <item x="193"/>
        <item x="35"/>
        <item x="221"/>
        <item x="251"/>
        <item x="96"/>
        <item x="270"/>
        <item x="110"/>
        <item x="40"/>
        <item x="253"/>
        <item x="79"/>
        <item x="222"/>
        <item x="254"/>
        <item x="138"/>
        <item x="99"/>
        <item x="207"/>
        <item x="92"/>
        <item x="47"/>
        <item x="20"/>
        <item x="165"/>
        <item x="268"/>
        <item x="235"/>
        <item x="8"/>
        <item x="162"/>
        <item x="139"/>
        <item x="23"/>
        <item x="91"/>
        <item x="163"/>
        <item x="63"/>
        <item x="33"/>
        <item x="210"/>
        <item x="82"/>
        <item x="98"/>
        <item x="106"/>
        <item x="25"/>
        <item x="52"/>
        <item x="248"/>
        <item x="103"/>
        <item x="14"/>
        <item x="161"/>
        <item x="216"/>
        <item x="154"/>
        <item x="100"/>
        <item x="86"/>
        <item x="102"/>
        <item x="260"/>
        <item x="223"/>
        <item x="109"/>
        <item x="150"/>
        <item x="257"/>
        <item x="152"/>
        <item x="77"/>
        <item x="58"/>
        <item x="7"/>
        <item x="29"/>
        <item x="66"/>
        <item x="242"/>
        <item x="73"/>
        <item x="10"/>
        <item x="183"/>
        <item x="227"/>
        <item x="205"/>
        <item x="171"/>
        <item x="158"/>
        <item x="244"/>
        <item x="89"/>
        <item x="76"/>
        <item x="153"/>
        <item x="160"/>
        <item x="233"/>
        <item x="1"/>
        <item x="256"/>
        <item x="252"/>
        <item x="24"/>
        <item x="18"/>
        <item x="126"/>
        <item x="88"/>
        <item x="130"/>
        <item x="195"/>
        <item x="114"/>
        <item x="87"/>
        <item x="2"/>
        <item x="6"/>
        <item x="259"/>
        <item x="157"/>
        <item x="194"/>
        <item x="45"/>
        <item x="156"/>
        <item x="169"/>
        <item x="241"/>
        <item x="237"/>
        <item x="198"/>
        <item x="167"/>
        <item x="78"/>
        <item x="55"/>
        <item x="211"/>
        <item x="42"/>
        <item x="236"/>
        <item x="71"/>
        <item x="179"/>
        <item x="231"/>
        <item x="26"/>
        <item x="3"/>
        <item x="219"/>
        <item x="228"/>
        <item x="182"/>
        <item x="135"/>
        <item x="141"/>
        <item x="81"/>
        <item x="59"/>
        <item x="80"/>
        <item x="199"/>
        <item x="12"/>
        <item x="245"/>
        <item x="137"/>
        <item x="240"/>
        <item x="200"/>
        <item x="65"/>
        <item x="265"/>
        <item x="43"/>
        <item x="264"/>
        <item x="168"/>
        <item x="269"/>
        <item x="27"/>
        <item x="213"/>
        <item x="180"/>
        <item x="113"/>
        <item x="147"/>
        <item x="36"/>
        <item x="68"/>
        <item x="218"/>
        <item t="default"/>
      </items>
    </pivotField>
    <pivotField numFmtId="14"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9">
        <item x="6"/>
        <item x="5"/>
        <item x="4"/>
        <item x="0"/>
        <item x="3"/>
        <item x="1"/>
        <item x="2"/>
        <item x="7"/>
        <item t="default"/>
      </items>
    </pivotField>
    <pivotField showAll="0"/>
    <pivotField numFmtId="164" showAll="0"/>
    <pivotField numFmtId="10" showAll="0"/>
    <pivotField dataField="1" numFmtId="44" showAll="0"/>
    <pivotField numFmtId="44" showAll="0"/>
    <pivotField numFmtId="164" showAll="0"/>
    <pivotField numFmtId="10" showAll="0"/>
    <pivotField showAll="0">
      <items count="7">
        <item x="5"/>
        <item x="4"/>
        <item x="2"/>
        <item x="1"/>
        <item x="0"/>
        <item x="3"/>
        <item t="default"/>
      </items>
    </pivotField>
    <pivotField showAll="0">
      <items count="5">
        <item x="0"/>
        <item x="1"/>
        <item x="3"/>
        <item x="2"/>
        <item t="default"/>
      </items>
    </pivotField>
    <pivotField showAll="0"/>
    <pivotField axis="axisRow" showAll="0">
      <items count="3">
        <item x="0"/>
        <item x="1"/>
        <item t="default"/>
      </items>
    </pivotField>
    <pivotField showAll="0"/>
    <pivotField showAll="0"/>
    <pivotField showAll="0"/>
    <pivotField showAll="0"/>
    <pivotField showAll="0">
      <items count="2">
        <item x="0"/>
        <item t="default"/>
      </items>
    </pivotField>
    <pivotField showAll="0"/>
    <pivotField showAll="0"/>
    <pivotField showAll="0"/>
    <pivotField showAll="0"/>
    <pivotField showAll="0"/>
  </pivotFields>
  <rowFields count="1">
    <field x="25"/>
  </rowFields>
  <rowItems count="3">
    <i>
      <x/>
    </i>
    <i>
      <x v="1"/>
    </i>
    <i t="grand">
      <x/>
    </i>
  </rowItems>
  <colItems count="1">
    <i/>
  </colItems>
  <dataFields count="1">
    <dataField name="Sum of Sales Amount" fld="18" baseField="0" baseItem="0" numFmtId="44"/>
  </dataFields>
  <chartFormats count="6">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5" count="1" selected="0">
            <x v="0"/>
          </reference>
        </references>
      </pivotArea>
    </chartFormat>
    <chartFormat chart="4" format="6">
      <pivotArea type="data" outline="0" fieldPosition="0">
        <references count="2">
          <reference field="4294967294" count="1" selected="0">
            <x v="0"/>
          </reference>
          <reference field="25" count="1" selected="0">
            <x v="1"/>
          </reference>
        </references>
      </pivotArea>
    </chartFormat>
    <chartFormat chart="25" format="16" series="1">
      <pivotArea type="data" outline="0" fieldPosition="0">
        <references count="1">
          <reference field="4294967294" count="1" selected="0">
            <x v="0"/>
          </reference>
        </references>
      </pivotArea>
    </chartFormat>
    <chartFormat chart="25" format="17">
      <pivotArea type="data" outline="0" fieldPosition="0">
        <references count="2">
          <reference field="4294967294" count="1" selected="0">
            <x v="0"/>
          </reference>
          <reference field="25" count="1" selected="0">
            <x v="0"/>
          </reference>
        </references>
      </pivotArea>
    </chartFormat>
    <chartFormat chart="25" format="18">
      <pivotArea type="data" outline="0" fieldPosition="0">
        <references count="2">
          <reference field="4294967294" count="1" selected="0">
            <x v="0"/>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FC541A-6460-4692-A482-C8023ECE3FEC}" name="PivotTable7"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K11:L16" firstHeaderRow="1" firstDataRow="1" firstDataCol="1"/>
  <pivotFields count="36">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4" showAll="0">
      <items count="272">
        <item x="41"/>
        <item x="101"/>
        <item x="107"/>
        <item x="67"/>
        <item x="120"/>
        <item x="115"/>
        <item x="129"/>
        <item x="181"/>
        <item x="105"/>
        <item x="70"/>
        <item x="214"/>
        <item x="215"/>
        <item x="190"/>
        <item x="108"/>
        <item x="48"/>
        <item x="148"/>
        <item x="170"/>
        <item x="140"/>
        <item x="39"/>
        <item x="188"/>
        <item x="121"/>
        <item x="173"/>
        <item x="0"/>
        <item x="224"/>
        <item x="176"/>
        <item x="177"/>
        <item x="151"/>
        <item x="143"/>
        <item x="32"/>
        <item x="262"/>
        <item x="74"/>
        <item x="149"/>
        <item x="246"/>
        <item x="54"/>
        <item x="131"/>
        <item x="93"/>
        <item x="44"/>
        <item x="144"/>
        <item x="250"/>
        <item x="19"/>
        <item x="164"/>
        <item x="247"/>
        <item x="134"/>
        <item x="209"/>
        <item x="13"/>
        <item x="22"/>
        <item x="17"/>
        <item x="62"/>
        <item x="124"/>
        <item x="146"/>
        <item x="21"/>
        <item x="159"/>
        <item x="212"/>
        <item x="133"/>
        <item x="15"/>
        <item x="225"/>
        <item x="46"/>
        <item x="239"/>
        <item x="266"/>
        <item x="204"/>
        <item x="51"/>
        <item x="136"/>
        <item x="94"/>
        <item x="185"/>
        <item x="50"/>
        <item x="16"/>
        <item x="249"/>
        <item x="57"/>
        <item x="83"/>
        <item x="174"/>
        <item x="172"/>
        <item x="263"/>
        <item x="72"/>
        <item x="28"/>
        <item x="132"/>
        <item x="123"/>
        <item x="49"/>
        <item x="34"/>
        <item x="202"/>
        <item x="255"/>
        <item x="238"/>
        <item x="230"/>
        <item x="56"/>
        <item x="4"/>
        <item x="61"/>
        <item x="95"/>
        <item x="116"/>
        <item x="122"/>
        <item x="11"/>
        <item x="178"/>
        <item x="243"/>
        <item x="155"/>
        <item x="208"/>
        <item x="85"/>
        <item x="125"/>
        <item x="9"/>
        <item x="128"/>
        <item x="217"/>
        <item x="104"/>
        <item x="201"/>
        <item x="117"/>
        <item x="175"/>
        <item x="119"/>
        <item x="192"/>
        <item x="267"/>
        <item x="75"/>
        <item x="69"/>
        <item x="184"/>
        <item x="191"/>
        <item x="187"/>
        <item x="166"/>
        <item x="127"/>
        <item x="97"/>
        <item x="232"/>
        <item x="90"/>
        <item x="145"/>
        <item x="261"/>
        <item x="38"/>
        <item x="226"/>
        <item x="186"/>
        <item x="30"/>
        <item x="258"/>
        <item x="142"/>
        <item x="37"/>
        <item x="220"/>
        <item x="53"/>
        <item x="31"/>
        <item x="60"/>
        <item x="206"/>
        <item x="229"/>
        <item x="5"/>
        <item x="189"/>
        <item x="197"/>
        <item x="84"/>
        <item x="203"/>
        <item x="64"/>
        <item x="111"/>
        <item x="112"/>
        <item x="196"/>
        <item x="118"/>
        <item x="234"/>
        <item x="193"/>
        <item x="35"/>
        <item x="221"/>
        <item x="251"/>
        <item x="96"/>
        <item x="270"/>
        <item x="110"/>
        <item x="40"/>
        <item x="253"/>
        <item x="79"/>
        <item x="222"/>
        <item x="254"/>
        <item x="138"/>
        <item x="99"/>
        <item x="207"/>
        <item x="92"/>
        <item x="47"/>
        <item x="20"/>
        <item x="165"/>
        <item x="268"/>
        <item x="235"/>
        <item x="8"/>
        <item x="162"/>
        <item x="139"/>
        <item x="23"/>
        <item x="91"/>
        <item x="163"/>
        <item x="63"/>
        <item x="33"/>
        <item x="210"/>
        <item x="82"/>
        <item x="98"/>
        <item x="106"/>
        <item x="25"/>
        <item x="52"/>
        <item x="248"/>
        <item x="103"/>
        <item x="14"/>
        <item x="161"/>
        <item x="216"/>
        <item x="154"/>
        <item x="100"/>
        <item x="86"/>
        <item x="102"/>
        <item x="260"/>
        <item x="223"/>
        <item x="109"/>
        <item x="150"/>
        <item x="257"/>
        <item x="152"/>
        <item x="77"/>
        <item x="58"/>
        <item x="7"/>
        <item x="29"/>
        <item x="66"/>
        <item x="242"/>
        <item x="73"/>
        <item x="10"/>
        <item x="183"/>
        <item x="227"/>
        <item x="205"/>
        <item x="171"/>
        <item x="158"/>
        <item x="244"/>
        <item x="89"/>
        <item x="76"/>
        <item x="153"/>
        <item x="160"/>
        <item x="233"/>
        <item x="1"/>
        <item x="256"/>
        <item x="252"/>
        <item x="24"/>
        <item x="18"/>
        <item x="126"/>
        <item x="88"/>
        <item x="130"/>
        <item x="195"/>
        <item x="114"/>
        <item x="87"/>
        <item x="2"/>
        <item x="6"/>
        <item x="259"/>
        <item x="157"/>
        <item x="194"/>
        <item x="45"/>
        <item x="156"/>
        <item x="169"/>
        <item x="241"/>
        <item x="237"/>
        <item x="198"/>
        <item x="167"/>
        <item x="78"/>
        <item x="55"/>
        <item x="211"/>
        <item x="42"/>
        <item x="236"/>
        <item x="71"/>
        <item x="179"/>
        <item x="231"/>
        <item x="26"/>
        <item x="3"/>
        <item x="219"/>
        <item x="228"/>
        <item x="182"/>
        <item x="135"/>
        <item x="141"/>
        <item x="81"/>
        <item x="59"/>
        <item x="80"/>
        <item x="199"/>
        <item x="12"/>
        <item x="245"/>
        <item x="137"/>
        <item x="240"/>
        <item x="200"/>
        <item x="65"/>
        <item x="265"/>
        <item x="43"/>
        <item x="264"/>
        <item x="168"/>
        <item x="269"/>
        <item x="27"/>
        <item x="213"/>
        <item x="180"/>
        <item x="113"/>
        <item x="147"/>
        <item x="36"/>
        <item x="68"/>
        <item x="218"/>
        <item t="default"/>
      </items>
    </pivotField>
    <pivotField numFmtId="14"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9">
        <item x="6"/>
        <item x="5"/>
        <item x="4"/>
        <item x="0"/>
        <item x="3"/>
        <item x="1"/>
        <item x="2"/>
        <item x="7"/>
        <item t="default"/>
      </items>
    </pivotField>
    <pivotField showAll="0"/>
    <pivotField numFmtId="164" showAll="0"/>
    <pivotField numFmtId="10" showAll="0"/>
    <pivotField numFmtId="44" showAll="0"/>
    <pivotField numFmtId="44" showAll="0"/>
    <pivotField numFmtId="164" showAll="0"/>
    <pivotField numFmtId="10" showAll="0"/>
    <pivotField showAll="0">
      <items count="7">
        <item x="5"/>
        <item x="4"/>
        <item x="2"/>
        <item x="1"/>
        <item x="0"/>
        <item x="3"/>
        <item t="default"/>
      </items>
    </pivotField>
    <pivotField axis="axisRow" showAll="0">
      <items count="5">
        <item x="0"/>
        <item x="1"/>
        <item x="3"/>
        <item x="2"/>
        <item t="default"/>
      </items>
    </pivotField>
    <pivotField showAll="0"/>
    <pivotField showAll="0">
      <items count="3">
        <item x="0"/>
        <item x="1"/>
        <item t="default"/>
      </items>
    </pivotField>
    <pivotField showAll="0"/>
    <pivotField showAll="0"/>
    <pivotField showAll="0"/>
    <pivotField showAll="0"/>
    <pivotField showAll="0">
      <items count="2">
        <item x="0"/>
        <item t="default"/>
      </items>
    </pivotField>
    <pivotField showAll="0"/>
    <pivotField showAll="0"/>
    <pivotField showAll="0"/>
    <pivotField showAll="0"/>
    <pivotField showAll="0"/>
  </pivotFields>
  <rowFields count="1">
    <field x="23"/>
  </rowFields>
  <rowItems count="5">
    <i>
      <x/>
    </i>
    <i>
      <x v="1"/>
    </i>
    <i>
      <x v="2"/>
    </i>
    <i>
      <x v="3"/>
    </i>
    <i t="grand">
      <x/>
    </i>
  </rowItems>
  <colItems count="1">
    <i/>
  </colItems>
  <dataFields count="1">
    <dataField name="Count of Order ID" fld="0" subtotal="count" baseField="0" baseItem="0"/>
  </dataFields>
  <chartFormats count="10">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3" count="1" selected="0">
            <x v="0"/>
          </reference>
        </references>
      </pivotArea>
    </chartFormat>
    <chartFormat chart="4" format="8">
      <pivotArea type="data" outline="0" fieldPosition="0">
        <references count="2">
          <reference field="4294967294" count="1" selected="0">
            <x v="0"/>
          </reference>
          <reference field="23" count="1" selected="0">
            <x v="1"/>
          </reference>
        </references>
      </pivotArea>
    </chartFormat>
    <chartFormat chart="4" format="9">
      <pivotArea type="data" outline="0" fieldPosition="0">
        <references count="2">
          <reference field="4294967294" count="1" selected="0">
            <x v="0"/>
          </reference>
          <reference field="23" count="1" selected="0">
            <x v="2"/>
          </reference>
        </references>
      </pivotArea>
    </chartFormat>
    <chartFormat chart="4" format="10">
      <pivotArea type="data" outline="0" fieldPosition="0">
        <references count="2">
          <reference field="4294967294" count="1" selected="0">
            <x v="0"/>
          </reference>
          <reference field="23" count="1" selected="0">
            <x v="3"/>
          </reference>
        </references>
      </pivotArea>
    </chartFormat>
    <chartFormat chart="13" format="16" series="1">
      <pivotArea type="data" outline="0" fieldPosition="0">
        <references count="1">
          <reference field="4294967294" count="1" selected="0">
            <x v="0"/>
          </reference>
        </references>
      </pivotArea>
    </chartFormat>
    <chartFormat chart="13" format="17">
      <pivotArea type="data" outline="0" fieldPosition="0">
        <references count="2">
          <reference field="4294967294" count="1" selected="0">
            <x v="0"/>
          </reference>
          <reference field="23" count="1" selected="0">
            <x v="0"/>
          </reference>
        </references>
      </pivotArea>
    </chartFormat>
    <chartFormat chart="13" format="18">
      <pivotArea type="data" outline="0" fieldPosition="0">
        <references count="2">
          <reference field="4294967294" count="1" selected="0">
            <x v="0"/>
          </reference>
          <reference field="23" count="1" selected="0">
            <x v="1"/>
          </reference>
        </references>
      </pivotArea>
    </chartFormat>
    <chartFormat chart="13" format="19">
      <pivotArea type="data" outline="0" fieldPosition="0">
        <references count="2">
          <reference field="4294967294" count="1" selected="0">
            <x v="0"/>
          </reference>
          <reference field="23" count="1" selected="0">
            <x v="2"/>
          </reference>
        </references>
      </pivotArea>
    </chartFormat>
    <chartFormat chart="13" format="20">
      <pivotArea type="data" outline="0" fieldPosition="0">
        <references count="2">
          <reference field="4294967294" count="1" selected="0">
            <x v="0"/>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3F25AB-0CF6-4648-996A-B1F08C06D6F6}" name="PivotTable4"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K3:L8" firstHeaderRow="1" firstDataRow="1" firstDataCol="1"/>
  <pivotFields count="36">
    <pivotField showAll="0"/>
    <pivotField numFmtId="14" showAll="0">
      <items count="272">
        <item x="41"/>
        <item x="101"/>
        <item x="107"/>
        <item x="67"/>
        <item x="120"/>
        <item x="115"/>
        <item x="129"/>
        <item x="181"/>
        <item x="105"/>
        <item x="70"/>
        <item x="214"/>
        <item x="215"/>
        <item x="190"/>
        <item x="108"/>
        <item x="48"/>
        <item x="148"/>
        <item x="170"/>
        <item x="140"/>
        <item x="39"/>
        <item x="188"/>
        <item x="121"/>
        <item x="173"/>
        <item x="0"/>
        <item x="224"/>
        <item x="176"/>
        <item x="177"/>
        <item x="151"/>
        <item x="143"/>
        <item x="32"/>
        <item x="262"/>
        <item x="74"/>
        <item x="149"/>
        <item x="246"/>
        <item x="54"/>
        <item x="131"/>
        <item x="93"/>
        <item x="44"/>
        <item x="144"/>
        <item x="250"/>
        <item x="19"/>
        <item x="164"/>
        <item x="247"/>
        <item x="134"/>
        <item x="209"/>
        <item x="13"/>
        <item x="22"/>
        <item x="17"/>
        <item x="62"/>
        <item x="124"/>
        <item x="146"/>
        <item x="21"/>
        <item x="159"/>
        <item x="212"/>
        <item x="133"/>
        <item x="15"/>
        <item x="225"/>
        <item x="46"/>
        <item x="239"/>
        <item x="266"/>
        <item x="204"/>
        <item x="51"/>
        <item x="136"/>
        <item x="94"/>
        <item x="185"/>
        <item x="50"/>
        <item x="16"/>
        <item x="249"/>
        <item x="57"/>
        <item x="83"/>
        <item x="174"/>
        <item x="172"/>
        <item x="263"/>
        <item x="72"/>
        <item x="28"/>
        <item x="132"/>
        <item x="123"/>
        <item x="49"/>
        <item x="34"/>
        <item x="202"/>
        <item x="255"/>
        <item x="238"/>
        <item x="230"/>
        <item x="56"/>
        <item x="4"/>
        <item x="61"/>
        <item x="95"/>
        <item x="116"/>
        <item x="122"/>
        <item x="11"/>
        <item x="178"/>
        <item x="243"/>
        <item x="155"/>
        <item x="208"/>
        <item x="85"/>
        <item x="125"/>
        <item x="9"/>
        <item x="128"/>
        <item x="217"/>
        <item x="104"/>
        <item x="201"/>
        <item x="117"/>
        <item x="175"/>
        <item x="119"/>
        <item x="192"/>
        <item x="267"/>
        <item x="75"/>
        <item x="69"/>
        <item x="184"/>
        <item x="191"/>
        <item x="187"/>
        <item x="166"/>
        <item x="127"/>
        <item x="97"/>
        <item x="232"/>
        <item x="90"/>
        <item x="145"/>
        <item x="261"/>
        <item x="38"/>
        <item x="226"/>
        <item x="186"/>
        <item x="30"/>
        <item x="258"/>
        <item x="142"/>
        <item x="37"/>
        <item x="220"/>
        <item x="53"/>
        <item x="31"/>
        <item x="60"/>
        <item x="206"/>
        <item x="229"/>
        <item x="5"/>
        <item x="189"/>
        <item x="197"/>
        <item x="84"/>
        <item x="203"/>
        <item x="64"/>
        <item x="111"/>
        <item x="112"/>
        <item x="196"/>
        <item x="118"/>
        <item x="234"/>
        <item x="193"/>
        <item x="35"/>
        <item x="221"/>
        <item x="251"/>
        <item x="96"/>
        <item x="270"/>
        <item x="110"/>
        <item x="40"/>
        <item x="253"/>
        <item x="79"/>
        <item x="222"/>
        <item x="254"/>
        <item x="138"/>
        <item x="99"/>
        <item x="207"/>
        <item x="92"/>
        <item x="47"/>
        <item x="20"/>
        <item x="165"/>
        <item x="268"/>
        <item x="235"/>
        <item x="8"/>
        <item x="162"/>
        <item x="139"/>
        <item x="23"/>
        <item x="91"/>
        <item x="163"/>
        <item x="63"/>
        <item x="33"/>
        <item x="210"/>
        <item x="82"/>
        <item x="98"/>
        <item x="106"/>
        <item x="25"/>
        <item x="52"/>
        <item x="248"/>
        <item x="103"/>
        <item x="14"/>
        <item x="161"/>
        <item x="216"/>
        <item x="154"/>
        <item x="100"/>
        <item x="86"/>
        <item x="102"/>
        <item x="260"/>
        <item x="223"/>
        <item x="109"/>
        <item x="150"/>
        <item x="257"/>
        <item x="152"/>
        <item x="77"/>
        <item x="58"/>
        <item x="7"/>
        <item x="29"/>
        <item x="66"/>
        <item x="242"/>
        <item x="73"/>
        <item x="10"/>
        <item x="183"/>
        <item x="227"/>
        <item x="205"/>
        <item x="171"/>
        <item x="158"/>
        <item x="244"/>
        <item x="89"/>
        <item x="76"/>
        <item x="153"/>
        <item x="160"/>
        <item x="233"/>
        <item x="1"/>
        <item x="256"/>
        <item x="252"/>
        <item x="24"/>
        <item x="18"/>
        <item x="126"/>
        <item x="88"/>
        <item x="130"/>
        <item x="195"/>
        <item x="114"/>
        <item x="87"/>
        <item x="2"/>
        <item x="6"/>
        <item x="259"/>
        <item x="157"/>
        <item x="194"/>
        <item x="45"/>
        <item x="156"/>
        <item x="169"/>
        <item x="241"/>
        <item x="237"/>
        <item x="198"/>
        <item x="167"/>
        <item x="78"/>
        <item x="55"/>
        <item x="211"/>
        <item x="42"/>
        <item x="236"/>
        <item x="71"/>
        <item x="179"/>
        <item x="231"/>
        <item x="26"/>
        <item x="3"/>
        <item x="219"/>
        <item x="228"/>
        <item x="182"/>
        <item x="135"/>
        <item x="141"/>
        <item x="81"/>
        <item x="59"/>
        <item x="80"/>
        <item x="199"/>
        <item x="12"/>
        <item x="245"/>
        <item x="137"/>
        <item x="240"/>
        <item x="200"/>
        <item x="65"/>
        <item x="265"/>
        <item x="43"/>
        <item x="264"/>
        <item x="168"/>
        <item x="269"/>
        <item x="27"/>
        <item x="213"/>
        <item x="180"/>
        <item x="113"/>
        <item x="147"/>
        <item x="36"/>
        <item x="68"/>
        <item x="218"/>
        <item t="default"/>
      </items>
    </pivotField>
    <pivotField numFmtId="14"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items count="9">
        <item x="6"/>
        <item x="5"/>
        <item x="4"/>
        <item x="0"/>
        <item x="3"/>
        <item x="1"/>
        <item x="2"/>
        <item x="7"/>
        <item t="default"/>
      </items>
    </pivotField>
    <pivotField showAll="0"/>
    <pivotField numFmtId="164" showAll="0"/>
    <pivotField numFmtId="10" showAll="0"/>
    <pivotField dataField="1" numFmtId="44" showAll="0"/>
    <pivotField numFmtId="44" showAll="0"/>
    <pivotField numFmtId="164" showAll="0"/>
    <pivotField numFmtId="10" showAll="0"/>
    <pivotField showAll="0">
      <items count="7">
        <item x="5"/>
        <item x="4"/>
        <item x="2"/>
        <item x="1"/>
        <item x="0"/>
        <item x="3"/>
        <item t="default"/>
      </items>
    </pivotField>
    <pivotField showAll="0">
      <items count="5">
        <item x="0"/>
        <item x="1"/>
        <item x="3"/>
        <item x="2"/>
        <item t="default"/>
      </items>
    </pivotField>
    <pivotField showAll="0"/>
    <pivotField showAll="0">
      <items count="3">
        <item x="0"/>
        <item x="1"/>
        <item t="default"/>
      </items>
    </pivotField>
    <pivotField showAll="0"/>
    <pivotField showAll="0"/>
    <pivotField showAll="0"/>
    <pivotField showAll="0"/>
    <pivotField showAll="0">
      <items count="2">
        <item x="0"/>
        <item t="default"/>
      </items>
    </pivotField>
    <pivotField showAll="0"/>
    <pivotField showAll="0"/>
    <pivotField showAll="0"/>
    <pivotField showAll="0"/>
    <pivotField showAll="0"/>
  </pivotFields>
  <rowFields count="1">
    <field x="9"/>
  </rowFields>
  <rowItems count="5">
    <i>
      <x/>
    </i>
    <i>
      <x v="1"/>
    </i>
    <i>
      <x v="2"/>
    </i>
    <i>
      <x v="3"/>
    </i>
    <i t="grand">
      <x/>
    </i>
  </rowItems>
  <colItems count="1">
    <i/>
  </colItems>
  <dataFields count="1">
    <dataField name="Sum of Sales Amount" fld="18" baseField="0" baseItem="0" numFmtId="44"/>
  </dataFields>
  <chartFormats count="4">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2A42852-84E1-416A-98D2-CD646377586F}" name="PivotTable1"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B3:C7" firstHeaderRow="1" firstDataRow="1" firstDataCol="1"/>
  <pivotFields count="36">
    <pivotField showAll="0"/>
    <pivotField numFmtId="14" showAll="0">
      <items count="272">
        <item x="41"/>
        <item x="101"/>
        <item x="107"/>
        <item x="67"/>
        <item x="120"/>
        <item x="115"/>
        <item x="129"/>
        <item x="181"/>
        <item x="105"/>
        <item x="70"/>
        <item x="214"/>
        <item x="215"/>
        <item x="190"/>
        <item x="108"/>
        <item x="48"/>
        <item x="148"/>
        <item x="170"/>
        <item x="140"/>
        <item x="39"/>
        <item x="188"/>
        <item x="121"/>
        <item x="173"/>
        <item x="0"/>
        <item x="224"/>
        <item x="176"/>
        <item x="177"/>
        <item x="151"/>
        <item x="143"/>
        <item x="32"/>
        <item x="262"/>
        <item x="74"/>
        <item x="149"/>
        <item x="246"/>
        <item x="54"/>
        <item x="131"/>
        <item x="93"/>
        <item x="44"/>
        <item x="144"/>
        <item x="250"/>
        <item x="19"/>
        <item x="164"/>
        <item x="247"/>
        <item x="134"/>
        <item x="209"/>
        <item x="13"/>
        <item x="22"/>
        <item x="17"/>
        <item x="62"/>
        <item x="124"/>
        <item x="146"/>
        <item x="21"/>
        <item x="159"/>
        <item x="212"/>
        <item x="133"/>
        <item x="15"/>
        <item x="225"/>
        <item x="46"/>
        <item x="239"/>
        <item x="266"/>
        <item x="204"/>
        <item x="51"/>
        <item x="136"/>
        <item x="94"/>
        <item x="185"/>
        <item x="50"/>
        <item x="16"/>
        <item x="249"/>
        <item x="57"/>
        <item x="83"/>
        <item x="174"/>
        <item x="172"/>
        <item x="263"/>
        <item x="72"/>
        <item x="28"/>
        <item x="132"/>
        <item x="123"/>
        <item x="49"/>
        <item x="34"/>
        <item x="202"/>
        <item x="255"/>
        <item x="238"/>
        <item x="230"/>
        <item x="56"/>
        <item x="4"/>
        <item x="61"/>
        <item x="95"/>
        <item x="116"/>
        <item x="122"/>
        <item x="11"/>
        <item x="178"/>
        <item x="243"/>
        <item x="155"/>
        <item x="208"/>
        <item x="85"/>
        <item x="125"/>
        <item x="9"/>
        <item x="128"/>
        <item x="217"/>
        <item x="104"/>
        <item x="201"/>
        <item x="117"/>
        <item x="175"/>
        <item x="119"/>
        <item x="192"/>
        <item x="267"/>
        <item x="75"/>
        <item x="69"/>
        <item x="184"/>
        <item x="191"/>
        <item x="187"/>
        <item x="166"/>
        <item x="127"/>
        <item x="97"/>
        <item x="232"/>
        <item x="90"/>
        <item x="145"/>
        <item x="261"/>
        <item x="38"/>
        <item x="226"/>
        <item x="186"/>
        <item x="30"/>
        <item x="258"/>
        <item x="142"/>
        <item x="37"/>
        <item x="220"/>
        <item x="53"/>
        <item x="31"/>
        <item x="60"/>
        <item x="206"/>
        <item x="229"/>
        <item x="5"/>
        <item x="189"/>
        <item x="197"/>
        <item x="84"/>
        <item x="203"/>
        <item x="64"/>
        <item x="111"/>
        <item x="112"/>
        <item x="196"/>
        <item x="118"/>
        <item x="234"/>
        <item x="193"/>
        <item x="35"/>
        <item x="221"/>
        <item x="251"/>
        <item x="96"/>
        <item x="270"/>
        <item x="110"/>
        <item x="40"/>
        <item x="253"/>
        <item x="79"/>
        <item x="222"/>
        <item x="254"/>
        <item x="138"/>
        <item x="99"/>
        <item x="207"/>
        <item x="92"/>
        <item x="47"/>
        <item x="20"/>
        <item x="165"/>
        <item x="268"/>
        <item x="235"/>
        <item x="8"/>
        <item x="162"/>
        <item x="139"/>
        <item x="23"/>
        <item x="91"/>
        <item x="163"/>
        <item x="63"/>
        <item x="33"/>
        <item x="210"/>
        <item x="82"/>
        <item x="98"/>
        <item x="106"/>
        <item x="25"/>
        <item x="52"/>
        <item x="248"/>
        <item x="103"/>
        <item x="14"/>
        <item x="161"/>
        <item x="216"/>
        <item x="154"/>
        <item x="100"/>
        <item x="86"/>
        <item x="102"/>
        <item x="260"/>
        <item x="223"/>
        <item x="109"/>
        <item x="150"/>
        <item x="257"/>
        <item x="152"/>
        <item x="77"/>
        <item x="58"/>
        <item x="7"/>
        <item x="29"/>
        <item x="66"/>
        <item x="242"/>
        <item x="73"/>
        <item x="10"/>
        <item x="183"/>
        <item x="227"/>
        <item x="205"/>
        <item x="171"/>
        <item x="158"/>
        <item x="244"/>
        <item x="89"/>
        <item x="76"/>
        <item x="153"/>
        <item x="160"/>
        <item x="233"/>
        <item x="1"/>
        <item x="256"/>
        <item x="252"/>
        <item x="24"/>
        <item x="18"/>
        <item x="126"/>
        <item x="88"/>
        <item x="130"/>
        <item x="195"/>
        <item x="114"/>
        <item x="87"/>
        <item x="2"/>
        <item x="6"/>
        <item x="259"/>
        <item x="157"/>
        <item x="194"/>
        <item x="45"/>
        <item x="156"/>
        <item x="169"/>
        <item x="241"/>
        <item x="237"/>
        <item x="198"/>
        <item x="167"/>
        <item x="78"/>
        <item x="55"/>
        <item x="211"/>
        <item x="42"/>
        <item x="236"/>
        <item x="71"/>
        <item x="179"/>
        <item x="231"/>
        <item x="26"/>
        <item x="3"/>
        <item x="219"/>
        <item x="228"/>
        <item x="182"/>
        <item x="135"/>
        <item x="141"/>
        <item x="81"/>
        <item x="59"/>
        <item x="80"/>
        <item x="199"/>
        <item x="12"/>
        <item x="245"/>
        <item x="137"/>
        <item x="240"/>
        <item x="200"/>
        <item x="65"/>
        <item x="265"/>
        <item x="43"/>
        <item x="264"/>
        <item x="168"/>
        <item x="269"/>
        <item x="27"/>
        <item x="213"/>
        <item x="180"/>
        <item x="113"/>
        <item x="147"/>
        <item x="36"/>
        <item x="68"/>
        <item x="218"/>
        <item t="default"/>
      </items>
    </pivotField>
    <pivotField numFmtId="14" showAll="0"/>
    <pivotField showAll="0"/>
    <pivotField showAll="0"/>
    <pivotField showAll="0"/>
    <pivotField showAll="0"/>
    <pivotField showAll="0"/>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9">
        <item x="6"/>
        <item x="5"/>
        <item x="4"/>
        <item x="0"/>
        <item x="3"/>
        <item x="1"/>
        <item x="2"/>
        <item x="7"/>
        <item t="default"/>
      </items>
    </pivotField>
    <pivotField showAll="0"/>
    <pivotField numFmtId="164" showAll="0"/>
    <pivotField numFmtId="10" showAll="0"/>
    <pivotField dataField="1" numFmtId="44" showAll="0"/>
    <pivotField numFmtId="44" showAll="0"/>
    <pivotField numFmtId="164" showAll="0"/>
    <pivotField numFmtId="10" showAll="0"/>
    <pivotField showAll="0">
      <items count="7">
        <item x="5"/>
        <item x="4"/>
        <item x="2"/>
        <item x="1"/>
        <item x="0"/>
        <item x="3"/>
        <item t="default"/>
      </items>
    </pivotField>
    <pivotField showAll="0">
      <items count="5">
        <item x="0"/>
        <item x="1"/>
        <item x="3"/>
        <item x="2"/>
        <item t="default"/>
      </items>
    </pivotField>
    <pivotField showAll="0"/>
    <pivotField showAll="0">
      <items count="3">
        <item x="0"/>
        <item x="1"/>
        <item t="default"/>
      </items>
    </pivotField>
    <pivotField showAll="0"/>
    <pivotField showAll="0"/>
    <pivotField showAll="0"/>
    <pivotField showAll="0"/>
    <pivotField showAll="0">
      <items count="2">
        <item x="0"/>
        <item t="default"/>
      </items>
    </pivotField>
    <pivotField showAll="0"/>
    <pivotField showAll="0"/>
    <pivotField showAll="0"/>
    <pivotField showAll="0"/>
    <pivotField showAll="0"/>
  </pivotFields>
  <rowFields count="1">
    <field x="12"/>
  </rowFields>
  <rowItems count="4">
    <i>
      <x/>
    </i>
    <i>
      <x v="1"/>
    </i>
    <i>
      <x v="2"/>
    </i>
    <i t="grand">
      <x/>
    </i>
  </rowItems>
  <colItems count="1">
    <i/>
  </colItems>
  <dataFields count="1">
    <dataField name="Sum of Sales Amount" fld="18" baseField="0" baseItem="0" numFmtId="44"/>
  </dataField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223AFBB-BF76-4C82-9281-28EE05008905}" name="PivotTable6"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E10:F17" firstHeaderRow="1" firstDataRow="1" firstDataCol="1"/>
  <pivotFields count="36">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4" showAll="0">
      <items count="272">
        <item x="41"/>
        <item x="101"/>
        <item x="107"/>
        <item x="67"/>
        <item x="120"/>
        <item x="115"/>
        <item x="129"/>
        <item x="181"/>
        <item x="105"/>
        <item x="70"/>
        <item x="214"/>
        <item x="215"/>
        <item x="190"/>
        <item x="108"/>
        <item x="48"/>
        <item x="148"/>
        <item x="170"/>
        <item x="140"/>
        <item x="39"/>
        <item x="188"/>
        <item x="121"/>
        <item x="173"/>
        <item x="0"/>
        <item x="224"/>
        <item x="176"/>
        <item x="177"/>
        <item x="151"/>
        <item x="143"/>
        <item x="32"/>
        <item x="262"/>
        <item x="74"/>
        <item x="149"/>
        <item x="246"/>
        <item x="54"/>
        <item x="131"/>
        <item x="93"/>
        <item x="44"/>
        <item x="144"/>
        <item x="250"/>
        <item x="19"/>
        <item x="164"/>
        <item x="247"/>
        <item x="134"/>
        <item x="209"/>
        <item x="13"/>
        <item x="22"/>
        <item x="17"/>
        <item x="62"/>
        <item x="124"/>
        <item x="146"/>
        <item x="21"/>
        <item x="159"/>
        <item x="212"/>
        <item x="133"/>
        <item x="15"/>
        <item x="225"/>
        <item x="46"/>
        <item x="239"/>
        <item x="266"/>
        <item x="204"/>
        <item x="51"/>
        <item x="136"/>
        <item x="94"/>
        <item x="185"/>
        <item x="50"/>
        <item x="16"/>
        <item x="249"/>
        <item x="57"/>
        <item x="83"/>
        <item x="174"/>
        <item x="172"/>
        <item x="263"/>
        <item x="72"/>
        <item x="28"/>
        <item x="132"/>
        <item x="123"/>
        <item x="49"/>
        <item x="34"/>
        <item x="202"/>
        <item x="255"/>
        <item x="238"/>
        <item x="230"/>
        <item x="56"/>
        <item x="4"/>
        <item x="61"/>
        <item x="95"/>
        <item x="116"/>
        <item x="122"/>
        <item x="11"/>
        <item x="178"/>
        <item x="243"/>
        <item x="155"/>
        <item x="208"/>
        <item x="85"/>
        <item x="125"/>
        <item x="9"/>
        <item x="128"/>
        <item x="217"/>
        <item x="104"/>
        <item x="201"/>
        <item x="117"/>
        <item x="175"/>
        <item x="119"/>
        <item x="192"/>
        <item x="267"/>
        <item x="75"/>
        <item x="69"/>
        <item x="184"/>
        <item x="191"/>
        <item x="187"/>
        <item x="166"/>
        <item x="127"/>
        <item x="97"/>
        <item x="232"/>
        <item x="90"/>
        <item x="145"/>
        <item x="261"/>
        <item x="38"/>
        <item x="226"/>
        <item x="186"/>
        <item x="30"/>
        <item x="258"/>
        <item x="142"/>
        <item x="37"/>
        <item x="220"/>
        <item x="53"/>
        <item x="31"/>
        <item x="60"/>
        <item x="206"/>
        <item x="229"/>
        <item x="5"/>
        <item x="189"/>
        <item x="197"/>
        <item x="84"/>
        <item x="203"/>
        <item x="64"/>
        <item x="111"/>
        <item x="112"/>
        <item x="196"/>
        <item x="118"/>
        <item x="234"/>
        <item x="193"/>
        <item x="35"/>
        <item x="221"/>
        <item x="251"/>
        <item x="96"/>
        <item x="270"/>
        <item x="110"/>
        <item x="40"/>
        <item x="253"/>
        <item x="79"/>
        <item x="222"/>
        <item x="254"/>
        <item x="138"/>
        <item x="99"/>
        <item x="207"/>
        <item x="92"/>
        <item x="47"/>
        <item x="20"/>
        <item x="165"/>
        <item x="268"/>
        <item x="235"/>
        <item x="8"/>
        <item x="162"/>
        <item x="139"/>
        <item x="23"/>
        <item x="91"/>
        <item x="163"/>
        <item x="63"/>
        <item x="33"/>
        <item x="210"/>
        <item x="82"/>
        <item x="98"/>
        <item x="106"/>
        <item x="25"/>
        <item x="52"/>
        <item x="248"/>
        <item x="103"/>
        <item x="14"/>
        <item x="161"/>
        <item x="216"/>
        <item x="154"/>
        <item x="100"/>
        <item x="86"/>
        <item x="102"/>
        <item x="260"/>
        <item x="223"/>
        <item x="109"/>
        <item x="150"/>
        <item x="257"/>
        <item x="152"/>
        <item x="77"/>
        <item x="58"/>
        <item x="7"/>
        <item x="29"/>
        <item x="66"/>
        <item x="242"/>
        <item x="73"/>
        <item x="10"/>
        <item x="183"/>
        <item x="227"/>
        <item x="205"/>
        <item x="171"/>
        <item x="158"/>
        <item x="244"/>
        <item x="89"/>
        <item x="76"/>
        <item x="153"/>
        <item x="160"/>
        <item x="233"/>
        <item x="1"/>
        <item x="256"/>
        <item x="252"/>
        <item x="24"/>
        <item x="18"/>
        <item x="126"/>
        <item x="88"/>
        <item x="130"/>
        <item x="195"/>
        <item x="114"/>
        <item x="87"/>
        <item x="2"/>
        <item x="6"/>
        <item x="259"/>
        <item x="157"/>
        <item x="194"/>
        <item x="45"/>
        <item x="156"/>
        <item x="169"/>
        <item x="241"/>
        <item x="237"/>
        <item x="198"/>
        <item x="167"/>
        <item x="78"/>
        <item x="55"/>
        <item x="211"/>
        <item x="42"/>
        <item x="236"/>
        <item x="71"/>
        <item x="179"/>
        <item x="231"/>
        <item x="26"/>
        <item x="3"/>
        <item x="219"/>
        <item x="228"/>
        <item x="182"/>
        <item x="135"/>
        <item x="141"/>
        <item x="81"/>
        <item x="59"/>
        <item x="80"/>
        <item x="199"/>
        <item x="12"/>
        <item x="245"/>
        <item x="137"/>
        <item x="240"/>
        <item x="200"/>
        <item x="65"/>
        <item x="265"/>
        <item x="43"/>
        <item x="264"/>
        <item x="168"/>
        <item x="269"/>
        <item x="27"/>
        <item x="213"/>
        <item x="180"/>
        <item x="113"/>
        <item x="147"/>
        <item x="36"/>
        <item x="68"/>
        <item x="218"/>
        <item t="default"/>
      </items>
    </pivotField>
    <pivotField numFmtId="14"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9">
        <item x="6"/>
        <item x="5"/>
        <item x="4"/>
        <item x="0"/>
        <item x="3"/>
        <item x="1"/>
        <item x="2"/>
        <item x="7"/>
        <item t="default"/>
      </items>
    </pivotField>
    <pivotField showAll="0"/>
    <pivotField numFmtId="164" showAll="0"/>
    <pivotField numFmtId="10" showAll="0"/>
    <pivotField numFmtId="44" showAll="0"/>
    <pivotField numFmtId="44" showAll="0"/>
    <pivotField numFmtId="164" showAll="0"/>
    <pivotField numFmtId="10" showAll="0"/>
    <pivotField axis="axisRow" showAll="0">
      <items count="7">
        <item x="5"/>
        <item x="4"/>
        <item x="2"/>
        <item x="1"/>
        <item x="0"/>
        <item x="3"/>
        <item t="default"/>
      </items>
    </pivotField>
    <pivotField showAll="0">
      <items count="5">
        <item x="0"/>
        <item x="1"/>
        <item x="3"/>
        <item x="2"/>
        <item t="default"/>
      </items>
    </pivotField>
    <pivotField showAll="0"/>
    <pivotField showAll="0">
      <items count="3">
        <item x="0"/>
        <item x="1"/>
        <item t="default"/>
      </items>
    </pivotField>
    <pivotField showAll="0"/>
    <pivotField showAll="0"/>
    <pivotField showAll="0"/>
    <pivotField showAll="0"/>
    <pivotField showAll="0">
      <items count="2">
        <item x="0"/>
        <item t="default"/>
      </items>
    </pivotField>
    <pivotField showAll="0"/>
    <pivotField showAll="0"/>
    <pivotField showAll="0"/>
    <pivotField showAll="0"/>
    <pivotField showAll="0"/>
  </pivotFields>
  <rowFields count="1">
    <field x="22"/>
  </rowFields>
  <rowItems count="7">
    <i>
      <x/>
    </i>
    <i>
      <x v="1"/>
    </i>
    <i>
      <x v="2"/>
    </i>
    <i>
      <x v="3"/>
    </i>
    <i>
      <x v="4"/>
    </i>
    <i>
      <x v="5"/>
    </i>
    <i t="grand">
      <x/>
    </i>
  </rowItems>
  <colItems count="1">
    <i/>
  </colItems>
  <dataFields count="1">
    <dataField name="Count of Order ID" fld="0" subtotal="count" baseField="0" baseItem="0"/>
  </dataFields>
  <chartFormats count="1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22" count="1" selected="0">
            <x v="0"/>
          </reference>
        </references>
      </pivotArea>
    </chartFormat>
    <chartFormat chart="4" format="10">
      <pivotArea type="data" outline="0" fieldPosition="0">
        <references count="2">
          <reference field="4294967294" count="1" selected="0">
            <x v="0"/>
          </reference>
          <reference field="22" count="1" selected="0">
            <x v="1"/>
          </reference>
        </references>
      </pivotArea>
    </chartFormat>
    <chartFormat chart="4" format="11">
      <pivotArea type="data" outline="0" fieldPosition="0">
        <references count="2">
          <reference field="4294967294" count="1" selected="0">
            <x v="0"/>
          </reference>
          <reference field="22" count="1" selected="0">
            <x v="2"/>
          </reference>
        </references>
      </pivotArea>
    </chartFormat>
    <chartFormat chart="4" format="12">
      <pivotArea type="data" outline="0" fieldPosition="0">
        <references count="2">
          <reference field="4294967294" count="1" selected="0">
            <x v="0"/>
          </reference>
          <reference field="22" count="1" selected="0">
            <x v="3"/>
          </reference>
        </references>
      </pivotArea>
    </chartFormat>
    <chartFormat chart="4" format="13">
      <pivotArea type="data" outline="0" fieldPosition="0">
        <references count="2">
          <reference field="4294967294" count="1" selected="0">
            <x v="0"/>
          </reference>
          <reference field="22" count="1" selected="0">
            <x v="4"/>
          </reference>
        </references>
      </pivotArea>
    </chartFormat>
    <chartFormat chart="4" format="14">
      <pivotArea type="data" outline="0" fieldPosition="0">
        <references count="2">
          <reference field="4294967294" count="1" selected="0">
            <x v="0"/>
          </reference>
          <reference field="22" count="1" selected="0">
            <x v="5"/>
          </reference>
        </references>
      </pivotArea>
    </chartFormat>
    <chartFormat chart="13" format="22" series="1">
      <pivotArea type="data" outline="0" fieldPosition="0">
        <references count="1">
          <reference field="4294967294" count="1" selected="0">
            <x v="0"/>
          </reference>
        </references>
      </pivotArea>
    </chartFormat>
    <chartFormat chart="13" format="23">
      <pivotArea type="data" outline="0" fieldPosition="0">
        <references count="2">
          <reference field="4294967294" count="1" selected="0">
            <x v="0"/>
          </reference>
          <reference field="22" count="1" selected="0">
            <x v="0"/>
          </reference>
        </references>
      </pivotArea>
    </chartFormat>
    <chartFormat chart="13" format="24">
      <pivotArea type="data" outline="0" fieldPosition="0">
        <references count="2">
          <reference field="4294967294" count="1" selected="0">
            <x v="0"/>
          </reference>
          <reference field="22" count="1" selected="0">
            <x v="1"/>
          </reference>
        </references>
      </pivotArea>
    </chartFormat>
    <chartFormat chart="13" format="25">
      <pivotArea type="data" outline="0" fieldPosition="0">
        <references count="2">
          <reference field="4294967294" count="1" selected="0">
            <x v="0"/>
          </reference>
          <reference field="22" count="1" selected="0">
            <x v="2"/>
          </reference>
        </references>
      </pivotArea>
    </chartFormat>
    <chartFormat chart="13" format="26">
      <pivotArea type="data" outline="0" fieldPosition="0">
        <references count="2">
          <reference field="4294967294" count="1" selected="0">
            <x v="0"/>
          </reference>
          <reference field="22" count="1" selected="0">
            <x v="3"/>
          </reference>
        </references>
      </pivotArea>
    </chartFormat>
    <chartFormat chart="13" format="27">
      <pivotArea type="data" outline="0" fieldPosition="0">
        <references count="2">
          <reference field="4294967294" count="1" selected="0">
            <x v="0"/>
          </reference>
          <reference field="22" count="1" selected="0">
            <x v="4"/>
          </reference>
        </references>
      </pivotArea>
    </chartFormat>
    <chartFormat chart="13" format="28">
      <pivotArea type="data" outline="0" fieldPosition="0">
        <references count="2">
          <reference field="4294967294" count="1" selected="0">
            <x v="0"/>
          </reference>
          <reference field="2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E29FCA7-0DA8-45F9-8E40-02592ECEFE22}" name="PivotTable8"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N3:O12" firstHeaderRow="1" firstDataRow="1" firstDataCol="1"/>
  <pivotFields count="36">
    <pivotField showAll="0"/>
    <pivotField numFmtId="14" showAll="0">
      <items count="272">
        <item x="41"/>
        <item x="101"/>
        <item x="107"/>
        <item x="67"/>
        <item x="120"/>
        <item x="115"/>
        <item x="129"/>
        <item x="181"/>
        <item x="105"/>
        <item x="70"/>
        <item x="214"/>
        <item x="215"/>
        <item x="190"/>
        <item x="108"/>
        <item x="48"/>
        <item x="148"/>
        <item x="170"/>
        <item x="140"/>
        <item x="39"/>
        <item x="188"/>
        <item x="121"/>
        <item x="173"/>
        <item x="0"/>
        <item x="224"/>
        <item x="176"/>
        <item x="177"/>
        <item x="151"/>
        <item x="143"/>
        <item x="32"/>
        <item x="262"/>
        <item x="74"/>
        <item x="149"/>
        <item x="246"/>
        <item x="54"/>
        <item x="131"/>
        <item x="93"/>
        <item x="44"/>
        <item x="144"/>
        <item x="250"/>
        <item x="19"/>
        <item x="164"/>
        <item x="247"/>
        <item x="134"/>
        <item x="209"/>
        <item x="13"/>
        <item x="22"/>
        <item x="17"/>
        <item x="62"/>
        <item x="124"/>
        <item x="146"/>
        <item x="21"/>
        <item x="159"/>
        <item x="212"/>
        <item x="133"/>
        <item x="15"/>
        <item x="225"/>
        <item x="46"/>
        <item x="239"/>
        <item x="266"/>
        <item x="204"/>
        <item x="51"/>
        <item x="136"/>
        <item x="94"/>
        <item x="185"/>
        <item x="50"/>
        <item x="16"/>
        <item x="249"/>
        <item x="57"/>
        <item x="83"/>
        <item x="174"/>
        <item x="172"/>
        <item x="263"/>
        <item x="72"/>
        <item x="28"/>
        <item x="132"/>
        <item x="123"/>
        <item x="49"/>
        <item x="34"/>
        <item x="202"/>
        <item x="255"/>
        <item x="238"/>
        <item x="230"/>
        <item x="56"/>
        <item x="4"/>
        <item x="61"/>
        <item x="95"/>
        <item x="116"/>
        <item x="122"/>
        <item x="11"/>
        <item x="178"/>
        <item x="243"/>
        <item x="155"/>
        <item x="208"/>
        <item x="85"/>
        <item x="125"/>
        <item x="9"/>
        <item x="128"/>
        <item x="217"/>
        <item x="104"/>
        <item x="201"/>
        <item x="117"/>
        <item x="175"/>
        <item x="119"/>
        <item x="192"/>
        <item x="267"/>
        <item x="75"/>
        <item x="69"/>
        <item x="184"/>
        <item x="191"/>
        <item x="187"/>
        <item x="166"/>
        <item x="127"/>
        <item x="97"/>
        <item x="232"/>
        <item x="90"/>
        <item x="145"/>
        <item x="261"/>
        <item x="38"/>
        <item x="226"/>
        <item x="186"/>
        <item x="30"/>
        <item x="258"/>
        <item x="142"/>
        <item x="37"/>
        <item x="220"/>
        <item x="53"/>
        <item x="31"/>
        <item x="60"/>
        <item x="206"/>
        <item x="229"/>
        <item x="5"/>
        <item x="189"/>
        <item x="197"/>
        <item x="84"/>
        <item x="203"/>
        <item x="64"/>
        <item x="111"/>
        <item x="112"/>
        <item x="196"/>
        <item x="118"/>
        <item x="234"/>
        <item x="193"/>
        <item x="35"/>
        <item x="221"/>
        <item x="251"/>
        <item x="96"/>
        <item x="270"/>
        <item x="110"/>
        <item x="40"/>
        <item x="253"/>
        <item x="79"/>
        <item x="222"/>
        <item x="254"/>
        <item x="138"/>
        <item x="99"/>
        <item x="207"/>
        <item x="92"/>
        <item x="47"/>
        <item x="20"/>
        <item x="165"/>
        <item x="268"/>
        <item x="235"/>
        <item x="8"/>
        <item x="162"/>
        <item x="139"/>
        <item x="23"/>
        <item x="91"/>
        <item x="163"/>
        <item x="63"/>
        <item x="33"/>
        <item x="210"/>
        <item x="82"/>
        <item x="98"/>
        <item x="106"/>
        <item x="25"/>
        <item x="52"/>
        <item x="248"/>
        <item x="103"/>
        <item x="14"/>
        <item x="161"/>
        <item x="216"/>
        <item x="154"/>
        <item x="100"/>
        <item x="86"/>
        <item x="102"/>
        <item x="260"/>
        <item x="223"/>
        <item x="109"/>
        <item x="150"/>
        <item x="257"/>
        <item x="152"/>
        <item x="77"/>
        <item x="58"/>
        <item x="7"/>
        <item x="29"/>
        <item x="66"/>
        <item x="242"/>
        <item x="73"/>
        <item x="10"/>
        <item x="183"/>
        <item x="227"/>
        <item x="205"/>
        <item x="171"/>
        <item x="158"/>
        <item x="244"/>
        <item x="89"/>
        <item x="76"/>
        <item x="153"/>
        <item x="160"/>
        <item x="233"/>
        <item x="1"/>
        <item x="256"/>
        <item x="252"/>
        <item x="24"/>
        <item x="18"/>
        <item x="126"/>
        <item x="88"/>
        <item x="130"/>
        <item x="195"/>
        <item x="114"/>
        <item x="87"/>
        <item x="2"/>
        <item x="6"/>
        <item x="259"/>
        <item x="157"/>
        <item x="194"/>
        <item x="45"/>
        <item x="156"/>
        <item x="169"/>
        <item x="241"/>
        <item x="237"/>
        <item x="198"/>
        <item x="167"/>
        <item x="78"/>
        <item x="55"/>
        <item x="211"/>
        <item x="42"/>
        <item x="236"/>
        <item x="71"/>
        <item x="179"/>
        <item x="231"/>
        <item x="26"/>
        <item x="3"/>
        <item x="219"/>
        <item x="228"/>
        <item x="182"/>
        <item x="135"/>
        <item x="141"/>
        <item x="81"/>
        <item x="59"/>
        <item x="80"/>
        <item x="199"/>
        <item x="12"/>
        <item x="245"/>
        <item x="137"/>
        <item x="240"/>
        <item x="200"/>
        <item x="65"/>
        <item x="265"/>
        <item x="43"/>
        <item x="264"/>
        <item x="168"/>
        <item x="269"/>
        <item x="27"/>
        <item x="213"/>
        <item x="180"/>
        <item x="113"/>
        <item x="147"/>
        <item x="36"/>
        <item x="68"/>
        <item x="218"/>
        <item t="default"/>
      </items>
    </pivotField>
    <pivotField numFmtId="14"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axis="axisRow" showAll="0">
      <items count="9">
        <item x="6"/>
        <item x="5"/>
        <item x="4"/>
        <item x="0"/>
        <item x="3"/>
        <item x="1"/>
        <item x="2"/>
        <item x="7"/>
        <item t="default"/>
      </items>
    </pivotField>
    <pivotField showAll="0"/>
    <pivotField numFmtId="164" showAll="0"/>
    <pivotField numFmtId="10" showAll="0"/>
    <pivotField dataField="1" numFmtId="44" showAll="0"/>
    <pivotField numFmtId="44" showAll="0"/>
    <pivotField numFmtId="164" showAll="0"/>
    <pivotField numFmtId="10" showAll="0"/>
    <pivotField showAll="0">
      <items count="7">
        <item x="5"/>
        <item x="4"/>
        <item x="2"/>
        <item x="1"/>
        <item x="0"/>
        <item x="3"/>
        <item t="default"/>
      </items>
    </pivotField>
    <pivotField showAll="0">
      <items count="5">
        <item x="0"/>
        <item x="1"/>
        <item x="3"/>
        <item x="2"/>
        <item t="default"/>
      </items>
    </pivotField>
    <pivotField showAll="0"/>
    <pivotField showAll="0">
      <items count="3">
        <item x="0"/>
        <item x="1"/>
        <item t="default"/>
      </items>
    </pivotField>
    <pivotField showAll="0"/>
    <pivotField showAll="0"/>
    <pivotField showAll="0"/>
    <pivotField showAll="0"/>
    <pivotField showAll="0">
      <items count="2">
        <item x="0"/>
        <item t="default"/>
      </items>
    </pivotField>
    <pivotField showAll="0"/>
    <pivotField showAll="0"/>
    <pivotField showAll="0"/>
    <pivotField showAll="0"/>
    <pivotField showAll="0"/>
  </pivotFields>
  <rowFields count="1">
    <field x="14"/>
  </rowFields>
  <rowItems count="9">
    <i>
      <x/>
    </i>
    <i>
      <x v="1"/>
    </i>
    <i>
      <x v="2"/>
    </i>
    <i>
      <x v="3"/>
    </i>
    <i>
      <x v="4"/>
    </i>
    <i>
      <x v="5"/>
    </i>
    <i>
      <x v="6"/>
    </i>
    <i>
      <x v="7"/>
    </i>
    <i t="grand">
      <x/>
    </i>
  </rowItems>
  <colItems count="1">
    <i/>
  </colItems>
  <dataFields count="1">
    <dataField name="Sum of Sales Amount" fld="18" baseField="0" baseItem="0" numFmtId="44"/>
  </dataFields>
  <chartFormats count="2">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D56381F-CA7E-4CDA-9A3E-A729B8A20B98}" name="PivotTable5"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B10:C18" firstHeaderRow="1" firstDataRow="1" firstDataCol="1"/>
  <pivotFields count="36">
    <pivotField showAll="0"/>
    <pivotField numFmtId="14" showAll="0">
      <items count="272">
        <item x="41"/>
        <item x="101"/>
        <item x="107"/>
        <item x="67"/>
        <item x="120"/>
        <item x="115"/>
        <item x="129"/>
        <item x="181"/>
        <item x="105"/>
        <item x="70"/>
        <item x="214"/>
        <item x="215"/>
        <item x="190"/>
        <item x="108"/>
        <item x="48"/>
        <item x="148"/>
        <item x="170"/>
        <item x="140"/>
        <item x="39"/>
        <item x="188"/>
        <item x="121"/>
        <item x="173"/>
        <item x="0"/>
        <item x="224"/>
        <item x="176"/>
        <item x="177"/>
        <item x="151"/>
        <item x="143"/>
        <item x="32"/>
        <item x="262"/>
        <item x="74"/>
        <item x="149"/>
        <item x="246"/>
        <item x="54"/>
        <item x="131"/>
        <item x="93"/>
        <item x="44"/>
        <item x="144"/>
        <item x="250"/>
        <item x="19"/>
        <item x="164"/>
        <item x="247"/>
        <item x="134"/>
        <item x="209"/>
        <item x="13"/>
        <item x="22"/>
        <item x="17"/>
        <item x="62"/>
        <item x="124"/>
        <item x="146"/>
        <item x="21"/>
        <item x="159"/>
        <item x="212"/>
        <item x="133"/>
        <item x="15"/>
        <item x="225"/>
        <item x="46"/>
        <item x="239"/>
        <item x="266"/>
        <item x="204"/>
        <item x="51"/>
        <item x="136"/>
        <item x="94"/>
        <item x="185"/>
        <item x="50"/>
        <item x="16"/>
        <item x="249"/>
        <item x="57"/>
        <item x="83"/>
        <item x="174"/>
        <item x="172"/>
        <item x="263"/>
        <item x="72"/>
        <item x="28"/>
        <item x="132"/>
        <item x="123"/>
        <item x="49"/>
        <item x="34"/>
        <item x="202"/>
        <item x="255"/>
        <item x="238"/>
        <item x="230"/>
        <item x="56"/>
        <item x="4"/>
        <item x="61"/>
        <item x="95"/>
        <item x="116"/>
        <item x="122"/>
        <item x="11"/>
        <item x="178"/>
        <item x="243"/>
        <item x="155"/>
        <item x="208"/>
        <item x="85"/>
        <item x="125"/>
        <item x="9"/>
        <item x="128"/>
        <item x="217"/>
        <item x="104"/>
        <item x="201"/>
        <item x="117"/>
        <item x="175"/>
        <item x="119"/>
        <item x="192"/>
        <item x="267"/>
        <item x="75"/>
        <item x="69"/>
        <item x="184"/>
        <item x="191"/>
        <item x="187"/>
        <item x="166"/>
        <item x="127"/>
        <item x="97"/>
        <item x="232"/>
        <item x="90"/>
        <item x="145"/>
        <item x="261"/>
        <item x="38"/>
        <item x="226"/>
        <item x="186"/>
        <item x="30"/>
        <item x="258"/>
        <item x="142"/>
        <item x="37"/>
        <item x="220"/>
        <item x="53"/>
        <item x="31"/>
        <item x="60"/>
        <item x="206"/>
        <item x="229"/>
        <item x="5"/>
        <item x="189"/>
        <item x="197"/>
        <item x="84"/>
        <item x="203"/>
        <item x="64"/>
        <item x="111"/>
        <item x="112"/>
        <item x="196"/>
        <item x="118"/>
        <item x="234"/>
        <item x="193"/>
        <item x="35"/>
        <item x="221"/>
        <item x="251"/>
        <item x="96"/>
        <item x="270"/>
        <item x="110"/>
        <item x="40"/>
        <item x="253"/>
        <item x="79"/>
        <item x="222"/>
        <item x="254"/>
        <item x="138"/>
        <item x="99"/>
        <item x="207"/>
        <item x="92"/>
        <item x="47"/>
        <item x="20"/>
        <item x="165"/>
        <item x="268"/>
        <item x="235"/>
        <item x="8"/>
        <item x="162"/>
        <item x="139"/>
        <item x="23"/>
        <item x="91"/>
        <item x="163"/>
        <item x="63"/>
        <item x="33"/>
        <item x="210"/>
        <item x="82"/>
        <item x="98"/>
        <item x="106"/>
        <item x="25"/>
        <item x="52"/>
        <item x="248"/>
        <item x="103"/>
        <item x="14"/>
        <item x="161"/>
        <item x="216"/>
        <item x="154"/>
        <item x="100"/>
        <item x="86"/>
        <item x="102"/>
        <item x="260"/>
        <item x="223"/>
        <item x="109"/>
        <item x="150"/>
        <item x="257"/>
        <item x="152"/>
        <item x="77"/>
        <item x="58"/>
        <item x="7"/>
        <item x="29"/>
        <item x="66"/>
        <item x="242"/>
        <item x="73"/>
        <item x="10"/>
        <item x="183"/>
        <item x="227"/>
        <item x="205"/>
        <item x="171"/>
        <item x="158"/>
        <item x="244"/>
        <item x="89"/>
        <item x="76"/>
        <item x="153"/>
        <item x="160"/>
        <item x="233"/>
        <item x="1"/>
        <item x="256"/>
        <item x="252"/>
        <item x="24"/>
        <item x="18"/>
        <item x="126"/>
        <item x="88"/>
        <item x="130"/>
        <item x="195"/>
        <item x="114"/>
        <item x="87"/>
        <item x="2"/>
        <item x="6"/>
        <item x="259"/>
        <item x="157"/>
        <item x="194"/>
        <item x="45"/>
        <item x="156"/>
        <item x="169"/>
        <item x="241"/>
        <item x="237"/>
        <item x="198"/>
        <item x="167"/>
        <item x="78"/>
        <item x="55"/>
        <item x="211"/>
        <item x="42"/>
        <item x="236"/>
        <item x="71"/>
        <item x="179"/>
        <item x="231"/>
        <item x="26"/>
        <item x="3"/>
        <item x="219"/>
        <item x="228"/>
        <item x="182"/>
        <item x="135"/>
        <item x="141"/>
        <item x="81"/>
        <item x="59"/>
        <item x="80"/>
        <item x="199"/>
        <item x="12"/>
        <item x="245"/>
        <item x="137"/>
        <item x="240"/>
        <item x="200"/>
        <item x="65"/>
        <item x="265"/>
        <item x="43"/>
        <item x="264"/>
        <item x="168"/>
        <item x="269"/>
        <item x="27"/>
        <item x="213"/>
        <item x="180"/>
        <item x="113"/>
        <item x="147"/>
        <item x="36"/>
        <item x="68"/>
        <item x="218"/>
        <item t="default"/>
      </items>
    </pivotField>
    <pivotField numFmtId="14" showAll="0"/>
    <pivotField showAll="0"/>
    <pivotField showAll="0"/>
    <pivotField showAll="0"/>
    <pivotField showAll="0"/>
    <pivotField showAll="0"/>
    <pivotField axis="axisRow" showAll="0">
      <items count="8">
        <item x="4"/>
        <item x="6"/>
        <item x="5"/>
        <item x="2"/>
        <item x="0"/>
        <item x="1"/>
        <item x="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items count="9">
        <item x="6"/>
        <item x="5"/>
        <item x="4"/>
        <item x="0"/>
        <item x="3"/>
        <item x="1"/>
        <item x="2"/>
        <item x="7"/>
        <item t="default"/>
      </items>
    </pivotField>
    <pivotField showAll="0"/>
    <pivotField numFmtId="164" showAll="0"/>
    <pivotField numFmtId="10" showAll="0"/>
    <pivotField dataField="1" numFmtId="44" showAll="0"/>
    <pivotField numFmtId="44" showAll="0"/>
    <pivotField numFmtId="164" showAll="0"/>
    <pivotField numFmtId="10" showAll="0"/>
    <pivotField showAll="0">
      <items count="7">
        <item x="5"/>
        <item x="4"/>
        <item x="2"/>
        <item x="1"/>
        <item x="0"/>
        <item x="3"/>
        <item t="default"/>
      </items>
    </pivotField>
    <pivotField showAll="0">
      <items count="5">
        <item x="0"/>
        <item x="1"/>
        <item x="3"/>
        <item x="2"/>
        <item t="default"/>
      </items>
    </pivotField>
    <pivotField showAll="0"/>
    <pivotField showAll="0">
      <items count="3">
        <item x="0"/>
        <item x="1"/>
        <item t="default"/>
      </items>
    </pivotField>
    <pivotField showAll="0"/>
    <pivotField showAll="0"/>
    <pivotField showAll="0"/>
    <pivotField showAll="0"/>
    <pivotField showAll="0">
      <items count="2">
        <item x="0"/>
        <item t="default"/>
      </items>
    </pivotField>
    <pivotField showAll="0"/>
    <pivotField showAll="0"/>
    <pivotField showAll="0"/>
    <pivotField showAll="0"/>
    <pivotField showAll="0"/>
  </pivotFields>
  <rowFields count="1">
    <field x="8"/>
  </rowFields>
  <rowItems count="8">
    <i>
      <x/>
    </i>
    <i>
      <x v="1"/>
    </i>
    <i>
      <x v="2"/>
    </i>
    <i>
      <x v="3"/>
    </i>
    <i>
      <x v="4"/>
    </i>
    <i>
      <x v="5"/>
    </i>
    <i>
      <x v="6"/>
    </i>
    <i t="grand">
      <x/>
    </i>
  </rowItems>
  <colItems count="1">
    <i/>
  </colItems>
  <dataFields count="1">
    <dataField name="Sum of Sales Amount" fld="18" baseField="0" baseItem="0" numFmtId="44"/>
  </dataFields>
  <chartFormats count="2">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8B45F3C-4F65-4164-AC95-721F189D0DF1}" name="PivotTable3"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H3:I16" firstHeaderRow="1" firstDataRow="1" firstDataCol="1"/>
  <pivotFields count="36">
    <pivotField showAll="0"/>
    <pivotField numFmtId="14" showAll="0">
      <items count="272">
        <item x="41"/>
        <item x="101"/>
        <item x="107"/>
        <item x="67"/>
        <item x="120"/>
        <item x="115"/>
        <item x="129"/>
        <item x="181"/>
        <item x="105"/>
        <item x="70"/>
        <item x="214"/>
        <item x="215"/>
        <item x="190"/>
        <item x="108"/>
        <item x="48"/>
        <item x="148"/>
        <item x="170"/>
        <item x="140"/>
        <item x="39"/>
        <item x="188"/>
        <item x="121"/>
        <item x="173"/>
        <item x="0"/>
        <item x="224"/>
        <item x="176"/>
        <item x="177"/>
        <item x="151"/>
        <item x="143"/>
        <item x="32"/>
        <item x="262"/>
        <item x="74"/>
        <item x="149"/>
        <item x="246"/>
        <item x="54"/>
        <item x="131"/>
        <item x="93"/>
        <item x="44"/>
        <item x="144"/>
        <item x="250"/>
        <item x="19"/>
        <item x="164"/>
        <item x="247"/>
        <item x="134"/>
        <item x="209"/>
        <item x="13"/>
        <item x="22"/>
        <item x="17"/>
        <item x="62"/>
        <item x="124"/>
        <item x="146"/>
        <item x="21"/>
        <item x="159"/>
        <item x="212"/>
        <item x="133"/>
        <item x="15"/>
        <item x="225"/>
        <item x="46"/>
        <item x="239"/>
        <item x="266"/>
        <item x="204"/>
        <item x="51"/>
        <item x="136"/>
        <item x="94"/>
        <item x="185"/>
        <item x="50"/>
        <item x="16"/>
        <item x="249"/>
        <item x="57"/>
        <item x="83"/>
        <item x="174"/>
        <item x="172"/>
        <item x="263"/>
        <item x="72"/>
        <item x="28"/>
        <item x="132"/>
        <item x="123"/>
        <item x="49"/>
        <item x="34"/>
        <item x="202"/>
        <item x="255"/>
        <item x="238"/>
        <item x="230"/>
        <item x="56"/>
        <item x="4"/>
        <item x="61"/>
        <item x="95"/>
        <item x="116"/>
        <item x="122"/>
        <item x="11"/>
        <item x="178"/>
        <item x="243"/>
        <item x="155"/>
        <item x="208"/>
        <item x="85"/>
        <item x="125"/>
        <item x="9"/>
        <item x="128"/>
        <item x="217"/>
        <item x="104"/>
        <item x="201"/>
        <item x="117"/>
        <item x="175"/>
        <item x="119"/>
        <item x="192"/>
        <item x="267"/>
        <item x="75"/>
        <item x="69"/>
        <item x="184"/>
        <item x="191"/>
        <item x="187"/>
        <item x="166"/>
        <item x="127"/>
        <item x="97"/>
        <item x="232"/>
        <item x="90"/>
        <item x="145"/>
        <item x="261"/>
        <item x="38"/>
        <item x="226"/>
        <item x="186"/>
        <item x="30"/>
        <item x="258"/>
        <item x="142"/>
        <item x="37"/>
        <item x="220"/>
        <item x="53"/>
        <item x="31"/>
        <item x="60"/>
        <item x="206"/>
        <item x="229"/>
        <item x="5"/>
        <item x="189"/>
        <item x="197"/>
        <item x="84"/>
        <item x="203"/>
        <item x="64"/>
        <item x="111"/>
        <item x="112"/>
        <item x="196"/>
        <item x="118"/>
        <item x="234"/>
        <item x="193"/>
        <item x="35"/>
        <item x="221"/>
        <item x="251"/>
        <item x="96"/>
        <item x="270"/>
        <item x="110"/>
        <item x="40"/>
        <item x="253"/>
        <item x="79"/>
        <item x="222"/>
        <item x="254"/>
        <item x="138"/>
        <item x="99"/>
        <item x="207"/>
        <item x="92"/>
        <item x="47"/>
        <item x="20"/>
        <item x="165"/>
        <item x="268"/>
        <item x="235"/>
        <item x="8"/>
        <item x="162"/>
        <item x="139"/>
        <item x="23"/>
        <item x="91"/>
        <item x="163"/>
        <item x="63"/>
        <item x="33"/>
        <item x="210"/>
        <item x="82"/>
        <item x="98"/>
        <item x="106"/>
        <item x="25"/>
        <item x="52"/>
        <item x="248"/>
        <item x="103"/>
        <item x="14"/>
        <item x="161"/>
        <item x="216"/>
        <item x="154"/>
        <item x="100"/>
        <item x="86"/>
        <item x="102"/>
        <item x="260"/>
        <item x="223"/>
        <item x="109"/>
        <item x="150"/>
        <item x="257"/>
        <item x="152"/>
        <item x="77"/>
        <item x="58"/>
        <item x="7"/>
        <item x="29"/>
        <item x="66"/>
        <item x="242"/>
        <item x="73"/>
        <item x="10"/>
        <item x="183"/>
        <item x="227"/>
        <item x="205"/>
        <item x="171"/>
        <item x="158"/>
        <item x="244"/>
        <item x="89"/>
        <item x="76"/>
        <item x="153"/>
        <item x="160"/>
        <item x="233"/>
        <item x="1"/>
        <item x="256"/>
        <item x="252"/>
        <item x="24"/>
        <item x="18"/>
        <item x="126"/>
        <item x="88"/>
        <item x="130"/>
        <item x="195"/>
        <item x="114"/>
        <item x="87"/>
        <item x="2"/>
        <item x="6"/>
        <item x="259"/>
        <item x="157"/>
        <item x="194"/>
        <item x="45"/>
        <item x="156"/>
        <item x="169"/>
        <item x="241"/>
        <item x="237"/>
        <item x="198"/>
        <item x="167"/>
        <item x="78"/>
        <item x="55"/>
        <item x="211"/>
        <item x="42"/>
        <item x="236"/>
        <item x="71"/>
        <item x="179"/>
        <item x="231"/>
        <item x="26"/>
        <item x="3"/>
        <item x="219"/>
        <item x="228"/>
        <item x="182"/>
        <item x="135"/>
        <item x="141"/>
        <item x="81"/>
        <item x="59"/>
        <item x="80"/>
        <item x="199"/>
        <item x="12"/>
        <item x="245"/>
        <item x="137"/>
        <item x="240"/>
        <item x="200"/>
        <item x="65"/>
        <item x="265"/>
        <item x="43"/>
        <item x="264"/>
        <item x="168"/>
        <item x="269"/>
        <item x="27"/>
        <item x="213"/>
        <item x="180"/>
        <item x="113"/>
        <item x="147"/>
        <item x="36"/>
        <item x="68"/>
        <item x="218"/>
        <item t="default"/>
      </items>
    </pivotField>
    <pivotField numFmtId="14"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9">
        <item x="6"/>
        <item x="5"/>
        <item x="4"/>
        <item x="0"/>
        <item x="3"/>
        <item x="1"/>
        <item x="2"/>
        <item x="7"/>
        <item t="default"/>
      </items>
    </pivotField>
    <pivotField showAll="0"/>
    <pivotField numFmtId="164" showAll="0"/>
    <pivotField numFmtId="10" showAll="0"/>
    <pivotField dataField="1" numFmtId="44" showAll="0"/>
    <pivotField numFmtId="44" showAll="0"/>
    <pivotField numFmtId="164" showAll="0"/>
    <pivotField numFmtId="10" showAll="0"/>
    <pivotField showAll="0">
      <items count="7">
        <item x="5"/>
        <item x="4"/>
        <item x="2"/>
        <item x="1"/>
        <item x="0"/>
        <item x="3"/>
        <item t="default"/>
      </items>
    </pivotField>
    <pivotField showAll="0">
      <items count="5">
        <item x="0"/>
        <item x="1"/>
        <item x="3"/>
        <item x="2"/>
        <item t="default"/>
      </items>
    </pivotField>
    <pivotField showAll="0"/>
    <pivotField showAll="0">
      <items count="3">
        <item x="0"/>
        <item x="1"/>
        <item t="default"/>
      </items>
    </pivotField>
    <pivotField showAll="0"/>
    <pivotField showAll="0"/>
    <pivotField axis="axisRow" showAll="0">
      <items count="13">
        <item x="0"/>
        <item x="9"/>
        <item x="10"/>
        <item x="3"/>
        <item x="7"/>
        <item x="11"/>
        <item x="4"/>
        <item x="6"/>
        <item x="5"/>
        <item x="1"/>
        <item x="2"/>
        <item x="8"/>
        <item t="default"/>
      </items>
    </pivotField>
    <pivotField showAll="0"/>
    <pivotField showAll="0">
      <items count="2">
        <item x="0"/>
        <item t="default"/>
      </items>
    </pivotField>
    <pivotField showAll="0"/>
    <pivotField showAll="0"/>
    <pivotField showAll="0"/>
    <pivotField showAll="0"/>
    <pivotField showAll="0"/>
  </pivotFields>
  <rowFields count="1">
    <field x="28"/>
  </rowFields>
  <rowItems count="13">
    <i>
      <x/>
    </i>
    <i>
      <x v="1"/>
    </i>
    <i>
      <x v="2"/>
    </i>
    <i>
      <x v="3"/>
    </i>
    <i>
      <x v="4"/>
    </i>
    <i>
      <x v="5"/>
    </i>
    <i>
      <x v="6"/>
    </i>
    <i>
      <x v="7"/>
    </i>
    <i>
      <x v="8"/>
    </i>
    <i>
      <x v="9"/>
    </i>
    <i>
      <x v="10"/>
    </i>
    <i>
      <x v="11"/>
    </i>
    <i t="grand">
      <x/>
    </i>
  </rowItems>
  <colItems count="1">
    <i/>
  </colItems>
  <dataFields count="1">
    <dataField name="Sum of Sales Amount" fld="18" baseField="0" baseItem="0" numFmtId="44"/>
  </dataFields>
  <chartFormats count="2">
    <chartFormat chart="4" format="2"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B19FDC2-6D11-48BA-8279-6FB7216F8D54}" name="PivotTable2"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E3:F7" firstHeaderRow="1" firstDataRow="1" firstDataCol="1"/>
  <pivotFields count="36">
    <pivotField showAll="0"/>
    <pivotField numFmtId="14" showAll="0">
      <items count="272">
        <item x="41"/>
        <item x="101"/>
        <item x="107"/>
        <item x="67"/>
        <item x="120"/>
        <item x="115"/>
        <item x="129"/>
        <item x="181"/>
        <item x="105"/>
        <item x="70"/>
        <item x="214"/>
        <item x="215"/>
        <item x="190"/>
        <item x="108"/>
        <item x="48"/>
        <item x="148"/>
        <item x="170"/>
        <item x="140"/>
        <item x="39"/>
        <item x="188"/>
        <item x="121"/>
        <item x="173"/>
        <item x="0"/>
        <item x="224"/>
        <item x="176"/>
        <item x="177"/>
        <item x="151"/>
        <item x="143"/>
        <item x="32"/>
        <item x="262"/>
        <item x="74"/>
        <item x="149"/>
        <item x="246"/>
        <item x="54"/>
        <item x="131"/>
        <item x="93"/>
        <item x="44"/>
        <item x="144"/>
        <item x="250"/>
        <item x="19"/>
        <item x="164"/>
        <item x="247"/>
        <item x="134"/>
        <item x="209"/>
        <item x="13"/>
        <item x="22"/>
        <item x="17"/>
        <item x="62"/>
        <item x="124"/>
        <item x="146"/>
        <item x="21"/>
        <item x="159"/>
        <item x="212"/>
        <item x="133"/>
        <item x="15"/>
        <item x="225"/>
        <item x="46"/>
        <item x="239"/>
        <item x="266"/>
        <item x="204"/>
        <item x="51"/>
        <item x="136"/>
        <item x="94"/>
        <item x="185"/>
        <item x="50"/>
        <item x="16"/>
        <item x="249"/>
        <item x="57"/>
        <item x="83"/>
        <item x="174"/>
        <item x="172"/>
        <item x="263"/>
        <item x="72"/>
        <item x="28"/>
        <item x="132"/>
        <item x="123"/>
        <item x="49"/>
        <item x="34"/>
        <item x="202"/>
        <item x="255"/>
        <item x="238"/>
        <item x="230"/>
        <item x="56"/>
        <item x="4"/>
        <item x="61"/>
        <item x="95"/>
        <item x="116"/>
        <item x="122"/>
        <item x="11"/>
        <item x="178"/>
        <item x="243"/>
        <item x="155"/>
        <item x="208"/>
        <item x="85"/>
        <item x="125"/>
        <item x="9"/>
        <item x="128"/>
        <item x="217"/>
        <item x="104"/>
        <item x="201"/>
        <item x="117"/>
        <item x="175"/>
        <item x="119"/>
        <item x="192"/>
        <item x="267"/>
        <item x="75"/>
        <item x="69"/>
        <item x="184"/>
        <item x="191"/>
        <item x="187"/>
        <item x="166"/>
        <item x="127"/>
        <item x="97"/>
        <item x="232"/>
        <item x="90"/>
        <item x="145"/>
        <item x="261"/>
        <item x="38"/>
        <item x="226"/>
        <item x="186"/>
        <item x="30"/>
        <item x="258"/>
        <item x="142"/>
        <item x="37"/>
        <item x="220"/>
        <item x="53"/>
        <item x="31"/>
        <item x="60"/>
        <item x="206"/>
        <item x="229"/>
        <item x="5"/>
        <item x="189"/>
        <item x="197"/>
        <item x="84"/>
        <item x="203"/>
        <item x="64"/>
        <item x="111"/>
        <item x="112"/>
        <item x="196"/>
        <item x="118"/>
        <item x="234"/>
        <item x="193"/>
        <item x="35"/>
        <item x="221"/>
        <item x="251"/>
        <item x="96"/>
        <item x="270"/>
        <item x="110"/>
        <item x="40"/>
        <item x="253"/>
        <item x="79"/>
        <item x="222"/>
        <item x="254"/>
        <item x="138"/>
        <item x="99"/>
        <item x="207"/>
        <item x="92"/>
        <item x="47"/>
        <item x="20"/>
        <item x="165"/>
        <item x="268"/>
        <item x="235"/>
        <item x="8"/>
        <item x="162"/>
        <item x="139"/>
        <item x="23"/>
        <item x="91"/>
        <item x="163"/>
        <item x="63"/>
        <item x="33"/>
        <item x="210"/>
        <item x="82"/>
        <item x="98"/>
        <item x="106"/>
        <item x="25"/>
        <item x="52"/>
        <item x="248"/>
        <item x="103"/>
        <item x="14"/>
        <item x="161"/>
        <item x="216"/>
        <item x="154"/>
        <item x="100"/>
        <item x="86"/>
        <item x="102"/>
        <item x="260"/>
        <item x="223"/>
        <item x="109"/>
        <item x="150"/>
        <item x="257"/>
        <item x="152"/>
        <item x="77"/>
        <item x="58"/>
        <item x="7"/>
        <item x="29"/>
        <item x="66"/>
        <item x="242"/>
        <item x="73"/>
        <item x="10"/>
        <item x="183"/>
        <item x="227"/>
        <item x="205"/>
        <item x="171"/>
        <item x="158"/>
        <item x="244"/>
        <item x="89"/>
        <item x="76"/>
        <item x="153"/>
        <item x="160"/>
        <item x="233"/>
        <item x="1"/>
        <item x="256"/>
        <item x="252"/>
        <item x="24"/>
        <item x="18"/>
        <item x="126"/>
        <item x="88"/>
        <item x="130"/>
        <item x="195"/>
        <item x="114"/>
        <item x="87"/>
        <item x="2"/>
        <item x="6"/>
        <item x="259"/>
        <item x="157"/>
        <item x="194"/>
        <item x="45"/>
        <item x="156"/>
        <item x="169"/>
        <item x="241"/>
        <item x="237"/>
        <item x="198"/>
        <item x="167"/>
        <item x="78"/>
        <item x="55"/>
        <item x="211"/>
        <item x="42"/>
        <item x="236"/>
        <item x="71"/>
        <item x="179"/>
        <item x="231"/>
        <item x="26"/>
        <item x="3"/>
        <item x="219"/>
        <item x="228"/>
        <item x="182"/>
        <item x="135"/>
        <item x="141"/>
        <item x="81"/>
        <item x="59"/>
        <item x="80"/>
        <item x="199"/>
        <item x="12"/>
        <item x="245"/>
        <item x="137"/>
        <item x="240"/>
        <item x="200"/>
        <item x="65"/>
        <item x="265"/>
        <item x="43"/>
        <item x="264"/>
        <item x="168"/>
        <item x="269"/>
        <item x="27"/>
        <item x="213"/>
        <item x="180"/>
        <item x="113"/>
        <item x="147"/>
        <item x="36"/>
        <item x="68"/>
        <item x="218"/>
        <item t="default"/>
      </items>
    </pivotField>
    <pivotField numFmtId="14" showAll="0"/>
    <pivotField showAll="0"/>
    <pivotField showAll="0"/>
    <pivotField showAll="0"/>
    <pivotField showAll="0"/>
    <pivotField showAll="0"/>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9">
        <item x="6"/>
        <item x="5"/>
        <item x="4"/>
        <item x="0"/>
        <item x="3"/>
        <item x="1"/>
        <item x="2"/>
        <item x="7"/>
        <item t="default"/>
      </items>
    </pivotField>
    <pivotField showAll="0"/>
    <pivotField numFmtId="164" showAll="0"/>
    <pivotField numFmtId="10" showAll="0"/>
    <pivotField numFmtId="44" showAll="0"/>
    <pivotField numFmtId="44" showAll="0"/>
    <pivotField dataField="1" numFmtId="164" showAll="0"/>
    <pivotField numFmtId="10" showAll="0"/>
    <pivotField showAll="0">
      <items count="7">
        <item x="5"/>
        <item x="4"/>
        <item x="2"/>
        <item x="1"/>
        <item x="0"/>
        <item x="3"/>
        <item t="default"/>
      </items>
    </pivotField>
    <pivotField showAll="0">
      <items count="5">
        <item x="0"/>
        <item x="1"/>
        <item x="3"/>
        <item x="2"/>
        <item t="default"/>
      </items>
    </pivotField>
    <pivotField showAll="0"/>
    <pivotField showAll="0">
      <items count="3">
        <item x="0"/>
        <item x="1"/>
        <item t="default"/>
      </items>
    </pivotField>
    <pivotField showAll="0"/>
    <pivotField showAll="0"/>
    <pivotField showAll="0"/>
    <pivotField showAll="0"/>
    <pivotField showAll="0">
      <items count="2">
        <item x="0"/>
        <item t="default"/>
      </items>
    </pivotField>
    <pivotField showAll="0"/>
    <pivotField showAll="0"/>
    <pivotField showAll="0"/>
    <pivotField showAll="0"/>
    <pivotField showAll="0"/>
  </pivotFields>
  <rowFields count="1">
    <field x="12"/>
  </rowFields>
  <rowItems count="4">
    <i>
      <x/>
    </i>
    <i>
      <x v="1"/>
    </i>
    <i>
      <x v="2"/>
    </i>
    <i t="grand">
      <x/>
    </i>
  </rowItems>
  <colItems count="1">
    <i/>
  </colItems>
  <dataFields count="1">
    <dataField name="Sum of Profit" fld="20" baseField="0" baseItem="0" numFmtId="164"/>
  </dataFields>
  <chartFormats count="2">
    <chartFormat chart="4"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54827C5D-4EC6-4738-9411-BF5BB897736F}" sourceName="Customer Type">
  <pivotTables>
    <pivotTable tabId="2" name="PivotTable10"/>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1"/>
    <pivotTable tabId="2" name="PivotTable12"/>
    <pivotTable tabId="2" name="PivotTable13"/>
    <pivotTable tabId="2" name="PivotTable14"/>
    <pivotTable tabId="2" name="PivotTable15"/>
    <pivotTable tabId="2" name="PivotTable16"/>
  </pivotTables>
  <data>
    <tabular pivotCacheId="16729685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5DC762E-B18C-490C-B24A-9A96AC82B7C6}" sourceName="Year">
  <pivotTables>
    <pivotTable tabId="2" name="PivotTable10"/>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1"/>
    <pivotTable tabId="2" name="PivotTable12"/>
    <pivotTable tabId="2" name="PivotTable13"/>
    <pivotTable tabId="2" name="PivotTable14"/>
    <pivotTable tabId="2" name="PivotTable15"/>
    <pivotTable tabId="2" name="PivotTable16"/>
  </pivotTables>
  <data>
    <tabular pivotCacheId="167296856">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68BF1605-3E11-467B-BC0D-B3154CAECFDD}" sourceName="Order Status">
  <pivotTables>
    <pivotTable tabId="2" name="PivotTable10"/>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1"/>
    <pivotTable tabId="2" name="PivotTable12"/>
    <pivotTable tabId="2" name="PivotTable13"/>
    <pivotTable tabId="2" name="PivotTable14"/>
    <pivotTable tabId="2" name="PivotTable15"/>
    <pivotTable tabId="2" name="PivotTable16"/>
  </pivotTables>
  <data>
    <tabular pivotCacheId="167296856">
      <items count="4">
        <i x="0"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9891356F-BE3D-4D52-BC98-2BD6E2CA9622}" sourceName="Payment Mode">
  <pivotTables>
    <pivotTable tabId="2" name="PivotTable10"/>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1"/>
    <pivotTable tabId="2" name="PivotTable12"/>
    <pivotTable tabId="2" name="PivotTable13"/>
    <pivotTable tabId="2" name="PivotTable14"/>
    <pivotTable tabId="2" name="PivotTable15"/>
    <pivotTable tabId="2" name="PivotTable16"/>
  </pivotTables>
  <data>
    <tabular pivotCacheId="167296856">
      <items count="6">
        <i x="5" s="1"/>
        <i x="4" s="1"/>
        <i x="2" s="1"/>
        <i x="1"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45241366-18FA-4EDD-9635-111EA96311F8}" sourceName="Brand">
  <pivotTables>
    <pivotTable tabId="2" name="PivotTable10"/>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1"/>
    <pivotTable tabId="2" name="PivotTable12"/>
    <pivotTable tabId="2" name="PivotTable13"/>
    <pivotTable tabId="2" name="PivotTable14"/>
    <pivotTable tabId="2" name="PivotTable15"/>
    <pivotTable tabId="2" name="PivotTable16"/>
  </pivotTables>
  <data>
    <tabular pivotCacheId="167296856">
      <items count="8">
        <i x="6" s="1"/>
        <i x="5" s="1"/>
        <i x="4" s="1"/>
        <i x="0" s="1"/>
        <i x="3" s="1"/>
        <i x="1" s="1"/>
        <i x="2" s="1"/>
        <i x="7"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605B7FA-DA98-4D1F-B379-07FED3F01A19}" sourceName="Category">
  <pivotTables>
    <pivotTable tabId="2" name="PivotTable10"/>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1"/>
    <pivotTable tabId="2" name="PivotTable12"/>
    <pivotTable tabId="2" name="PivotTable13"/>
    <pivotTable tabId="2" name="PivotTable14"/>
    <pivotTable tabId="2" name="PivotTable15"/>
    <pivotTable tabId="2" name="PivotTable16"/>
  </pivotTables>
  <data>
    <tabular pivotCacheId="167296856">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27A4D5F-10F0-4538-979B-8089F2C1BDA0}" sourceName="Region">
  <pivotTables>
    <pivotTable tabId="2" name="PivotTable10"/>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1"/>
    <pivotTable tabId="2" name="PivotTable12"/>
    <pivotTable tabId="2" name="PivotTable13"/>
    <pivotTable tabId="2" name="PivotTable14"/>
    <pivotTable tabId="2" name="PivotTable15"/>
    <pivotTable tabId="2" name="PivotTable16"/>
  </pivotTables>
  <data>
    <tabular pivotCacheId="16729685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BF4FD396-6437-4DC2-B828-F4FDA5405025}" cache="Slicer_Customer_Type" caption="Customer Type" rowHeight="234950"/>
  <slicer name="Year" xr10:uid="{A74B5A90-AC61-40E6-810B-DA3DF518E3D5}" cache="Slicer_Year" caption="Year" rowHeight="234950"/>
  <slicer name="Order Status" xr10:uid="{BCCB664A-457D-4062-B1F8-2C74D29690B6}" cache="Slicer_Order_Status" caption="Order Status" rowHeight="234950"/>
  <slicer name="Payment Mode" xr10:uid="{6516612D-4CE9-46BA-9FC5-2DFEEB1298EE}" cache="Slicer_Payment_Mode" caption="Payment Mode" rowHeight="234950"/>
  <slicer name="Brand" xr10:uid="{F58C03B3-DD55-45D2-B410-78D2042D3267}" cache="Slicer_Brand" caption="Brand" rowHeight="234950"/>
  <slicer name="Category" xr10:uid="{D11C5C0F-CCE7-4B1A-8EEC-82B6B1A35766}" cache="Slicer_Category" caption="Category" rowHeight="234950"/>
  <slicer name="Region" xr10:uid="{7F52B102-AB0A-4D4E-8070-FAE74622A1AE}"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5E69FD-D08F-4A07-9198-F8849BEED0C2}" name="Order_Data" displayName="Order_Data" ref="A1:AJ501" totalsRowShown="0" headerRowDxfId="43" dataDxfId="42">
  <autoFilter ref="A1:AJ501" xr:uid="{4A5E69FD-D08F-4A07-9198-F8849BEED0C2}"/>
  <tableColumns count="36">
    <tableColumn id="1" xr3:uid="{85906DF3-2A40-46A6-B7A5-BE4E64801242}" name="Order ID" dataDxfId="41"/>
    <tableColumn id="2" xr3:uid="{33023756-3731-4E8C-94B6-9184BC3DADB7}" name="Order Date" dataDxfId="40"/>
    <tableColumn id="3" xr3:uid="{EEFF94C4-F43C-4798-819C-6F4B31C7EF6E}" name="Delivery Date" dataDxfId="39"/>
    <tableColumn id="4" xr3:uid="{14003E9B-83CE-4CF1-BA9B-F231ECA54079}" name="Customer ID" dataDxfId="38"/>
    <tableColumn id="5" xr3:uid="{4B6FCD0C-E238-488A-B6F8-BAD4428B2DCA}" name="Customer Name" dataDxfId="37"/>
    <tableColumn id="6" xr3:uid="{A9410798-502D-4F64-9CE1-43817029A483}" name="Gender" dataDxfId="36"/>
    <tableColumn id="7" xr3:uid="{CEFB0A1E-6C6B-4305-89B4-C49F6E2603CC}" name="Age" dataDxfId="35"/>
    <tableColumn id="8" xr3:uid="{5647430E-6D63-47B5-90E1-ECA293D0CC62}" name="City" dataDxfId="34"/>
    <tableColumn id="9" xr3:uid="{4A76E6C4-8143-4FEB-889F-DD791D538F00}" name="State" dataDxfId="33"/>
    <tableColumn id="10" xr3:uid="{76B99B18-67D7-428E-AC7B-DFA5BEA0116D}" name="Region" dataDxfId="32"/>
    <tableColumn id="11" xr3:uid="{1EE9498C-E88C-4986-AA2E-9B8B096C27E3}" name="Product ID" dataDxfId="31"/>
    <tableColumn id="12" xr3:uid="{4D1A2015-FCAE-472F-925E-D67246322CF2}" name="Product Name" dataDxfId="30"/>
    <tableColumn id="13" xr3:uid="{04C3C9E9-0AC1-454B-9DBA-0EBA81F6BC6C}" name="Category" dataDxfId="29"/>
    <tableColumn id="14" xr3:uid="{A98C76C7-DC11-432F-8AB3-331E2EDBF514}" name="Sub Category" dataDxfId="28"/>
    <tableColumn id="15" xr3:uid="{2930A1EF-C02A-4555-B40A-D649E4064272}" name="Brand" dataDxfId="27"/>
    <tableColumn id="16" xr3:uid="{1960A2F7-43EE-4AFA-871C-DA5E10DE3B75}" name="Qty" dataDxfId="26"/>
    <tableColumn id="17" xr3:uid="{36BE314B-0A92-4A85-87AA-0B5E8886194C}" name="Unit Price" dataDxfId="25"/>
    <tableColumn id="18" xr3:uid="{6AB4EAD0-375B-4FC9-BB5F-8221DA86D883}" name="Discount %" dataDxfId="24"/>
    <tableColumn id="19" xr3:uid="{9670C7FD-77C5-49D9-8BDD-C4E30FEDF480}" name="Sales Amount" dataDxfId="23" dataCellStyle="Currency">
      <calculatedColumnFormula>P2*Q2*(1-R2)</calculatedColumnFormula>
    </tableColumn>
    <tableColumn id="20" xr3:uid="{7476CECA-68FD-4E53-90ED-7D9DD0B3812B}" name="Cost Price" dataDxfId="22" dataCellStyle="Currency"/>
    <tableColumn id="21" xr3:uid="{2C9F5D42-9E95-46F3-86EA-7639373D7CD8}" name="Profit" dataDxfId="21">
      <calculatedColumnFormula>S2-(T2*P2)</calculatedColumnFormula>
    </tableColumn>
    <tableColumn id="22" xr3:uid="{9C2ACBBF-ED92-485F-87C8-E0BDD4EF8747}" name="Profit %" dataDxfId="20">
      <calculatedColumnFormula>U2/S2</calculatedColumnFormula>
    </tableColumn>
    <tableColumn id="23" xr3:uid="{E3A8129A-AAB3-429D-AD52-A12BFAD5D7D2}" name="Payment Mode" dataDxfId="19"/>
    <tableColumn id="24" xr3:uid="{82F8D309-6EC8-445D-BDF3-048793EEF160}" name="Order Status" dataDxfId="18"/>
    <tableColumn id="25" xr3:uid="{A937EE27-5873-4F15-A339-B87D599676FD}" name="Delivery Days" dataDxfId="17">
      <calculatedColumnFormula>C2-B2</calculatedColumnFormula>
    </tableColumn>
    <tableColumn id="26" xr3:uid="{11677A4D-495D-4D40-9652-B93787D5DE05}" name="Customer Type" dataDxfId="16">
      <calculatedColumnFormula>IF(S2&gt;=50000,"Premium","Regular")</calculatedColumnFormula>
    </tableColumn>
    <tableColumn id="27" xr3:uid="{6F2A9CB5-F282-4504-AF6B-170CA69F1484}" name="Rating" dataDxfId="15"/>
    <tableColumn id="28" xr3:uid="{ACC9E91F-7E85-41DC-A34A-EF135A88E120}" name="Rating Category" dataDxfId="14">
      <calculatedColumnFormula>IF(AA2&gt;=4,"Excellent","Average")</calculatedColumnFormula>
    </tableColumn>
    <tableColumn id="29" xr3:uid="{6F2AF4BB-D4D7-40DD-ACEE-2DD760B0FB0A}" name="Month" dataDxfId="13">
      <calculatedColumnFormula>TEXT(B2,"mmmm")</calculatedColumnFormula>
    </tableColumn>
    <tableColumn id="30" xr3:uid="{E6CEFFB8-8107-487E-8CB0-C9635C9CAF5D}" name="Quarter" dataDxfId="12">
      <calculatedColumnFormula>"Q"&amp;ROUNDUP(MONTH(B2)/3,0)</calculatedColumnFormula>
    </tableColumn>
    <tableColumn id="31" xr3:uid="{4F786E77-012D-4618-9921-EAC716DF8DA1}" name="Year" dataDxfId="11">
      <calculatedColumnFormula>YEAR(B2)</calculatedColumnFormula>
    </tableColumn>
    <tableColumn id="32" xr3:uid="{C640ECE3-A1DD-49B8-8433-11BBEB525506}" name="Weekday" dataDxfId="10">
      <calculatedColumnFormula>TEXT(B2,"dddd")</calculatedColumnFormula>
    </tableColumn>
    <tableColumn id="33" xr3:uid="{C6CA29E2-EB39-40D9-A9BB-3EE1B7460E77}" name="Age Group" dataDxfId="9">
      <calculatedColumnFormula>IF(G2&lt;=25,"18-25",IF(G2&lt;=35,"26-35",IF(G2&lt;=45,"36-45","46+")))</calculatedColumnFormula>
    </tableColumn>
    <tableColumn id="34" xr3:uid="{1321B7FE-E9E0-4893-9B43-806EE7A95E16}" name="Order Size" dataDxfId="8">
      <calculatedColumnFormula>IF(S2&lt;10000,"Small",IF(S2&lt;30000,"Medium","Large"))</calculatedColumnFormula>
    </tableColumn>
    <tableColumn id="35" xr3:uid="{1D78DED4-03CF-46B6-A7A6-3C915D870614}" name="Discount Category" dataDxfId="7">
      <calculatedColumnFormula>IF(R2&lt;=5%,"Low",IF(R2&lt;=15%,"Medium","High"))</calculatedColumnFormula>
    </tableColumn>
    <tableColumn id="36" xr3:uid="{2323E776-741D-4AAC-8DAE-716877ACDE39}" name="Customer Segment" dataDxfId="6">
      <calculatedColumnFormula array="1">_xlfn.IFS(S2&gt;=80000,"VIP",S2&gt;=40000,"Gold",S2&gt;=15000,"Silver",TRUE,"Bronze")</calculatedColumnFormula>
    </tableColumn>
  </tableColumns>
  <tableStyleInfo name="TableStyleMedium2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0993C65-6E53-427E-913C-7D2DE9DF5053}" sourceName="Order Date">
  <pivotTables>
    <pivotTable tabId="2" name="PivotTable10"/>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1"/>
    <pivotTable tabId="2" name="PivotTable12"/>
    <pivotTable tabId="2" name="PivotTable13"/>
    <pivotTable tabId="2" name="PivotTable14"/>
    <pivotTable tabId="2" name="PivotTable15"/>
    <pivotTable tabId="2" name="PivotTable16"/>
  </pivotTables>
  <state minimalRefreshVersion="6" lastRefreshVersion="6" pivotCacheId="167296856"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1E2BE19-DBAA-4E10-933C-96E998AEA337}" cache="NativeTimeline_Order_Date" caption="Order Date" level="2" selectionLevel="2" scrollPosition="2026-12-02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FB89A-C93B-4304-B665-D4CE82798082}">
  <dimension ref="A1:AO501"/>
  <sheetViews>
    <sheetView topLeftCell="AA1" workbookViewId="0">
      <selection activeCell="AO19" sqref="AO19"/>
    </sheetView>
  </sheetViews>
  <sheetFormatPr defaultRowHeight="14.4" x14ac:dyDescent="0.3"/>
  <cols>
    <col min="1" max="1" width="12.44140625" style="1" bestFit="1" customWidth="1"/>
    <col min="2" max="2" width="14.5546875" style="16" bestFit="1" customWidth="1"/>
    <col min="3" max="3" width="16.5546875" style="16" bestFit="1" customWidth="1"/>
    <col min="4" max="4" width="15.77734375" style="1" bestFit="1" customWidth="1"/>
    <col min="5" max="5" width="19.109375" style="1" bestFit="1" customWidth="1"/>
    <col min="6" max="6" width="11.5546875" style="1" bestFit="1" customWidth="1"/>
    <col min="7" max="7" width="6" style="1" customWidth="1"/>
    <col min="8" max="8" width="12.77734375" style="1" customWidth="1"/>
    <col min="9" max="9" width="11.44140625" style="1" bestFit="1" customWidth="1"/>
    <col min="10" max="10" width="11.21875" style="1" bestFit="1" customWidth="1"/>
    <col min="11" max="11" width="14.33203125" style="1" bestFit="1" customWidth="1"/>
    <col min="12" max="12" width="17.77734375" style="1" bestFit="1" customWidth="1"/>
    <col min="13" max="13" width="13" style="1" bestFit="1" customWidth="1"/>
    <col min="14" max="14" width="16.6640625" style="1" bestFit="1" customWidth="1"/>
    <col min="15" max="15" width="10.44140625" style="1" bestFit="1" customWidth="1"/>
    <col min="16" max="16" width="6.5546875" style="1" customWidth="1"/>
    <col min="17" max="17" width="10.44140625" style="10" bestFit="1" customWidth="1"/>
    <col min="18" max="18" width="10.21875" style="7" bestFit="1" customWidth="1"/>
    <col min="19" max="19" width="12.77734375" style="13" bestFit="1" customWidth="1"/>
    <col min="20" max="20" width="11.33203125" style="13" bestFit="1" customWidth="1"/>
    <col min="21" max="21" width="11.109375" style="10" bestFit="1" customWidth="1"/>
    <col min="22" max="22" width="11.5546875" style="7" bestFit="1" customWidth="1"/>
    <col min="23" max="23" width="18.5546875" style="1" bestFit="1" customWidth="1"/>
    <col min="24" max="24" width="15.88671875" style="1" bestFit="1" customWidth="1"/>
    <col min="25" max="25" width="12.21875" style="1" bestFit="1" customWidth="1"/>
    <col min="26" max="26" width="18.21875" style="1" bestFit="1" customWidth="1"/>
    <col min="27" max="27" width="8.21875" style="1" customWidth="1"/>
    <col min="28" max="28" width="18.88671875" style="1" bestFit="1" customWidth="1"/>
    <col min="29" max="29" width="11.21875" style="1" bestFit="1" customWidth="1"/>
    <col min="30" max="30" width="11.88671875" style="1" bestFit="1" customWidth="1"/>
    <col min="31" max="31" width="9.109375" style="1" bestFit="1" customWidth="1"/>
    <col min="32" max="32" width="13.33203125" style="1" bestFit="1" customWidth="1"/>
    <col min="33" max="33" width="14.33203125" style="1" bestFit="1" customWidth="1"/>
    <col min="34" max="34" width="13.88671875" style="1" bestFit="1" customWidth="1"/>
    <col min="35" max="35" width="20.88671875" style="1" bestFit="1" customWidth="1"/>
    <col min="36" max="36" width="21.6640625" style="1" bestFit="1" customWidth="1"/>
    <col min="40" max="40" width="15.6640625" bestFit="1" customWidth="1"/>
    <col min="41" max="41" width="11.33203125" bestFit="1" customWidth="1"/>
  </cols>
  <sheetData>
    <row r="1" spans="1:41" x14ac:dyDescent="0.3">
      <c r="A1" s="4" t="s">
        <v>0</v>
      </c>
      <c r="B1" s="14" t="s">
        <v>1</v>
      </c>
      <c r="C1" s="14" t="s">
        <v>2</v>
      </c>
      <c r="D1" s="2" t="s">
        <v>3</v>
      </c>
      <c r="E1" s="2" t="s">
        <v>4</v>
      </c>
      <c r="F1" s="2" t="s">
        <v>5</v>
      </c>
      <c r="G1" s="2" t="s">
        <v>6</v>
      </c>
      <c r="H1" s="2" t="s">
        <v>7</v>
      </c>
      <c r="I1" s="2" t="s">
        <v>8</v>
      </c>
      <c r="J1" s="2" t="s">
        <v>9</v>
      </c>
      <c r="K1" s="2" t="s">
        <v>10</v>
      </c>
      <c r="L1" s="2" t="s">
        <v>11</v>
      </c>
      <c r="M1" s="2" t="s">
        <v>12</v>
      </c>
      <c r="N1" s="2" t="s">
        <v>13</v>
      </c>
      <c r="O1" s="2" t="s">
        <v>14</v>
      </c>
      <c r="P1" s="2" t="s">
        <v>15</v>
      </c>
      <c r="Q1" s="8" t="s">
        <v>16</v>
      </c>
      <c r="R1" s="5" t="s">
        <v>17</v>
      </c>
      <c r="S1" s="11" t="s">
        <v>18</v>
      </c>
      <c r="T1" s="11" t="s">
        <v>19</v>
      </c>
      <c r="U1" s="8" t="s">
        <v>20</v>
      </c>
      <c r="V1" s="26"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spans="1:41" x14ac:dyDescent="0.3">
      <c r="A2" s="3" t="s">
        <v>36</v>
      </c>
      <c r="B2" s="15">
        <v>46051</v>
      </c>
      <c r="C2" s="15">
        <v>46055</v>
      </c>
      <c r="D2" s="3" t="s">
        <v>37</v>
      </c>
      <c r="E2" s="3" t="s">
        <v>162</v>
      </c>
      <c r="F2" s="3" t="s">
        <v>52</v>
      </c>
      <c r="G2" s="3">
        <v>37</v>
      </c>
      <c r="H2" s="3" t="s">
        <v>110</v>
      </c>
      <c r="I2" s="3" t="s">
        <v>111</v>
      </c>
      <c r="J2" s="3" t="s">
        <v>80</v>
      </c>
      <c r="K2" s="3" t="s">
        <v>62</v>
      </c>
      <c r="L2" s="3" t="s">
        <v>163</v>
      </c>
      <c r="M2" s="3" t="s">
        <v>45</v>
      </c>
      <c r="N2" s="3" t="s">
        <v>63</v>
      </c>
      <c r="O2" s="3" t="s">
        <v>64</v>
      </c>
      <c r="P2" s="3">
        <v>3</v>
      </c>
      <c r="Q2" s="9">
        <v>62000</v>
      </c>
      <c r="R2" s="6">
        <v>0.1</v>
      </c>
      <c r="S2" s="12">
        <f t="shared" ref="S2:S65" si="0">P2*Q2*(1-R2)</f>
        <v>167400</v>
      </c>
      <c r="T2" s="12">
        <v>52000</v>
      </c>
      <c r="U2" s="9">
        <f t="shared" ref="U2:U65" si="1">S2-(T2*P2)</f>
        <v>11400</v>
      </c>
      <c r="V2" s="6">
        <f t="shared" ref="V2:V65" si="2">U2/S2</f>
        <v>6.8100358422939072E-2</v>
      </c>
      <c r="W2" s="3" t="s">
        <v>48</v>
      </c>
      <c r="X2" s="3" t="s">
        <v>101</v>
      </c>
      <c r="Y2" s="3">
        <f t="shared" ref="Y2:Y65" si="3">C2-B2</f>
        <v>4</v>
      </c>
      <c r="Z2" s="3" t="str">
        <f t="shared" ref="Z2:Z65" si="4">IF(S2&gt;=50000,"Premium","Regular")</f>
        <v>Premium</v>
      </c>
      <c r="AA2" s="3">
        <v>4</v>
      </c>
      <c r="AB2" s="3" t="str">
        <f t="shared" ref="AB2:AB65" si="5">IF(AA2&gt;=4,"Excellent","Average")</f>
        <v>Excellent</v>
      </c>
      <c r="AC2" s="3" t="str">
        <f t="shared" ref="AC2:AC65" si="6">TEXT(B2,"mmmm")</f>
        <v>January</v>
      </c>
      <c r="AD2" s="3" t="str">
        <f t="shared" ref="AD2:AD65" si="7">"Q"&amp;ROUNDUP(MONTH(B2)/3,0)</f>
        <v>Q1</v>
      </c>
      <c r="AE2" s="3">
        <f t="shared" ref="AE2:AE65" si="8">YEAR(B2)</f>
        <v>2026</v>
      </c>
      <c r="AF2" s="3" t="str">
        <f t="shared" ref="AF2:AF65" si="9">TEXT(B2,"dddd")</f>
        <v>Thursday</v>
      </c>
      <c r="AG2" s="3" t="str">
        <f t="shared" ref="AG2:AG65" si="10">IF(G2&lt;=25,"18-25",IF(G2&lt;=35,"26-35",IF(G2&lt;=45,"36-45","46+")))</f>
        <v>36-45</v>
      </c>
      <c r="AH2" s="3" t="str">
        <f t="shared" ref="AH2:AH65" si="11">IF(S2&lt;10000,"Small",IF(S2&lt;30000,"Medium","Large"))</f>
        <v>Large</v>
      </c>
      <c r="AI2" s="3" t="str">
        <f t="shared" ref="AI2:AI65" si="12">IF(R2&lt;=5%,"Low",IF(R2&lt;=15%,"Medium","High"))</f>
        <v>Medium</v>
      </c>
      <c r="AJ2" s="3" t="str" cm="1">
        <f t="array" ref="AJ2">_xlfn.IFS(S2&gt;=80000,"VIP",S2&gt;=40000,"Gold",S2&gt;=15000,"Silver",TRUE,"Bronze")</f>
        <v>VIP</v>
      </c>
    </row>
    <row r="3" spans="1:41" x14ac:dyDescent="0.3">
      <c r="A3" s="3" t="s">
        <v>50</v>
      </c>
      <c r="B3" s="15">
        <v>46306</v>
      </c>
      <c r="C3" s="15">
        <v>46311</v>
      </c>
      <c r="D3" s="3" t="s">
        <v>51</v>
      </c>
      <c r="E3" s="3" t="s">
        <v>164</v>
      </c>
      <c r="F3" s="3" t="s">
        <v>52</v>
      </c>
      <c r="G3" s="3">
        <v>38</v>
      </c>
      <c r="H3" s="3" t="s">
        <v>88</v>
      </c>
      <c r="I3" s="3" t="s">
        <v>89</v>
      </c>
      <c r="J3" s="3" t="s">
        <v>80</v>
      </c>
      <c r="K3" s="3" t="s">
        <v>62</v>
      </c>
      <c r="L3" s="3" t="s">
        <v>163</v>
      </c>
      <c r="M3" s="3" t="s">
        <v>45</v>
      </c>
      <c r="N3" s="3" t="s">
        <v>63</v>
      </c>
      <c r="O3" s="3" t="s">
        <v>64</v>
      </c>
      <c r="P3" s="3">
        <v>1</v>
      </c>
      <c r="Q3" s="9">
        <v>62000</v>
      </c>
      <c r="R3" s="6">
        <v>0.08</v>
      </c>
      <c r="S3" s="12">
        <f t="shared" si="0"/>
        <v>57040</v>
      </c>
      <c r="T3" s="12">
        <v>52000</v>
      </c>
      <c r="U3" s="9">
        <f t="shared" si="1"/>
        <v>5040</v>
      </c>
      <c r="V3" s="6">
        <f t="shared" si="2"/>
        <v>8.8359046283309955E-2</v>
      </c>
      <c r="W3" s="3" t="s">
        <v>73</v>
      </c>
      <c r="X3" s="3" t="s">
        <v>49</v>
      </c>
      <c r="Y3" s="3">
        <f t="shared" si="3"/>
        <v>5</v>
      </c>
      <c r="Z3" s="3" t="str">
        <f t="shared" si="4"/>
        <v>Premium</v>
      </c>
      <c r="AA3" s="3">
        <v>3</v>
      </c>
      <c r="AB3" s="3" t="str">
        <f t="shared" si="5"/>
        <v>Average</v>
      </c>
      <c r="AC3" s="3" t="str">
        <f t="shared" si="6"/>
        <v>October</v>
      </c>
      <c r="AD3" s="3" t="str">
        <f t="shared" si="7"/>
        <v>Q4</v>
      </c>
      <c r="AE3" s="3">
        <f t="shared" si="8"/>
        <v>2026</v>
      </c>
      <c r="AF3" s="3" t="str">
        <f t="shared" si="9"/>
        <v>Sunday</v>
      </c>
      <c r="AG3" s="3" t="str">
        <f t="shared" si="10"/>
        <v>36-45</v>
      </c>
      <c r="AH3" s="3" t="str">
        <f t="shared" si="11"/>
        <v>Large</v>
      </c>
      <c r="AI3" s="3" t="str">
        <f t="shared" si="12"/>
        <v>Medium</v>
      </c>
      <c r="AJ3" s="3" t="str" cm="1">
        <f t="array" ref="AJ3">_xlfn.IFS(S3&gt;=80000,"VIP",S3&gt;=40000,"Gold",S3&gt;=15000,"Silver",TRUE,"Bronze")</f>
        <v>Gold</v>
      </c>
      <c r="AM3" s="20" t="s">
        <v>1282</v>
      </c>
      <c r="AN3" s="22">
        <f>SUM(S:S)</f>
        <v>45193009</v>
      </c>
    </row>
    <row r="4" spans="1:41" x14ac:dyDescent="0.3">
      <c r="A4" s="3" t="s">
        <v>57</v>
      </c>
      <c r="B4" s="15">
        <v>46321</v>
      </c>
      <c r="C4" s="15">
        <v>46325</v>
      </c>
      <c r="D4" s="3" t="s">
        <v>58</v>
      </c>
      <c r="E4" s="3" t="s">
        <v>165</v>
      </c>
      <c r="F4" s="3" t="s">
        <v>52</v>
      </c>
      <c r="G4" s="3">
        <v>45</v>
      </c>
      <c r="H4" s="3" t="s">
        <v>88</v>
      </c>
      <c r="I4" s="3" t="s">
        <v>89</v>
      </c>
      <c r="J4" s="3" t="s">
        <v>80</v>
      </c>
      <c r="K4" s="3" t="s">
        <v>96</v>
      </c>
      <c r="L4" s="3" t="s">
        <v>166</v>
      </c>
      <c r="M4" s="3" t="s">
        <v>97</v>
      </c>
      <c r="N4" s="3" t="s">
        <v>98</v>
      </c>
      <c r="O4" s="3" t="s">
        <v>99</v>
      </c>
      <c r="P4" s="3">
        <v>5</v>
      </c>
      <c r="Q4" s="9">
        <v>4500</v>
      </c>
      <c r="R4" s="6">
        <v>0.12</v>
      </c>
      <c r="S4" s="12">
        <f t="shared" si="0"/>
        <v>19800</v>
      </c>
      <c r="T4" s="12">
        <v>3000</v>
      </c>
      <c r="U4" s="9">
        <f t="shared" si="1"/>
        <v>4800</v>
      </c>
      <c r="V4" s="6">
        <f t="shared" si="2"/>
        <v>0.24242424242424243</v>
      </c>
      <c r="W4" s="3" t="s">
        <v>65</v>
      </c>
      <c r="X4" s="3" t="s">
        <v>101</v>
      </c>
      <c r="Y4" s="3">
        <f t="shared" si="3"/>
        <v>4</v>
      </c>
      <c r="Z4" s="3" t="str">
        <f t="shared" si="4"/>
        <v>Regular</v>
      </c>
      <c r="AA4" s="3">
        <v>4</v>
      </c>
      <c r="AB4" s="3" t="str">
        <f t="shared" si="5"/>
        <v>Excellent</v>
      </c>
      <c r="AC4" s="3" t="str">
        <f t="shared" si="6"/>
        <v>October</v>
      </c>
      <c r="AD4" s="3" t="str">
        <f t="shared" si="7"/>
        <v>Q4</v>
      </c>
      <c r="AE4" s="3">
        <f t="shared" si="8"/>
        <v>2026</v>
      </c>
      <c r="AF4" s="3" t="str">
        <f t="shared" si="9"/>
        <v>Monday</v>
      </c>
      <c r="AG4" s="3" t="str">
        <f t="shared" si="10"/>
        <v>36-45</v>
      </c>
      <c r="AH4" s="3" t="str">
        <f t="shared" si="11"/>
        <v>Medium</v>
      </c>
      <c r="AI4" s="3" t="str">
        <f t="shared" si="12"/>
        <v>Medium</v>
      </c>
      <c r="AJ4" s="3" t="str" cm="1">
        <f t="array" ref="AJ4">_xlfn.IFS(S4&gt;=80000,"VIP",S4&gt;=40000,"Gold",S4&gt;=15000,"Silver",TRUE,"Bronze")</f>
        <v>Silver</v>
      </c>
    </row>
    <row r="5" spans="1:41" x14ac:dyDescent="0.3">
      <c r="A5" s="3" t="s">
        <v>66</v>
      </c>
      <c r="B5" s="15">
        <v>46352</v>
      </c>
      <c r="C5" s="15">
        <v>46358</v>
      </c>
      <c r="D5" s="3" t="s">
        <v>67</v>
      </c>
      <c r="E5" s="3" t="s">
        <v>167</v>
      </c>
      <c r="F5" s="3" t="s">
        <v>39</v>
      </c>
      <c r="G5" s="3">
        <v>41</v>
      </c>
      <c r="H5" s="3" t="s">
        <v>60</v>
      </c>
      <c r="I5" s="3" t="s">
        <v>61</v>
      </c>
      <c r="J5" s="3" t="s">
        <v>42</v>
      </c>
      <c r="K5" s="3" t="s">
        <v>105</v>
      </c>
      <c r="L5" s="3" t="s">
        <v>112</v>
      </c>
      <c r="M5" s="3" t="s">
        <v>113</v>
      </c>
      <c r="N5" s="3" t="s">
        <v>114</v>
      </c>
      <c r="O5" s="3" t="s">
        <v>115</v>
      </c>
      <c r="P5" s="3">
        <v>4</v>
      </c>
      <c r="Q5" s="9">
        <v>3500</v>
      </c>
      <c r="R5" s="6">
        <v>0.08</v>
      </c>
      <c r="S5" s="12">
        <f t="shared" si="0"/>
        <v>12880</v>
      </c>
      <c r="T5" s="12">
        <v>2500</v>
      </c>
      <c r="U5" s="9">
        <f t="shared" si="1"/>
        <v>2880</v>
      </c>
      <c r="V5" s="6">
        <f t="shared" si="2"/>
        <v>0.2236024844720497</v>
      </c>
      <c r="W5" s="3" t="s">
        <v>92</v>
      </c>
      <c r="X5" s="3" t="s">
        <v>106</v>
      </c>
      <c r="Y5" s="3">
        <f t="shared" si="3"/>
        <v>6</v>
      </c>
      <c r="Z5" s="3" t="str">
        <f t="shared" si="4"/>
        <v>Regular</v>
      </c>
      <c r="AA5" s="3">
        <v>2</v>
      </c>
      <c r="AB5" s="3" t="str">
        <f t="shared" si="5"/>
        <v>Average</v>
      </c>
      <c r="AC5" s="3" t="str">
        <f t="shared" si="6"/>
        <v>November</v>
      </c>
      <c r="AD5" s="3" t="str">
        <f t="shared" si="7"/>
        <v>Q4</v>
      </c>
      <c r="AE5" s="3">
        <f t="shared" si="8"/>
        <v>2026</v>
      </c>
      <c r="AF5" s="3" t="str">
        <f t="shared" si="9"/>
        <v>Thursday</v>
      </c>
      <c r="AG5" s="3" t="str">
        <f t="shared" si="10"/>
        <v>36-45</v>
      </c>
      <c r="AH5" s="3" t="str">
        <f t="shared" si="11"/>
        <v>Medium</v>
      </c>
      <c r="AI5" s="3" t="str">
        <f t="shared" si="12"/>
        <v>Medium</v>
      </c>
      <c r="AJ5" s="3" t="str" cm="1">
        <f t="array" ref="AJ5">_xlfn.IFS(S5&gt;=80000,"VIP",S5&gt;=40000,"Gold",S5&gt;=15000,"Silver",TRUE,"Bronze")</f>
        <v>Bronze</v>
      </c>
      <c r="AM5" s="20" t="s">
        <v>1283</v>
      </c>
      <c r="AN5" s="21">
        <f>SUM(U:U)</f>
        <v>3174409</v>
      </c>
    </row>
    <row r="6" spans="1:41" x14ac:dyDescent="0.3">
      <c r="A6" s="3" t="s">
        <v>75</v>
      </c>
      <c r="B6" s="15">
        <v>46137</v>
      </c>
      <c r="C6" s="15">
        <v>46139</v>
      </c>
      <c r="D6" s="3" t="s">
        <v>76</v>
      </c>
      <c r="E6" s="3" t="s">
        <v>95</v>
      </c>
      <c r="F6" s="3" t="s">
        <v>52</v>
      </c>
      <c r="G6" s="3">
        <v>46</v>
      </c>
      <c r="H6" s="3" t="s">
        <v>119</v>
      </c>
      <c r="I6" s="3" t="s">
        <v>120</v>
      </c>
      <c r="J6" s="3" t="s">
        <v>121</v>
      </c>
      <c r="K6" s="3" t="s">
        <v>81</v>
      </c>
      <c r="L6" s="3" t="s">
        <v>82</v>
      </c>
      <c r="M6" s="3" t="s">
        <v>45</v>
      </c>
      <c r="N6" s="3" t="s">
        <v>83</v>
      </c>
      <c r="O6" s="3" t="s">
        <v>84</v>
      </c>
      <c r="P6" s="3">
        <v>5</v>
      </c>
      <c r="Q6" s="9">
        <v>42000</v>
      </c>
      <c r="R6" s="6">
        <v>0.05</v>
      </c>
      <c r="S6" s="12">
        <f t="shared" si="0"/>
        <v>199500</v>
      </c>
      <c r="T6" s="12">
        <v>35000</v>
      </c>
      <c r="U6" s="9">
        <f t="shared" si="1"/>
        <v>24500</v>
      </c>
      <c r="V6" s="6">
        <f t="shared" si="2"/>
        <v>0.12280701754385964</v>
      </c>
      <c r="W6" s="3" t="s">
        <v>56</v>
      </c>
      <c r="X6" s="3" t="s">
        <v>106</v>
      </c>
      <c r="Y6" s="3">
        <f t="shared" si="3"/>
        <v>2</v>
      </c>
      <c r="Z6" s="3" t="str">
        <f t="shared" si="4"/>
        <v>Premium</v>
      </c>
      <c r="AA6" s="3">
        <v>4</v>
      </c>
      <c r="AB6" s="3" t="str">
        <f t="shared" si="5"/>
        <v>Excellent</v>
      </c>
      <c r="AC6" s="3" t="str">
        <f t="shared" si="6"/>
        <v>April</v>
      </c>
      <c r="AD6" s="3" t="str">
        <f t="shared" si="7"/>
        <v>Q2</v>
      </c>
      <c r="AE6" s="3">
        <f t="shared" si="8"/>
        <v>2026</v>
      </c>
      <c r="AF6" s="3" t="str">
        <f t="shared" si="9"/>
        <v>Saturday</v>
      </c>
      <c r="AG6" s="3" t="str">
        <f t="shared" si="10"/>
        <v>46+</v>
      </c>
      <c r="AH6" s="3" t="str">
        <f t="shared" si="11"/>
        <v>Large</v>
      </c>
      <c r="AI6" s="3" t="str">
        <f t="shared" si="12"/>
        <v>Low</v>
      </c>
      <c r="AJ6" s="3" t="str" cm="1">
        <f t="array" ref="AJ6">_xlfn.IFS(S6&gt;=80000,"VIP",S6&gt;=40000,"Gold",S6&gt;=15000,"Silver",TRUE,"Bronze")</f>
        <v>VIP</v>
      </c>
    </row>
    <row r="7" spans="1:41" x14ac:dyDescent="0.3">
      <c r="A7" s="3" t="s">
        <v>85</v>
      </c>
      <c r="B7" s="15">
        <v>46207</v>
      </c>
      <c r="C7" s="15">
        <v>46212</v>
      </c>
      <c r="D7" s="3" t="s">
        <v>86</v>
      </c>
      <c r="E7" s="3" t="s">
        <v>168</v>
      </c>
      <c r="F7" s="3" t="s">
        <v>39</v>
      </c>
      <c r="G7" s="3">
        <v>27</v>
      </c>
      <c r="H7" s="3" t="s">
        <v>60</v>
      </c>
      <c r="I7" s="3" t="s">
        <v>61</v>
      </c>
      <c r="J7" s="3" t="s">
        <v>42</v>
      </c>
      <c r="K7" s="3" t="s">
        <v>62</v>
      </c>
      <c r="L7" s="3" t="s">
        <v>163</v>
      </c>
      <c r="M7" s="3" t="s">
        <v>45</v>
      </c>
      <c r="N7" s="3" t="s">
        <v>63</v>
      </c>
      <c r="O7" s="3" t="s">
        <v>64</v>
      </c>
      <c r="P7" s="3">
        <v>3</v>
      </c>
      <c r="Q7" s="9">
        <v>62000</v>
      </c>
      <c r="R7" s="6">
        <v>0.08</v>
      </c>
      <c r="S7" s="12">
        <f t="shared" si="0"/>
        <v>171120</v>
      </c>
      <c r="T7" s="12">
        <v>52000</v>
      </c>
      <c r="U7" s="9">
        <f t="shared" si="1"/>
        <v>15120</v>
      </c>
      <c r="V7" s="6">
        <f t="shared" si="2"/>
        <v>8.8359046283309955E-2</v>
      </c>
      <c r="W7" s="3" t="s">
        <v>65</v>
      </c>
      <c r="X7" s="3" t="s">
        <v>106</v>
      </c>
      <c r="Y7" s="3">
        <f t="shared" si="3"/>
        <v>5</v>
      </c>
      <c r="Z7" s="3" t="str">
        <f t="shared" si="4"/>
        <v>Premium</v>
      </c>
      <c r="AA7" s="3">
        <v>4</v>
      </c>
      <c r="AB7" s="3" t="str">
        <f t="shared" si="5"/>
        <v>Excellent</v>
      </c>
      <c r="AC7" s="3" t="str">
        <f t="shared" si="6"/>
        <v>July</v>
      </c>
      <c r="AD7" s="3" t="str">
        <f t="shared" si="7"/>
        <v>Q3</v>
      </c>
      <c r="AE7" s="3">
        <f t="shared" si="8"/>
        <v>2026</v>
      </c>
      <c r="AF7" s="3" t="str">
        <f t="shared" si="9"/>
        <v>Saturday</v>
      </c>
      <c r="AG7" s="3" t="str">
        <f t="shared" si="10"/>
        <v>26-35</v>
      </c>
      <c r="AH7" s="3" t="str">
        <f t="shared" si="11"/>
        <v>Large</v>
      </c>
      <c r="AI7" s="3" t="str">
        <f t="shared" si="12"/>
        <v>Medium</v>
      </c>
      <c r="AJ7" s="3" t="str" cm="1">
        <f t="array" ref="AJ7">_xlfn.IFS(S7&gt;=80000,"VIP",S7&gt;=40000,"Gold",S7&gt;=15000,"Silver",TRUE,"Bronze")</f>
        <v>VIP</v>
      </c>
      <c r="AM7" s="20" t="s">
        <v>1284</v>
      </c>
      <c r="AN7" s="20">
        <f>COUNTA(A:A)-1</f>
        <v>500</v>
      </c>
    </row>
    <row r="8" spans="1:41" x14ac:dyDescent="0.3">
      <c r="A8" s="3" t="s">
        <v>93</v>
      </c>
      <c r="B8" s="15">
        <v>46322</v>
      </c>
      <c r="C8" s="15">
        <v>46327</v>
      </c>
      <c r="D8" s="3" t="s">
        <v>94</v>
      </c>
      <c r="E8" s="3" t="s">
        <v>165</v>
      </c>
      <c r="F8" s="3" t="s">
        <v>52</v>
      </c>
      <c r="G8" s="3">
        <v>41</v>
      </c>
      <c r="H8" s="3" t="s">
        <v>68</v>
      </c>
      <c r="I8" s="3" t="s">
        <v>68</v>
      </c>
      <c r="J8" s="3" t="s">
        <v>69</v>
      </c>
      <c r="K8" s="3" t="s">
        <v>70</v>
      </c>
      <c r="L8" s="3" t="s">
        <v>71</v>
      </c>
      <c r="M8" s="3" t="s">
        <v>45</v>
      </c>
      <c r="N8" s="3" t="s">
        <v>63</v>
      </c>
      <c r="O8" s="3" t="s">
        <v>72</v>
      </c>
      <c r="P8" s="3">
        <v>4</v>
      </c>
      <c r="Q8" s="9">
        <v>58000</v>
      </c>
      <c r="R8" s="6">
        <v>0.05</v>
      </c>
      <c r="S8" s="12">
        <f t="shared" si="0"/>
        <v>220400</v>
      </c>
      <c r="T8" s="12">
        <v>49000</v>
      </c>
      <c r="U8" s="9">
        <f t="shared" si="1"/>
        <v>24400</v>
      </c>
      <c r="V8" s="6">
        <f t="shared" si="2"/>
        <v>0.11070780399274047</v>
      </c>
      <c r="W8" s="3" t="s">
        <v>92</v>
      </c>
      <c r="X8" s="3" t="s">
        <v>101</v>
      </c>
      <c r="Y8" s="3">
        <f t="shared" si="3"/>
        <v>5</v>
      </c>
      <c r="Z8" s="3" t="str">
        <f t="shared" si="4"/>
        <v>Premium</v>
      </c>
      <c r="AA8" s="3">
        <v>4</v>
      </c>
      <c r="AB8" s="3" t="str">
        <f t="shared" si="5"/>
        <v>Excellent</v>
      </c>
      <c r="AC8" s="3" t="str">
        <f t="shared" si="6"/>
        <v>October</v>
      </c>
      <c r="AD8" s="3" t="str">
        <f t="shared" si="7"/>
        <v>Q4</v>
      </c>
      <c r="AE8" s="3">
        <f t="shared" si="8"/>
        <v>2026</v>
      </c>
      <c r="AF8" s="3" t="str">
        <f t="shared" si="9"/>
        <v>Tuesday</v>
      </c>
      <c r="AG8" s="3" t="str">
        <f t="shared" si="10"/>
        <v>36-45</v>
      </c>
      <c r="AH8" s="3" t="str">
        <f t="shared" si="11"/>
        <v>Large</v>
      </c>
      <c r="AI8" s="3" t="str">
        <f t="shared" si="12"/>
        <v>Low</v>
      </c>
      <c r="AJ8" s="3" t="str" cm="1">
        <f t="array" ref="AJ8">_xlfn.IFS(S8&gt;=80000,"VIP",S8&gt;=40000,"Gold",S8&gt;=15000,"Silver",TRUE,"Bronze")</f>
        <v>VIP</v>
      </c>
    </row>
    <row r="9" spans="1:41" x14ac:dyDescent="0.3">
      <c r="A9" s="3" t="s">
        <v>102</v>
      </c>
      <c r="B9" s="15">
        <v>46288</v>
      </c>
      <c r="C9" s="15">
        <v>46292</v>
      </c>
      <c r="D9" s="3" t="s">
        <v>103</v>
      </c>
      <c r="E9" s="3" t="s">
        <v>169</v>
      </c>
      <c r="F9" s="3" t="s">
        <v>52</v>
      </c>
      <c r="G9" s="3">
        <v>23</v>
      </c>
      <c r="H9" s="3" t="s">
        <v>60</v>
      </c>
      <c r="I9" s="3" t="s">
        <v>61</v>
      </c>
      <c r="J9" s="3" t="s">
        <v>42</v>
      </c>
      <c r="K9" s="3" t="s">
        <v>62</v>
      </c>
      <c r="L9" s="3" t="s">
        <v>163</v>
      </c>
      <c r="M9" s="3" t="s">
        <v>45</v>
      </c>
      <c r="N9" s="3" t="s">
        <v>63</v>
      </c>
      <c r="O9" s="3" t="s">
        <v>64</v>
      </c>
      <c r="P9" s="3">
        <v>2</v>
      </c>
      <c r="Q9" s="9">
        <v>62000</v>
      </c>
      <c r="R9" s="6">
        <v>0.15</v>
      </c>
      <c r="S9" s="12">
        <f t="shared" si="0"/>
        <v>105400</v>
      </c>
      <c r="T9" s="12">
        <v>52000</v>
      </c>
      <c r="U9" s="9">
        <f t="shared" si="1"/>
        <v>1400</v>
      </c>
      <c r="V9" s="6">
        <f t="shared" si="2"/>
        <v>1.3282732447817837E-2</v>
      </c>
      <c r="W9" s="3" t="s">
        <v>56</v>
      </c>
      <c r="X9" s="3" t="s">
        <v>101</v>
      </c>
      <c r="Y9" s="3">
        <f t="shared" si="3"/>
        <v>4</v>
      </c>
      <c r="Z9" s="3" t="str">
        <f t="shared" si="4"/>
        <v>Premium</v>
      </c>
      <c r="AA9" s="3">
        <v>5</v>
      </c>
      <c r="AB9" s="3" t="str">
        <f t="shared" si="5"/>
        <v>Excellent</v>
      </c>
      <c r="AC9" s="3" t="str">
        <f t="shared" si="6"/>
        <v>September</v>
      </c>
      <c r="AD9" s="3" t="str">
        <f t="shared" si="7"/>
        <v>Q3</v>
      </c>
      <c r="AE9" s="3">
        <f t="shared" si="8"/>
        <v>2026</v>
      </c>
      <c r="AF9" s="3" t="str">
        <f t="shared" si="9"/>
        <v>Wednesday</v>
      </c>
      <c r="AG9" s="3" t="str">
        <f t="shared" si="10"/>
        <v>18-25</v>
      </c>
      <c r="AH9" s="3" t="str">
        <f t="shared" si="11"/>
        <v>Large</v>
      </c>
      <c r="AI9" s="3" t="str">
        <f t="shared" si="12"/>
        <v>Medium</v>
      </c>
      <c r="AJ9" s="3" t="str" cm="1">
        <f t="array" ref="AJ9">_xlfn.IFS(S9&gt;=80000,"VIP",S9&gt;=40000,"Gold",S9&gt;=15000,"Silver",TRUE,"Bronze")</f>
        <v>VIP</v>
      </c>
      <c r="AM9" s="20" t="s">
        <v>1285</v>
      </c>
      <c r="AN9" s="20">
        <f>COUNTA(_xlfn.UNIQUE(D2:D501))</f>
        <v>500</v>
      </c>
    </row>
    <row r="10" spans="1:41" x14ac:dyDescent="0.3">
      <c r="A10" s="3" t="s">
        <v>107</v>
      </c>
      <c r="B10" s="15">
        <v>46250</v>
      </c>
      <c r="C10" s="15">
        <v>46256</v>
      </c>
      <c r="D10" s="3" t="s">
        <v>108</v>
      </c>
      <c r="E10" s="3" t="s">
        <v>59</v>
      </c>
      <c r="F10" s="3" t="s">
        <v>52</v>
      </c>
      <c r="G10" s="3">
        <v>41</v>
      </c>
      <c r="H10" s="3" t="s">
        <v>68</v>
      </c>
      <c r="I10" s="3" t="s">
        <v>68</v>
      </c>
      <c r="J10" s="3" t="s">
        <v>69</v>
      </c>
      <c r="K10" s="3" t="s">
        <v>62</v>
      </c>
      <c r="L10" s="3" t="s">
        <v>163</v>
      </c>
      <c r="M10" s="3" t="s">
        <v>45</v>
      </c>
      <c r="N10" s="3" t="s">
        <v>63</v>
      </c>
      <c r="O10" s="3" t="s">
        <v>64</v>
      </c>
      <c r="P10" s="3">
        <v>1</v>
      </c>
      <c r="Q10" s="9">
        <v>62000</v>
      </c>
      <c r="R10" s="6">
        <v>0.12</v>
      </c>
      <c r="S10" s="12">
        <f t="shared" si="0"/>
        <v>54560</v>
      </c>
      <c r="T10" s="12">
        <v>52000</v>
      </c>
      <c r="U10" s="9">
        <f t="shared" si="1"/>
        <v>2560</v>
      </c>
      <c r="V10" s="6">
        <f t="shared" si="2"/>
        <v>4.6920821114369501E-2</v>
      </c>
      <c r="W10" s="3" t="s">
        <v>48</v>
      </c>
      <c r="X10" s="3" t="s">
        <v>74</v>
      </c>
      <c r="Y10" s="3">
        <f t="shared" si="3"/>
        <v>6</v>
      </c>
      <c r="Z10" s="3" t="str">
        <f t="shared" si="4"/>
        <v>Premium</v>
      </c>
      <c r="AA10" s="3">
        <v>2</v>
      </c>
      <c r="AB10" s="3" t="str">
        <f t="shared" si="5"/>
        <v>Average</v>
      </c>
      <c r="AC10" s="3" t="str">
        <f t="shared" si="6"/>
        <v>August</v>
      </c>
      <c r="AD10" s="3" t="str">
        <f t="shared" si="7"/>
        <v>Q3</v>
      </c>
      <c r="AE10" s="3">
        <f t="shared" si="8"/>
        <v>2026</v>
      </c>
      <c r="AF10" s="3" t="str">
        <f t="shared" si="9"/>
        <v>Sunday</v>
      </c>
      <c r="AG10" s="3" t="str">
        <f t="shared" si="10"/>
        <v>36-45</v>
      </c>
      <c r="AH10" s="3" t="str">
        <f t="shared" si="11"/>
        <v>Large</v>
      </c>
      <c r="AI10" s="3" t="str">
        <f t="shared" si="12"/>
        <v>Medium</v>
      </c>
      <c r="AJ10" s="3" t="str" cm="1">
        <f t="array" ref="AJ10">_xlfn.IFS(S10&gt;=80000,"VIP",S10&gt;=40000,"Gold",S10&gt;=15000,"Silver",TRUE,"Bronze")</f>
        <v>Gold</v>
      </c>
    </row>
    <row r="11" spans="1:41" x14ac:dyDescent="0.3">
      <c r="A11" s="3" t="s">
        <v>116</v>
      </c>
      <c r="B11" s="15">
        <v>46158</v>
      </c>
      <c r="C11" s="15">
        <v>46164</v>
      </c>
      <c r="D11" s="3" t="s">
        <v>117</v>
      </c>
      <c r="E11" s="3" t="s">
        <v>170</v>
      </c>
      <c r="F11" s="3" t="s">
        <v>39</v>
      </c>
      <c r="G11" s="3">
        <v>49</v>
      </c>
      <c r="H11" s="3" t="s">
        <v>110</v>
      </c>
      <c r="I11" s="3" t="s">
        <v>111</v>
      </c>
      <c r="J11" s="3" t="s">
        <v>80</v>
      </c>
      <c r="K11" s="3" t="s">
        <v>90</v>
      </c>
      <c r="L11" s="3" t="s">
        <v>122</v>
      </c>
      <c r="M11" s="3" t="s">
        <v>45</v>
      </c>
      <c r="N11" s="3" t="s">
        <v>91</v>
      </c>
      <c r="O11" s="3" t="s">
        <v>123</v>
      </c>
      <c r="P11" s="3">
        <v>4</v>
      </c>
      <c r="Q11" s="9">
        <v>2500</v>
      </c>
      <c r="R11" s="6">
        <v>0.05</v>
      </c>
      <c r="S11" s="12">
        <f t="shared" si="0"/>
        <v>9500</v>
      </c>
      <c r="T11" s="12">
        <v>1700</v>
      </c>
      <c r="U11" s="9">
        <f t="shared" si="1"/>
        <v>2700</v>
      </c>
      <c r="V11" s="6">
        <f t="shared" si="2"/>
        <v>0.28421052631578947</v>
      </c>
      <c r="W11" s="3" t="s">
        <v>65</v>
      </c>
      <c r="X11" s="3" t="s">
        <v>49</v>
      </c>
      <c r="Y11" s="3">
        <f t="shared" si="3"/>
        <v>6</v>
      </c>
      <c r="Z11" s="3" t="str">
        <f t="shared" si="4"/>
        <v>Regular</v>
      </c>
      <c r="AA11" s="3">
        <v>5</v>
      </c>
      <c r="AB11" s="3" t="str">
        <f t="shared" si="5"/>
        <v>Excellent</v>
      </c>
      <c r="AC11" s="3" t="str">
        <f t="shared" si="6"/>
        <v>May</v>
      </c>
      <c r="AD11" s="3" t="str">
        <f t="shared" si="7"/>
        <v>Q2</v>
      </c>
      <c r="AE11" s="3">
        <f t="shared" si="8"/>
        <v>2026</v>
      </c>
      <c r="AF11" s="3" t="str">
        <f t="shared" si="9"/>
        <v>Saturday</v>
      </c>
      <c r="AG11" s="3" t="str">
        <f t="shared" si="10"/>
        <v>46+</v>
      </c>
      <c r="AH11" s="3" t="str">
        <f t="shared" si="11"/>
        <v>Small</v>
      </c>
      <c r="AI11" s="3" t="str">
        <f t="shared" si="12"/>
        <v>Low</v>
      </c>
      <c r="AJ11" s="3" t="str" cm="1">
        <f t="array" ref="AJ11">_xlfn.IFS(S11&gt;=80000,"VIP",S11&gt;=40000,"Gold",S11&gt;=15000,"Silver",TRUE,"Bronze")</f>
        <v>Bronze</v>
      </c>
      <c r="AM11" s="19" t="s">
        <v>1286</v>
      </c>
      <c r="AO11" s="22">
        <f>AVERAGE(S:S)</f>
        <v>90386.017999999996</v>
      </c>
    </row>
    <row r="12" spans="1:41" x14ac:dyDescent="0.3">
      <c r="A12" s="3" t="s">
        <v>124</v>
      </c>
      <c r="B12" s="15">
        <v>46293</v>
      </c>
      <c r="C12" s="15">
        <v>46299</v>
      </c>
      <c r="D12" s="3" t="s">
        <v>136</v>
      </c>
      <c r="E12" s="3" t="s">
        <v>171</v>
      </c>
      <c r="F12" s="3" t="s">
        <v>52</v>
      </c>
      <c r="G12" s="3">
        <v>38</v>
      </c>
      <c r="H12" s="3" t="s">
        <v>78</v>
      </c>
      <c r="I12" s="3" t="s">
        <v>79</v>
      </c>
      <c r="J12" s="3" t="s">
        <v>80</v>
      </c>
      <c r="K12" s="3" t="s">
        <v>81</v>
      </c>
      <c r="L12" s="3" t="s">
        <v>82</v>
      </c>
      <c r="M12" s="3" t="s">
        <v>45</v>
      </c>
      <c r="N12" s="3" t="s">
        <v>83</v>
      </c>
      <c r="O12" s="3" t="s">
        <v>84</v>
      </c>
      <c r="P12" s="3">
        <v>1</v>
      </c>
      <c r="Q12" s="9">
        <v>42000</v>
      </c>
      <c r="R12" s="6">
        <v>0.1</v>
      </c>
      <c r="S12" s="12">
        <f t="shared" si="0"/>
        <v>37800</v>
      </c>
      <c r="T12" s="12">
        <v>35000</v>
      </c>
      <c r="U12" s="9">
        <f t="shared" si="1"/>
        <v>2800</v>
      </c>
      <c r="V12" s="6">
        <f t="shared" si="2"/>
        <v>7.407407407407407E-2</v>
      </c>
      <c r="W12" s="3" t="s">
        <v>56</v>
      </c>
      <c r="X12" s="3" t="s">
        <v>74</v>
      </c>
      <c r="Y12" s="3">
        <f t="shared" si="3"/>
        <v>6</v>
      </c>
      <c r="Z12" s="3" t="str">
        <f t="shared" si="4"/>
        <v>Regular</v>
      </c>
      <c r="AA12" s="3">
        <v>5</v>
      </c>
      <c r="AB12" s="3" t="str">
        <f t="shared" si="5"/>
        <v>Excellent</v>
      </c>
      <c r="AC12" s="3" t="str">
        <f t="shared" si="6"/>
        <v>September</v>
      </c>
      <c r="AD12" s="3" t="str">
        <f t="shared" si="7"/>
        <v>Q3</v>
      </c>
      <c r="AE12" s="3">
        <f t="shared" si="8"/>
        <v>2026</v>
      </c>
      <c r="AF12" s="3" t="str">
        <f t="shared" si="9"/>
        <v>Monday</v>
      </c>
      <c r="AG12" s="3" t="str">
        <f t="shared" si="10"/>
        <v>36-45</v>
      </c>
      <c r="AH12" s="3" t="str">
        <f t="shared" si="11"/>
        <v>Large</v>
      </c>
      <c r="AI12" s="3" t="str">
        <f t="shared" si="12"/>
        <v>Medium</v>
      </c>
      <c r="AJ12" s="3" t="str" cm="1">
        <f t="array" ref="AJ12">_xlfn.IFS(S12&gt;=80000,"VIP",S12&gt;=40000,"Gold",S12&gt;=15000,"Silver",TRUE,"Bronze")</f>
        <v>Silver</v>
      </c>
    </row>
    <row r="13" spans="1:41" x14ac:dyDescent="0.3">
      <c r="A13" s="3" t="s">
        <v>125</v>
      </c>
      <c r="B13" s="15">
        <v>46148</v>
      </c>
      <c r="C13" s="15">
        <v>46153</v>
      </c>
      <c r="D13" s="3" t="s">
        <v>138</v>
      </c>
      <c r="E13" s="3" t="s">
        <v>172</v>
      </c>
      <c r="F13" s="3" t="s">
        <v>39</v>
      </c>
      <c r="G13" s="3">
        <v>25</v>
      </c>
      <c r="H13" s="3" t="s">
        <v>68</v>
      </c>
      <c r="I13" s="3" t="s">
        <v>68</v>
      </c>
      <c r="J13" s="3" t="s">
        <v>69</v>
      </c>
      <c r="K13" s="3" t="s">
        <v>54</v>
      </c>
      <c r="L13" s="3" t="s">
        <v>173</v>
      </c>
      <c r="M13" s="3" t="s">
        <v>45</v>
      </c>
      <c r="N13" s="3" t="s">
        <v>46</v>
      </c>
      <c r="O13" s="3" t="s">
        <v>55</v>
      </c>
      <c r="P13" s="3">
        <v>4</v>
      </c>
      <c r="Q13" s="9">
        <v>79900</v>
      </c>
      <c r="R13" s="6">
        <v>0.08</v>
      </c>
      <c r="S13" s="12">
        <f t="shared" si="0"/>
        <v>294032</v>
      </c>
      <c r="T13" s="12">
        <v>65000</v>
      </c>
      <c r="U13" s="9">
        <f t="shared" si="1"/>
        <v>34032</v>
      </c>
      <c r="V13" s="6">
        <f t="shared" si="2"/>
        <v>0.11574250421722805</v>
      </c>
      <c r="W13" s="3" t="s">
        <v>48</v>
      </c>
      <c r="X13" s="3" t="s">
        <v>106</v>
      </c>
      <c r="Y13" s="3">
        <f t="shared" si="3"/>
        <v>5</v>
      </c>
      <c r="Z13" s="3" t="str">
        <f t="shared" si="4"/>
        <v>Premium</v>
      </c>
      <c r="AA13" s="3">
        <v>4</v>
      </c>
      <c r="AB13" s="3" t="str">
        <f t="shared" si="5"/>
        <v>Excellent</v>
      </c>
      <c r="AC13" s="3" t="str">
        <f t="shared" si="6"/>
        <v>May</v>
      </c>
      <c r="AD13" s="3" t="str">
        <f t="shared" si="7"/>
        <v>Q2</v>
      </c>
      <c r="AE13" s="3">
        <f t="shared" si="8"/>
        <v>2026</v>
      </c>
      <c r="AF13" s="3" t="str">
        <f t="shared" si="9"/>
        <v>Wednesday</v>
      </c>
      <c r="AG13" s="3" t="str">
        <f t="shared" si="10"/>
        <v>18-25</v>
      </c>
      <c r="AH13" s="3" t="str">
        <f t="shared" si="11"/>
        <v>Large</v>
      </c>
      <c r="AI13" s="3" t="str">
        <f t="shared" si="12"/>
        <v>Medium</v>
      </c>
      <c r="AJ13" s="3" t="str" cm="1">
        <f t="array" ref="AJ13">_xlfn.IFS(S13&gt;=80000,"VIP",S13&gt;=40000,"Gold",S13&gt;=15000,"Silver",TRUE,"Bronze")</f>
        <v>VIP</v>
      </c>
      <c r="AM13" s="20" t="s">
        <v>1287</v>
      </c>
      <c r="AN13" s="23">
        <f>AVERAGE(AA:AA)</f>
        <v>3.5640000000000001</v>
      </c>
    </row>
    <row r="14" spans="1:41" x14ac:dyDescent="0.3">
      <c r="A14" s="3" t="s">
        <v>126</v>
      </c>
      <c r="B14" s="15">
        <v>46363</v>
      </c>
      <c r="C14" s="15">
        <v>46365</v>
      </c>
      <c r="D14" s="3" t="s">
        <v>140</v>
      </c>
      <c r="E14" s="3" t="s">
        <v>174</v>
      </c>
      <c r="F14" s="3" t="s">
        <v>39</v>
      </c>
      <c r="G14" s="3">
        <v>28</v>
      </c>
      <c r="H14" s="3" t="s">
        <v>40</v>
      </c>
      <c r="I14" s="3" t="s">
        <v>41</v>
      </c>
      <c r="J14" s="3" t="s">
        <v>42</v>
      </c>
      <c r="K14" s="3" t="s">
        <v>70</v>
      </c>
      <c r="L14" s="3" t="s">
        <v>71</v>
      </c>
      <c r="M14" s="3" t="s">
        <v>45</v>
      </c>
      <c r="N14" s="3" t="s">
        <v>63</v>
      </c>
      <c r="O14" s="3" t="s">
        <v>72</v>
      </c>
      <c r="P14" s="3">
        <v>5</v>
      </c>
      <c r="Q14" s="9">
        <v>58000</v>
      </c>
      <c r="R14" s="6">
        <v>0.2</v>
      </c>
      <c r="S14" s="12">
        <f t="shared" si="0"/>
        <v>232000</v>
      </c>
      <c r="T14" s="12">
        <v>49000</v>
      </c>
      <c r="U14" s="9">
        <f t="shared" si="1"/>
        <v>-13000</v>
      </c>
      <c r="V14" s="6">
        <f t="shared" si="2"/>
        <v>-5.6034482758620691E-2</v>
      </c>
      <c r="W14" s="3" t="s">
        <v>73</v>
      </c>
      <c r="X14" s="3" t="s">
        <v>101</v>
      </c>
      <c r="Y14" s="3">
        <f t="shared" si="3"/>
        <v>2</v>
      </c>
      <c r="Z14" s="3" t="str">
        <f t="shared" si="4"/>
        <v>Premium</v>
      </c>
      <c r="AA14" s="3">
        <v>4</v>
      </c>
      <c r="AB14" s="3" t="str">
        <f t="shared" si="5"/>
        <v>Excellent</v>
      </c>
      <c r="AC14" s="3" t="str">
        <f t="shared" si="6"/>
        <v>December</v>
      </c>
      <c r="AD14" s="3" t="str">
        <f t="shared" si="7"/>
        <v>Q4</v>
      </c>
      <c r="AE14" s="3">
        <f t="shared" si="8"/>
        <v>2026</v>
      </c>
      <c r="AF14" s="3" t="str">
        <f t="shared" si="9"/>
        <v>Monday</v>
      </c>
      <c r="AG14" s="3" t="str">
        <f t="shared" si="10"/>
        <v>26-35</v>
      </c>
      <c r="AH14" s="3" t="str">
        <f t="shared" si="11"/>
        <v>Large</v>
      </c>
      <c r="AI14" s="3" t="str">
        <f t="shared" si="12"/>
        <v>High</v>
      </c>
      <c r="AJ14" s="3" t="str" cm="1">
        <f t="array" ref="AJ14">_xlfn.IFS(S14&gt;=80000,"VIP",S14&gt;=40000,"Gold",S14&gt;=15000,"Silver",TRUE,"Bronze")</f>
        <v>VIP</v>
      </c>
    </row>
    <row r="15" spans="1:41" x14ac:dyDescent="0.3">
      <c r="A15" s="3" t="s">
        <v>127</v>
      </c>
      <c r="B15" s="15">
        <v>46081</v>
      </c>
      <c r="C15" s="15">
        <v>46085</v>
      </c>
      <c r="D15" s="3" t="s">
        <v>142</v>
      </c>
      <c r="E15" s="3" t="s">
        <v>175</v>
      </c>
      <c r="F15" s="3" t="s">
        <v>39</v>
      </c>
      <c r="G15" s="3">
        <v>32</v>
      </c>
      <c r="H15" s="3" t="s">
        <v>40</v>
      </c>
      <c r="I15" s="3" t="s">
        <v>41</v>
      </c>
      <c r="J15" s="3" t="s">
        <v>42</v>
      </c>
      <c r="K15" s="3" t="s">
        <v>105</v>
      </c>
      <c r="L15" s="3" t="s">
        <v>112</v>
      </c>
      <c r="M15" s="3" t="s">
        <v>113</v>
      </c>
      <c r="N15" s="3" t="s">
        <v>114</v>
      </c>
      <c r="O15" s="3" t="s">
        <v>115</v>
      </c>
      <c r="P15" s="3">
        <v>4</v>
      </c>
      <c r="Q15" s="9">
        <v>3500</v>
      </c>
      <c r="R15" s="6">
        <v>0.15</v>
      </c>
      <c r="S15" s="12">
        <f t="shared" si="0"/>
        <v>11900</v>
      </c>
      <c r="T15" s="12">
        <v>2500</v>
      </c>
      <c r="U15" s="9">
        <f t="shared" si="1"/>
        <v>1900</v>
      </c>
      <c r="V15" s="6">
        <f t="shared" si="2"/>
        <v>0.15966386554621848</v>
      </c>
      <c r="W15" s="3" t="s">
        <v>92</v>
      </c>
      <c r="X15" s="3" t="s">
        <v>74</v>
      </c>
      <c r="Y15" s="3">
        <f t="shared" si="3"/>
        <v>4</v>
      </c>
      <c r="Z15" s="3" t="str">
        <f t="shared" si="4"/>
        <v>Regular</v>
      </c>
      <c r="AA15" s="3">
        <v>3</v>
      </c>
      <c r="AB15" s="3" t="str">
        <f t="shared" si="5"/>
        <v>Average</v>
      </c>
      <c r="AC15" s="3" t="str">
        <f t="shared" si="6"/>
        <v>February</v>
      </c>
      <c r="AD15" s="3" t="str">
        <f t="shared" si="7"/>
        <v>Q1</v>
      </c>
      <c r="AE15" s="3">
        <f t="shared" si="8"/>
        <v>2026</v>
      </c>
      <c r="AF15" s="3" t="str">
        <f t="shared" si="9"/>
        <v>Saturday</v>
      </c>
      <c r="AG15" s="3" t="str">
        <f t="shared" si="10"/>
        <v>26-35</v>
      </c>
      <c r="AH15" s="3" t="str">
        <f t="shared" si="11"/>
        <v>Medium</v>
      </c>
      <c r="AI15" s="3" t="str">
        <f t="shared" si="12"/>
        <v>Medium</v>
      </c>
      <c r="AJ15" s="3" t="str" cm="1">
        <f t="array" ref="AJ15">_xlfn.IFS(S15&gt;=80000,"VIP",S15&gt;=40000,"Gold",S15&gt;=15000,"Silver",TRUE,"Bronze")</f>
        <v>Bronze</v>
      </c>
      <c r="AM15" s="19" t="s">
        <v>1288</v>
      </c>
      <c r="AO15" s="20">
        <f>SUM(P:P)</f>
        <v>1533</v>
      </c>
    </row>
    <row r="16" spans="1:41" x14ac:dyDescent="0.3">
      <c r="A16" s="3" t="s">
        <v>128</v>
      </c>
      <c r="B16" s="15">
        <v>46272</v>
      </c>
      <c r="C16" s="15">
        <v>46275</v>
      </c>
      <c r="D16" s="3" t="s">
        <v>143</v>
      </c>
      <c r="E16" s="3" t="s">
        <v>109</v>
      </c>
      <c r="F16" s="3" t="s">
        <v>39</v>
      </c>
      <c r="G16" s="3">
        <v>50</v>
      </c>
      <c r="H16" s="3" t="s">
        <v>110</v>
      </c>
      <c r="I16" s="3" t="s">
        <v>111</v>
      </c>
      <c r="J16" s="3" t="s">
        <v>80</v>
      </c>
      <c r="K16" s="3" t="s">
        <v>81</v>
      </c>
      <c r="L16" s="3" t="s">
        <v>82</v>
      </c>
      <c r="M16" s="3" t="s">
        <v>45</v>
      </c>
      <c r="N16" s="3" t="s">
        <v>83</v>
      </c>
      <c r="O16" s="3" t="s">
        <v>84</v>
      </c>
      <c r="P16" s="3">
        <v>1</v>
      </c>
      <c r="Q16" s="9">
        <v>42000</v>
      </c>
      <c r="R16" s="6">
        <v>0.2</v>
      </c>
      <c r="S16" s="12">
        <f t="shared" si="0"/>
        <v>33600</v>
      </c>
      <c r="T16" s="12">
        <v>35000</v>
      </c>
      <c r="U16" s="9">
        <f t="shared" si="1"/>
        <v>-1400</v>
      </c>
      <c r="V16" s="6">
        <f t="shared" si="2"/>
        <v>-4.1666666666666664E-2</v>
      </c>
      <c r="W16" s="3" t="s">
        <v>65</v>
      </c>
      <c r="X16" s="3" t="s">
        <v>49</v>
      </c>
      <c r="Y16" s="3">
        <f t="shared" si="3"/>
        <v>3</v>
      </c>
      <c r="Z16" s="3" t="str">
        <f t="shared" si="4"/>
        <v>Regular</v>
      </c>
      <c r="AA16" s="3">
        <v>5</v>
      </c>
      <c r="AB16" s="3" t="str">
        <f t="shared" si="5"/>
        <v>Excellent</v>
      </c>
      <c r="AC16" s="3" t="str">
        <f t="shared" si="6"/>
        <v>September</v>
      </c>
      <c r="AD16" s="3" t="str">
        <f t="shared" si="7"/>
        <v>Q3</v>
      </c>
      <c r="AE16" s="3">
        <f t="shared" si="8"/>
        <v>2026</v>
      </c>
      <c r="AF16" s="3" t="str">
        <f t="shared" si="9"/>
        <v>Monday</v>
      </c>
      <c r="AG16" s="3" t="str">
        <f t="shared" si="10"/>
        <v>46+</v>
      </c>
      <c r="AH16" s="3" t="str">
        <f t="shared" si="11"/>
        <v>Large</v>
      </c>
      <c r="AI16" s="3" t="str">
        <f t="shared" si="12"/>
        <v>High</v>
      </c>
      <c r="AJ16" s="3" t="str" cm="1">
        <f t="array" ref="AJ16">_xlfn.IFS(S16&gt;=80000,"VIP",S16&gt;=40000,"Gold",S16&gt;=15000,"Silver",TRUE,"Bronze")</f>
        <v>Silver</v>
      </c>
    </row>
    <row r="17" spans="1:41" x14ac:dyDescent="0.3">
      <c r="A17" s="3" t="s">
        <v>129</v>
      </c>
      <c r="B17" s="15">
        <v>46094</v>
      </c>
      <c r="C17" s="15">
        <v>46097</v>
      </c>
      <c r="D17" s="3" t="s">
        <v>145</v>
      </c>
      <c r="E17" s="3" t="s">
        <v>176</v>
      </c>
      <c r="F17" s="3" t="s">
        <v>52</v>
      </c>
      <c r="G17" s="3">
        <v>50</v>
      </c>
      <c r="H17" s="3" t="s">
        <v>53</v>
      </c>
      <c r="I17" s="3" t="s">
        <v>41</v>
      </c>
      <c r="J17" s="3" t="s">
        <v>42</v>
      </c>
      <c r="K17" s="3" t="s">
        <v>54</v>
      </c>
      <c r="L17" s="3" t="s">
        <v>173</v>
      </c>
      <c r="M17" s="3" t="s">
        <v>45</v>
      </c>
      <c r="N17" s="3" t="s">
        <v>46</v>
      </c>
      <c r="O17" s="3" t="s">
        <v>55</v>
      </c>
      <c r="P17" s="3">
        <v>3</v>
      </c>
      <c r="Q17" s="9">
        <v>79900</v>
      </c>
      <c r="R17" s="6">
        <v>0.1</v>
      </c>
      <c r="S17" s="12">
        <f t="shared" si="0"/>
        <v>215730</v>
      </c>
      <c r="T17" s="12">
        <v>65000</v>
      </c>
      <c r="U17" s="9">
        <f t="shared" si="1"/>
        <v>20730</v>
      </c>
      <c r="V17" s="6">
        <f t="shared" si="2"/>
        <v>9.6092337644277576E-2</v>
      </c>
      <c r="W17" s="3" t="s">
        <v>48</v>
      </c>
      <c r="X17" s="3" t="s">
        <v>101</v>
      </c>
      <c r="Y17" s="3">
        <f t="shared" si="3"/>
        <v>3</v>
      </c>
      <c r="Z17" s="3" t="str">
        <f t="shared" si="4"/>
        <v>Premium</v>
      </c>
      <c r="AA17" s="3">
        <v>2</v>
      </c>
      <c r="AB17" s="3" t="str">
        <f t="shared" si="5"/>
        <v>Average</v>
      </c>
      <c r="AC17" s="3" t="str">
        <f t="shared" si="6"/>
        <v>March</v>
      </c>
      <c r="AD17" s="3" t="str">
        <f t="shared" si="7"/>
        <v>Q1</v>
      </c>
      <c r="AE17" s="3">
        <f t="shared" si="8"/>
        <v>2026</v>
      </c>
      <c r="AF17" s="3" t="str">
        <f t="shared" si="9"/>
        <v>Friday</v>
      </c>
      <c r="AG17" s="3" t="str">
        <f t="shared" si="10"/>
        <v>46+</v>
      </c>
      <c r="AH17" s="3" t="str">
        <f t="shared" si="11"/>
        <v>Large</v>
      </c>
      <c r="AI17" s="3" t="str">
        <f t="shared" si="12"/>
        <v>Medium</v>
      </c>
      <c r="AJ17" s="3" t="str" cm="1">
        <f t="array" ref="AJ17">_xlfn.IFS(S17&gt;=80000,"VIP",S17&gt;=40000,"Gold",S17&gt;=15000,"Silver",TRUE,"Bronze")</f>
        <v>VIP</v>
      </c>
      <c r="AM17" s="19" t="s">
        <v>1289</v>
      </c>
      <c r="AO17" s="25">
        <f>SUM(U:U)/SUM(S:S)</f>
        <v>7.0241151679013014E-2</v>
      </c>
    </row>
    <row r="18" spans="1:41" x14ac:dyDescent="0.3">
      <c r="A18" s="3" t="s">
        <v>130</v>
      </c>
      <c r="B18" s="15">
        <v>46110</v>
      </c>
      <c r="C18" s="15">
        <v>46116</v>
      </c>
      <c r="D18" s="3" t="s">
        <v>147</v>
      </c>
      <c r="E18" s="3" t="s">
        <v>177</v>
      </c>
      <c r="F18" s="3" t="s">
        <v>52</v>
      </c>
      <c r="G18" s="3">
        <v>21</v>
      </c>
      <c r="H18" s="3" t="s">
        <v>60</v>
      </c>
      <c r="I18" s="3" t="s">
        <v>61</v>
      </c>
      <c r="J18" s="3" t="s">
        <v>42</v>
      </c>
      <c r="K18" s="3" t="s">
        <v>96</v>
      </c>
      <c r="L18" s="3" t="s">
        <v>166</v>
      </c>
      <c r="M18" s="3" t="s">
        <v>97</v>
      </c>
      <c r="N18" s="3" t="s">
        <v>98</v>
      </c>
      <c r="O18" s="3" t="s">
        <v>99</v>
      </c>
      <c r="P18" s="3">
        <v>3</v>
      </c>
      <c r="Q18" s="9">
        <v>4500</v>
      </c>
      <c r="R18" s="6">
        <v>0.15</v>
      </c>
      <c r="S18" s="12">
        <f t="shared" si="0"/>
        <v>11475</v>
      </c>
      <c r="T18" s="12">
        <v>3000</v>
      </c>
      <c r="U18" s="9">
        <f t="shared" si="1"/>
        <v>2475</v>
      </c>
      <c r="V18" s="6">
        <f t="shared" si="2"/>
        <v>0.21568627450980393</v>
      </c>
      <c r="W18" s="3" t="s">
        <v>65</v>
      </c>
      <c r="X18" s="3" t="s">
        <v>106</v>
      </c>
      <c r="Y18" s="3">
        <f t="shared" si="3"/>
        <v>6</v>
      </c>
      <c r="Z18" s="3" t="str">
        <f t="shared" si="4"/>
        <v>Regular</v>
      </c>
      <c r="AA18" s="3">
        <v>4</v>
      </c>
      <c r="AB18" s="3" t="str">
        <f t="shared" si="5"/>
        <v>Excellent</v>
      </c>
      <c r="AC18" s="3" t="str">
        <f t="shared" si="6"/>
        <v>March</v>
      </c>
      <c r="AD18" s="3" t="str">
        <f t="shared" si="7"/>
        <v>Q1</v>
      </c>
      <c r="AE18" s="3">
        <f t="shared" si="8"/>
        <v>2026</v>
      </c>
      <c r="AF18" s="3" t="str">
        <f t="shared" si="9"/>
        <v>Sunday</v>
      </c>
      <c r="AG18" s="3" t="str">
        <f t="shared" si="10"/>
        <v>18-25</v>
      </c>
      <c r="AH18" s="3" t="str">
        <f t="shared" si="11"/>
        <v>Medium</v>
      </c>
      <c r="AI18" s="3" t="str">
        <f t="shared" si="12"/>
        <v>Medium</v>
      </c>
      <c r="AJ18" s="3" t="str" cm="1">
        <f t="array" ref="AJ18">_xlfn.IFS(S18&gt;=80000,"VIP",S18&gt;=40000,"Gold",S18&gt;=15000,"Silver",TRUE,"Bronze")</f>
        <v>Bronze</v>
      </c>
    </row>
    <row r="19" spans="1:41" x14ac:dyDescent="0.3">
      <c r="A19" s="3" t="s">
        <v>131</v>
      </c>
      <c r="B19" s="15">
        <v>46083</v>
      </c>
      <c r="C19" s="15">
        <v>46089</v>
      </c>
      <c r="D19" s="3" t="s">
        <v>149</v>
      </c>
      <c r="E19" s="3" t="s">
        <v>178</v>
      </c>
      <c r="F19" s="3" t="s">
        <v>39</v>
      </c>
      <c r="G19" s="3">
        <v>46</v>
      </c>
      <c r="H19" s="3" t="s">
        <v>68</v>
      </c>
      <c r="I19" s="3" t="s">
        <v>68</v>
      </c>
      <c r="J19" s="3" t="s">
        <v>69</v>
      </c>
      <c r="K19" s="3" t="s">
        <v>54</v>
      </c>
      <c r="L19" s="3" t="s">
        <v>173</v>
      </c>
      <c r="M19" s="3" t="s">
        <v>45</v>
      </c>
      <c r="N19" s="3" t="s">
        <v>46</v>
      </c>
      <c r="O19" s="3" t="s">
        <v>55</v>
      </c>
      <c r="P19" s="3">
        <v>2</v>
      </c>
      <c r="Q19" s="9">
        <v>79900</v>
      </c>
      <c r="R19" s="6">
        <v>0.05</v>
      </c>
      <c r="S19" s="12">
        <f t="shared" si="0"/>
        <v>151810</v>
      </c>
      <c r="T19" s="12">
        <v>65000</v>
      </c>
      <c r="U19" s="9">
        <f t="shared" si="1"/>
        <v>21810</v>
      </c>
      <c r="V19" s="6">
        <f t="shared" si="2"/>
        <v>0.14366642513668401</v>
      </c>
      <c r="W19" s="3" t="s">
        <v>48</v>
      </c>
      <c r="X19" s="3" t="s">
        <v>101</v>
      </c>
      <c r="Y19" s="3">
        <f t="shared" si="3"/>
        <v>6</v>
      </c>
      <c r="Z19" s="3" t="str">
        <f t="shared" si="4"/>
        <v>Premium</v>
      </c>
      <c r="AA19" s="3">
        <v>2</v>
      </c>
      <c r="AB19" s="3" t="str">
        <f t="shared" si="5"/>
        <v>Average</v>
      </c>
      <c r="AC19" s="3" t="str">
        <f t="shared" si="6"/>
        <v>March</v>
      </c>
      <c r="AD19" s="3" t="str">
        <f t="shared" si="7"/>
        <v>Q1</v>
      </c>
      <c r="AE19" s="3">
        <f t="shared" si="8"/>
        <v>2026</v>
      </c>
      <c r="AF19" s="3" t="str">
        <f t="shared" si="9"/>
        <v>Monday</v>
      </c>
      <c r="AG19" s="3" t="str">
        <f t="shared" si="10"/>
        <v>46+</v>
      </c>
      <c r="AH19" s="3" t="str">
        <f t="shared" si="11"/>
        <v>Large</v>
      </c>
      <c r="AI19" s="3" t="str">
        <f t="shared" si="12"/>
        <v>Low</v>
      </c>
      <c r="AJ19" s="3" t="str" cm="1">
        <f t="array" ref="AJ19">_xlfn.IFS(S19&gt;=80000,"VIP",S19&gt;=40000,"Gold",S19&gt;=15000,"Silver",TRUE,"Bronze")</f>
        <v>VIP</v>
      </c>
      <c r="AM19" t="s">
        <v>1318</v>
      </c>
      <c r="AO19" s="36">
        <f>COUNTIF(X2:X501,"Delivered")/ COUNTA(X2:X501)</f>
        <v>0.29599999999999999</v>
      </c>
    </row>
    <row r="20" spans="1:41" x14ac:dyDescent="0.3">
      <c r="A20" s="3" t="s">
        <v>132</v>
      </c>
      <c r="B20" s="15">
        <v>46312</v>
      </c>
      <c r="C20" s="15">
        <v>46314</v>
      </c>
      <c r="D20" s="3" t="s">
        <v>150</v>
      </c>
      <c r="E20" s="3" t="s">
        <v>179</v>
      </c>
      <c r="F20" s="3" t="s">
        <v>52</v>
      </c>
      <c r="G20" s="3">
        <v>27</v>
      </c>
      <c r="H20" s="3" t="s">
        <v>110</v>
      </c>
      <c r="I20" s="3" t="s">
        <v>111</v>
      </c>
      <c r="J20" s="3" t="s">
        <v>80</v>
      </c>
      <c r="K20" s="3" t="s">
        <v>96</v>
      </c>
      <c r="L20" s="3" t="s">
        <v>166</v>
      </c>
      <c r="M20" s="3" t="s">
        <v>97</v>
      </c>
      <c r="N20" s="3" t="s">
        <v>98</v>
      </c>
      <c r="O20" s="3" t="s">
        <v>99</v>
      </c>
      <c r="P20" s="3">
        <v>5</v>
      </c>
      <c r="Q20" s="9">
        <v>4500</v>
      </c>
      <c r="R20" s="6">
        <v>0.1</v>
      </c>
      <c r="S20" s="12">
        <f t="shared" si="0"/>
        <v>20250</v>
      </c>
      <c r="T20" s="12">
        <v>3000</v>
      </c>
      <c r="U20" s="9">
        <f t="shared" si="1"/>
        <v>5250</v>
      </c>
      <c r="V20" s="6">
        <f t="shared" si="2"/>
        <v>0.25925925925925924</v>
      </c>
      <c r="W20" s="3" t="s">
        <v>100</v>
      </c>
      <c r="X20" s="3" t="s">
        <v>49</v>
      </c>
      <c r="Y20" s="3">
        <f t="shared" si="3"/>
        <v>2</v>
      </c>
      <c r="Z20" s="3" t="str">
        <f t="shared" si="4"/>
        <v>Regular</v>
      </c>
      <c r="AA20" s="3">
        <v>2</v>
      </c>
      <c r="AB20" s="3" t="str">
        <f t="shared" si="5"/>
        <v>Average</v>
      </c>
      <c r="AC20" s="3" t="str">
        <f t="shared" si="6"/>
        <v>October</v>
      </c>
      <c r="AD20" s="3" t="str">
        <f t="shared" si="7"/>
        <v>Q4</v>
      </c>
      <c r="AE20" s="3">
        <f t="shared" si="8"/>
        <v>2026</v>
      </c>
      <c r="AF20" s="3" t="str">
        <f t="shared" si="9"/>
        <v>Saturday</v>
      </c>
      <c r="AG20" s="3" t="str">
        <f t="shared" si="10"/>
        <v>26-35</v>
      </c>
      <c r="AH20" s="3" t="str">
        <f t="shared" si="11"/>
        <v>Medium</v>
      </c>
      <c r="AI20" s="3" t="str">
        <f t="shared" si="12"/>
        <v>Medium</v>
      </c>
      <c r="AJ20" s="3" t="str" cm="1">
        <f t="array" ref="AJ20">_xlfn.IFS(S20&gt;=80000,"VIP",S20&gt;=40000,"Gold",S20&gt;=15000,"Silver",TRUE,"Bronze")</f>
        <v>Silver</v>
      </c>
    </row>
    <row r="21" spans="1:41" x14ac:dyDescent="0.3">
      <c r="A21" s="3" t="s">
        <v>133</v>
      </c>
      <c r="B21" s="15">
        <v>46076</v>
      </c>
      <c r="C21" s="15">
        <v>46082</v>
      </c>
      <c r="D21" s="3" t="s">
        <v>152</v>
      </c>
      <c r="E21" s="3" t="s">
        <v>180</v>
      </c>
      <c r="F21" s="3" t="s">
        <v>52</v>
      </c>
      <c r="G21" s="3">
        <v>36</v>
      </c>
      <c r="H21" s="3" t="s">
        <v>53</v>
      </c>
      <c r="I21" s="3" t="s">
        <v>41</v>
      </c>
      <c r="J21" s="3" t="s">
        <v>42</v>
      </c>
      <c r="K21" s="3" t="s">
        <v>81</v>
      </c>
      <c r="L21" s="3" t="s">
        <v>82</v>
      </c>
      <c r="M21" s="3" t="s">
        <v>45</v>
      </c>
      <c r="N21" s="3" t="s">
        <v>83</v>
      </c>
      <c r="O21" s="3" t="s">
        <v>84</v>
      </c>
      <c r="P21" s="3">
        <v>2</v>
      </c>
      <c r="Q21" s="9">
        <v>42000</v>
      </c>
      <c r="R21" s="6">
        <v>0.08</v>
      </c>
      <c r="S21" s="12">
        <f t="shared" si="0"/>
        <v>77280</v>
      </c>
      <c r="T21" s="12">
        <v>35000</v>
      </c>
      <c r="U21" s="9">
        <f t="shared" si="1"/>
        <v>7280</v>
      </c>
      <c r="V21" s="6">
        <f t="shared" si="2"/>
        <v>9.420289855072464E-2</v>
      </c>
      <c r="W21" s="3" t="s">
        <v>100</v>
      </c>
      <c r="X21" s="3" t="s">
        <v>49</v>
      </c>
      <c r="Y21" s="3">
        <f t="shared" si="3"/>
        <v>6</v>
      </c>
      <c r="Z21" s="3" t="str">
        <f t="shared" si="4"/>
        <v>Premium</v>
      </c>
      <c r="AA21" s="3">
        <v>3</v>
      </c>
      <c r="AB21" s="3" t="str">
        <f t="shared" si="5"/>
        <v>Average</v>
      </c>
      <c r="AC21" s="3" t="str">
        <f t="shared" si="6"/>
        <v>February</v>
      </c>
      <c r="AD21" s="3" t="str">
        <f t="shared" si="7"/>
        <v>Q1</v>
      </c>
      <c r="AE21" s="3">
        <f t="shared" si="8"/>
        <v>2026</v>
      </c>
      <c r="AF21" s="3" t="str">
        <f t="shared" si="9"/>
        <v>Monday</v>
      </c>
      <c r="AG21" s="3" t="str">
        <f t="shared" si="10"/>
        <v>36-45</v>
      </c>
      <c r="AH21" s="3" t="str">
        <f t="shared" si="11"/>
        <v>Large</v>
      </c>
      <c r="AI21" s="3" t="str">
        <f t="shared" si="12"/>
        <v>Medium</v>
      </c>
      <c r="AJ21" s="3" t="str" cm="1">
        <f t="array" ref="AJ21">_xlfn.IFS(S21&gt;=80000,"VIP",S21&gt;=40000,"Gold",S21&gt;=15000,"Silver",TRUE,"Bronze")</f>
        <v>Gold</v>
      </c>
    </row>
    <row r="22" spans="1:41" x14ac:dyDescent="0.3">
      <c r="A22" s="3" t="s">
        <v>134</v>
      </c>
      <c r="B22" s="15">
        <v>46243</v>
      </c>
      <c r="C22" s="15">
        <v>46246</v>
      </c>
      <c r="D22" s="3" t="s">
        <v>153</v>
      </c>
      <c r="E22" s="3" t="s">
        <v>181</v>
      </c>
      <c r="F22" s="3" t="s">
        <v>39</v>
      </c>
      <c r="G22" s="3">
        <v>38</v>
      </c>
      <c r="H22" s="3" t="s">
        <v>110</v>
      </c>
      <c r="I22" s="3" t="s">
        <v>111</v>
      </c>
      <c r="J22" s="3" t="s">
        <v>80</v>
      </c>
      <c r="K22" s="3" t="s">
        <v>62</v>
      </c>
      <c r="L22" s="3" t="s">
        <v>163</v>
      </c>
      <c r="M22" s="3" t="s">
        <v>45</v>
      </c>
      <c r="N22" s="3" t="s">
        <v>63</v>
      </c>
      <c r="O22" s="3" t="s">
        <v>64</v>
      </c>
      <c r="P22" s="3">
        <v>3</v>
      </c>
      <c r="Q22" s="9">
        <v>62000</v>
      </c>
      <c r="R22" s="6">
        <v>0.05</v>
      </c>
      <c r="S22" s="12">
        <f t="shared" si="0"/>
        <v>176700</v>
      </c>
      <c r="T22" s="12">
        <v>52000</v>
      </c>
      <c r="U22" s="9">
        <f t="shared" si="1"/>
        <v>20700</v>
      </c>
      <c r="V22" s="6">
        <f t="shared" si="2"/>
        <v>0.11714770797962648</v>
      </c>
      <c r="W22" s="3" t="s">
        <v>65</v>
      </c>
      <c r="X22" s="3" t="s">
        <v>106</v>
      </c>
      <c r="Y22" s="3">
        <f t="shared" si="3"/>
        <v>3</v>
      </c>
      <c r="Z22" s="3" t="str">
        <f t="shared" si="4"/>
        <v>Premium</v>
      </c>
      <c r="AA22" s="3">
        <v>5</v>
      </c>
      <c r="AB22" s="3" t="str">
        <f t="shared" si="5"/>
        <v>Excellent</v>
      </c>
      <c r="AC22" s="3" t="str">
        <f t="shared" si="6"/>
        <v>August</v>
      </c>
      <c r="AD22" s="3" t="str">
        <f t="shared" si="7"/>
        <v>Q3</v>
      </c>
      <c r="AE22" s="3">
        <f t="shared" si="8"/>
        <v>2026</v>
      </c>
      <c r="AF22" s="3" t="str">
        <f t="shared" si="9"/>
        <v>Sunday</v>
      </c>
      <c r="AG22" s="3" t="str">
        <f t="shared" si="10"/>
        <v>36-45</v>
      </c>
      <c r="AH22" s="3" t="str">
        <f t="shared" si="11"/>
        <v>Large</v>
      </c>
      <c r="AI22" s="3" t="str">
        <f t="shared" si="12"/>
        <v>Low</v>
      </c>
      <c r="AJ22" s="3" t="str" cm="1">
        <f t="array" ref="AJ22">_xlfn.IFS(S22&gt;=80000,"VIP",S22&gt;=40000,"Gold",S22&gt;=15000,"Silver",TRUE,"Bronze")</f>
        <v>VIP</v>
      </c>
    </row>
    <row r="23" spans="1:41" x14ac:dyDescent="0.3">
      <c r="A23" s="3" t="s">
        <v>135</v>
      </c>
      <c r="B23" s="15">
        <v>46088</v>
      </c>
      <c r="C23" s="15">
        <v>46092</v>
      </c>
      <c r="D23" s="3" t="s">
        <v>154</v>
      </c>
      <c r="E23" s="3" t="s">
        <v>182</v>
      </c>
      <c r="F23" s="3" t="s">
        <v>39</v>
      </c>
      <c r="G23" s="3">
        <v>48</v>
      </c>
      <c r="H23" s="3" t="s">
        <v>110</v>
      </c>
      <c r="I23" s="3" t="s">
        <v>111</v>
      </c>
      <c r="J23" s="3" t="s">
        <v>80</v>
      </c>
      <c r="K23" s="3" t="s">
        <v>90</v>
      </c>
      <c r="L23" s="3" t="s">
        <v>122</v>
      </c>
      <c r="M23" s="3" t="s">
        <v>45</v>
      </c>
      <c r="N23" s="3" t="s">
        <v>91</v>
      </c>
      <c r="O23" s="3" t="s">
        <v>123</v>
      </c>
      <c r="P23" s="3">
        <v>2</v>
      </c>
      <c r="Q23" s="9">
        <v>2500</v>
      </c>
      <c r="R23" s="6">
        <v>0.12</v>
      </c>
      <c r="S23" s="12">
        <f t="shared" si="0"/>
        <v>4400</v>
      </c>
      <c r="T23" s="12">
        <v>1700</v>
      </c>
      <c r="U23" s="9">
        <f t="shared" si="1"/>
        <v>1000</v>
      </c>
      <c r="V23" s="6">
        <f t="shared" si="2"/>
        <v>0.22727272727272727</v>
      </c>
      <c r="W23" s="3" t="s">
        <v>92</v>
      </c>
      <c r="X23" s="3" t="s">
        <v>101</v>
      </c>
      <c r="Y23" s="3">
        <f t="shared" si="3"/>
        <v>4</v>
      </c>
      <c r="Z23" s="3" t="str">
        <f t="shared" si="4"/>
        <v>Regular</v>
      </c>
      <c r="AA23" s="3">
        <v>5</v>
      </c>
      <c r="AB23" s="3" t="str">
        <f t="shared" si="5"/>
        <v>Excellent</v>
      </c>
      <c r="AC23" s="3" t="str">
        <f t="shared" si="6"/>
        <v>March</v>
      </c>
      <c r="AD23" s="3" t="str">
        <f t="shared" si="7"/>
        <v>Q1</v>
      </c>
      <c r="AE23" s="3">
        <f t="shared" si="8"/>
        <v>2026</v>
      </c>
      <c r="AF23" s="3" t="str">
        <f t="shared" si="9"/>
        <v>Saturday</v>
      </c>
      <c r="AG23" s="3" t="str">
        <f t="shared" si="10"/>
        <v>46+</v>
      </c>
      <c r="AH23" s="3" t="str">
        <f t="shared" si="11"/>
        <v>Small</v>
      </c>
      <c r="AI23" s="3" t="str">
        <f t="shared" si="12"/>
        <v>Medium</v>
      </c>
      <c r="AJ23" s="3" t="str" cm="1">
        <f t="array" ref="AJ23">_xlfn.IFS(S23&gt;=80000,"VIP",S23&gt;=40000,"Gold",S23&gt;=15000,"Silver",TRUE,"Bronze")</f>
        <v>Bronze</v>
      </c>
    </row>
    <row r="24" spans="1:41" x14ac:dyDescent="0.3">
      <c r="A24" s="3" t="s">
        <v>155</v>
      </c>
      <c r="B24" s="15">
        <v>46082</v>
      </c>
      <c r="C24" s="15">
        <v>46084</v>
      </c>
      <c r="D24" s="3" t="s">
        <v>156</v>
      </c>
      <c r="E24" s="3" t="s">
        <v>183</v>
      </c>
      <c r="F24" s="3" t="s">
        <v>52</v>
      </c>
      <c r="G24" s="3">
        <v>30</v>
      </c>
      <c r="H24" s="3" t="s">
        <v>40</v>
      </c>
      <c r="I24" s="3" t="s">
        <v>41</v>
      </c>
      <c r="J24" s="3" t="s">
        <v>42</v>
      </c>
      <c r="K24" s="3" t="s">
        <v>81</v>
      </c>
      <c r="L24" s="3" t="s">
        <v>82</v>
      </c>
      <c r="M24" s="3" t="s">
        <v>45</v>
      </c>
      <c r="N24" s="3" t="s">
        <v>83</v>
      </c>
      <c r="O24" s="3" t="s">
        <v>84</v>
      </c>
      <c r="P24" s="3">
        <v>5</v>
      </c>
      <c r="Q24" s="9">
        <v>42000</v>
      </c>
      <c r="R24" s="6">
        <v>0.08</v>
      </c>
      <c r="S24" s="12">
        <f t="shared" si="0"/>
        <v>193200</v>
      </c>
      <c r="T24" s="12">
        <v>35000</v>
      </c>
      <c r="U24" s="9">
        <f t="shared" si="1"/>
        <v>18200</v>
      </c>
      <c r="V24" s="6">
        <f t="shared" si="2"/>
        <v>9.420289855072464E-2</v>
      </c>
      <c r="W24" s="3" t="s">
        <v>73</v>
      </c>
      <c r="X24" s="3" t="s">
        <v>49</v>
      </c>
      <c r="Y24" s="3">
        <f t="shared" si="3"/>
        <v>2</v>
      </c>
      <c r="Z24" s="3" t="str">
        <f t="shared" si="4"/>
        <v>Premium</v>
      </c>
      <c r="AA24" s="3">
        <v>4</v>
      </c>
      <c r="AB24" s="3" t="str">
        <f t="shared" si="5"/>
        <v>Excellent</v>
      </c>
      <c r="AC24" s="3" t="str">
        <f t="shared" si="6"/>
        <v>March</v>
      </c>
      <c r="AD24" s="3" t="str">
        <f t="shared" si="7"/>
        <v>Q1</v>
      </c>
      <c r="AE24" s="3">
        <f t="shared" si="8"/>
        <v>2026</v>
      </c>
      <c r="AF24" s="3" t="str">
        <f t="shared" si="9"/>
        <v>Sunday</v>
      </c>
      <c r="AG24" s="3" t="str">
        <f t="shared" si="10"/>
        <v>26-35</v>
      </c>
      <c r="AH24" s="3" t="str">
        <f t="shared" si="11"/>
        <v>Large</v>
      </c>
      <c r="AI24" s="3" t="str">
        <f t="shared" si="12"/>
        <v>Medium</v>
      </c>
      <c r="AJ24" s="3" t="str" cm="1">
        <f t="array" ref="AJ24">_xlfn.IFS(S24&gt;=80000,"VIP",S24&gt;=40000,"Gold",S24&gt;=15000,"Silver",TRUE,"Bronze")</f>
        <v>VIP</v>
      </c>
    </row>
    <row r="25" spans="1:41" x14ac:dyDescent="0.3">
      <c r="A25" s="3" t="s">
        <v>157</v>
      </c>
      <c r="B25" s="15">
        <v>46255</v>
      </c>
      <c r="C25" s="15">
        <v>46258</v>
      </c>
      <c r="D25" s="3" t="s">
        <v>158</v>
      </c>
      <c r="E25" s="3" t="s">
        <v>184</v>
      </c>
      <c r="F25" s="3" t="s">
        <v>52</v>
      </c>
      <c r="G25" s="3">
        <v>29</v>
      </c>
      <c r="H25" s="3" t="s">
        <v>110</v>
      </c>
      <c r="I25" s="3" t="s">
        <v>111</v>
      </c>
      <c r="J25" s="3" t="s">
        <v>80</v>
      </c>
      <c r="K25" s="3" t="s">
        <v>81</v>
      </c>
      <c r="L25" s="3" t="s">
        <v>82</v>
      </c>
      <c r="M25" s="3" t="s">
        <v>45</v>
      </c>
      <c r="N25" s="3" t="s">
        <v>83</v>
      </c>
      <c r="O25" s="3" t="s">
        <v>84</v>
      </c>
      <c r="P25" s="3">
        <v>5</v>
      </c>
      <c r="Q25" s="9">
        <v>42000</v>
      </c>
      <c r="R25" s="6">
        <v>0.05</v>
      </c>
      <c r="S25" s="12">
        <f t="shared" si="0"/>
        <v>199500</v>
      </c>
      <c r="T25" s="12">
        <v>35000</v>
      </c>
      <c r="U25" s="9">
        <f t="shared" si="1"/>
        <v>24500</v>
      </c>
      <c r="V25" s="6">
        <f t="shared" si="2"/>
        <v>0.12280701754385964</v>
      </c>
      <c r="W25" s="3" t="s">
        <v>56</v>
      </c>
      <c r="X25" s="3" t="s">
        <v>74</v>
      </c>
      <c r="Y25" s="3">
        <f t="shared" si="3"/>
        <v>3</v>
      </c>
      <c r="Z25" s="3" t="str">
        <f t="shared" si="4"/>
        <v>Premium</v>
      </c>
      <c r="AA25" s="3">
        <v>4</v>
      </c>
      <c r="AB25" s="3" t="str">
        <f t="shared" si="5"/>
        <v>Excellent</v>
      </c>
      <c r="AC25" s="3" t="str">
        <f t="shared" si="6"/>
        <v>August</v>
      </c>
      <c r="AD25" s="3" t="str">
        <f t="shared" si="7"/>
        <v>Q3</v>
      </c>
      <c r="AE25" s="3">
        <f t="shared" si="8"/>
        <v>2026</v>
      </c>
      <c r="AF25" s="3" t="str">
        <f t="shared" si="9"/>
        <v>Friday</v>
      </c>
      <c r="AG25" s="3" t="str">
        <f t="shared" si="10"/>
        <v>26-35</v>
      </c>
      <c r="AH25" s="3" t="str">
        <f t="shared" si="11"/>
        <v>Large</v>
      </c>
      <c r="AI25" s="3" t="str">
        <f t="shared" si="12"/>
        <v>Low</v>
      </c>
      <c r="AJ25" s="3" t="str" cm="1">
        <f t="array" ref="AJ25">_xlfn.IFS(S25&gt;=80000,"VIP",S25&gt;=40000,"Gold",S25&gt;=15000,"Silver",TRUE,"Bronze")</f>
        <v>VIP</v>
      </c>
    </row>
    <row r="26" spans="1:41" x14ac:dyDescent="0.3">
      <c r="A26" s="3" t="s">
        <v>160</v>
      </c>
      <c r="B26" s="15">
        <v>46310</v>
      </c>
      <c r="C26" s="15">
        <v>46316</v>
      </c>
      <c r="D26" s="3" t="s">
        <v>161</v>
      </c>
      <c r="E26" s="3" t="s">
        <v>185</v>
      </c>
      <c r="F26" s="3" t="s">
        <v>39</v>
      </c>
      <c r="G26" s="3">
        <v>25</v>
      </c>
      <c r="H26" s="3" t="s">
        <v>119</v>
      </c>
      <c r="I26" s="3" t="s">
        <v>120</v>
      </c>
      <c r="J26" s="3" t="s">
        <v>121</v>
      </c>
      <c r="K26" s="3" t="s">
        <v>105</v>
      </c>
      <c r="L26" s="3" t="s">
        <v>112</v>
      </c>
      <c r="M26" s="3" t="s">
        <v>113</v>
      </c>
      <c r="N26" s="3" t="s">
        <v>114</v>
      </c>
      <c r="O26" s="3" t="s">
        <v>115</v>
      </c>
      <c r="P26" s="3">
        <v>2</v>
      </c>
      <c r="Q26" s="9">
        <v>3500</v>
      </c>
      <c r="R26" s="6">
        <v>0.12</v>
      </c>
      <c r="S26" s="12">
        <f t="shared" si="0"/>
        <v>6160</v>
      </c>
      <c r="T26" s="12">
        <v>2500</v>
      </c>
      <c r="U26" s="9">
        <f t="shared" si="1"/>
        <v>1160</v>
      </c>
      <c r="V26" s="6">
        <f t="shared" si="2"/>
        <v>0.18831168831168832</v>
      </c>
      <c r="W26" s="3" t="s">
        <v>56</v>
      </c>
      <c r="X26" s="3" t="s">
        <v>49</v>
      </c>
      <c r="Y26" s="3">
        <f t="shared" si="3"/>
        <v>6</v>
      </c>
      <c r="Z26" s="3" t="str">
        <f t="shared" si="4"/>
        <v>Regular</v>
      </c>
      <c r="AA26" s="3">
        <v>3</v>
      </c>
      <c r="AB26" s="3" t="str">
        <f t="shared" si="5"/>
        <v>Average</v>
      </c>
      <c r="AC26" s="3" t="str">
        <f t="shared" si="6"/>
        <v>October</v>
      </c>
      <c r="AD26" s="3" t="str">
        <f t="shared" si="7"/>
        <v>Q4</v>
      </c>
      <c r="AE26" s="3">
        <f t="shared" si="8"/>
        <v>2026</v>
      </c>
      <c r="AF26" s="3" t="str">
        <f t="shared" si="9"/>
        <v>Thursday</v>
      </c>
      <c r="AG26" s="3" t="str">
        <f t="shared" si="10"/>
        <v>18-25</v>
      </c>
      <c r="AH26" s="3" t="str">
        <f t="shared" si="11"/>
        <v>Small</v>
      </c>
      <c r="AI26" s="3" t="str">
        <f t="shared" si="12"/>
        <v>Medium</v>
      </c>
      <c r="AJ26" s="3" t="str" cm="1">
        <f t="array" ref="AJ26">_xlfn.IFS(S26&gt;=80000,"VIP",S26&gt;=40000,"Gold",S26&gt;=15000,"Silver",TRUE,"Bronze")</f>
        <v>Bronze</v>
      </c>
    </row>
    <row r="27" spans="1:41" x14ac:dyDescent="0.3">
      <c r="A27" s="3" t="s">
        <v>186</v>
      </c>
      <c r="B27" s="15">
        <v>46268</v>
      </c>
      <c r="C27" s="15">
        <v>46272</v>
      </c>
      <c r="D27" s="3" t="s">
        <v>187</v>
      </c>
      <c r="E27" s="3" t="s">
        <v>188</v>
      </c>
      <c r="F27" s="3" t="s">
        <v>52</v>
      </c>
      <c r="G27" s="3">
        <v>49</v>
      </c>
      <c r="H27" s="3" t="s">
        <v>60</v>
      </c>
      <c r="I27" s="3" t="s">
        <v>61</v>
      </c>
      <c r="J27" s="3" t="s">
        <v>42</v>
      </c>
      <c r="K27" s="3" t="s">
        <v>96</v>
      </c>
      <c r="L27" s="3" t="s">
        <v>166</v>
      </c>
      <c r="M27" s="3" t="s">
        <v>97</v>
      </c>
      <c r="N27" s="3" t="s">
        <v>98</v>
      </c>
      <c r="O27" s="3" t="s">
        <v>99</v>
      </c>
      <c r="P27" s="3">
        <v>5</v>
      </c>
      <c r="Q27" s="9">
        <v>4500</v>
      </c>
      <c r="R27" s="6">
        <v>0.2</v>
      </c>
      <c r="S27" s="12">
        <f t="shared" si="0"/>
        <v>18000</v>
      </c>
      <c r="T27" s="12">
        <v>3000</v>
      </c>
      <c r="U27" s="9">
        <f t="shared" si="1"/>
        <v>3000</v>
      </c>
      <c r="V27" s="6">
        <f t="shared" si="2"/>
        <v>0.16666666666666666</v>
      </c>
      <c r="W27" s="3" t="s">
        <v>56</v>
      </c>
      <c r="X27" s="3" t="s">
        <v>101</v>
      </c>
      <c r="Y27" s="3">
        <f t="shared" si="3"/>
        <v>4</v>
      </c>
      <c r="Z27" s="3" t="str">
        <f t="shared" si="4"/>
        <v>Regular</v>
      </c>
      <c r="AA27" s="3">
        <v>4</v>
      </c>
      <c r="AB27" s="3" t="str">
        <f t="shared" si="5"/>
        <v>Excellent</v>
      </c>
      <c r="AC27" s="3" t="str">
        <f t="shared" si="6"/>
        <v>September</v>
      </c>
      <c r="AD27" s="3" t="str">
        <f t="shared" si="7"/>
        <v>Q3</v>
      </c>
      <c r="AE27" s="3">
        <f t="shared" si="8"/>
        <v>2026</v>
      </c>
      <c r="AF27" s="3" t="str">
        <f t="shared" si="9"/>
        <v>Thursday</v>
      </c>
      <c r="AG27" s="3" t="str">
        <f t="shared" si="10"/>
        <v>46+</v>
      </c>
      <c r="AH27" s="3" t="str">
        <f t="shared" si="11"/>
        <v>Medium</v>
      </c>
      <c r="AI27" s="3" t="str">
        <f t="shared" si="12"/>
        <v>High</v>
      </c>
      <c r="AJ27" s="3" t="str" cm="1">
        <f t="array" ref="AJ27">_xlfn.IFS(S27&gt;=80000,"VIP",S27&gt;=40000,"Gold",S27&gt;=15000,"Silver",TRUE,"Bronze")</f>
        <v>Silver</v>
      </c>
    </row>
    <row r="28" spans="1:41" x14ac:dyDescent="0.3">
      <c r="A28" s="3" t="s">
        <v>189</v>
      </c>
      <c r="B28" s="15">
        <v>46350</v>
      </c>
      <c r="C28" s="15">
        <v>46355</v>
      </c>
      <c r="D28" s="3" t="s">
        <v>190</v>
      </c>
      <c r="E28" s="3" t="s">
        <v>191</v>
      </c>
      <c r="F28" s="3" t="s">
        <v>52</v>
      </c>
      <c r="G28" s="3">
        <v>25</v>
      </c>
      <c r="H28" s="3" t="s">
        <v>110</v>
      </c>
      <c r="I28" s="3" t="s">
        <v>111</v>
      </c>
      <c r="J28" s="3" t="s">
        <v>80</v>
      </c>
      <c r="K28" s="3" t="s">
        <v>96</v>
      </c>
      <c r="L28" s="3" t="s">
        <v>166</v>
      </c>
      <c r="M28" s="3" t="s">
        <v>97</v>
      </c>
      <c r="N28" s="3" t="s">
        <v>98</v>
      </c>
      <c r="O28" s="3" t="s">
        <v>99</v>
      </c>
      <c r="P28" s="3">
        <v>5</v>
      </c>
      <c r="Q28" s="9">
        <v>4500</v>
      </c>
      <c r="R28" s="6">
        <v>0.08</v>
      </c>
      <c r="S28" s="12">
        <f t="shared" si="0"/>
        <v>20700</v>
      </c>
      <c r="T28" s="12">
        <v>3000</v>
      </c>
      <c r="U28" s="9">
        <f t="shared" si="1"/>
        <v>5700</v>
      </c>
      <c r="V28" s="6">
        <f t="shared" si="2"/>
        <v>0.27536231884057971</v>
      </c>
      <c r="W28" s="3" t="s">
        <v>56</v>
      </c>
      <c r="X28" s="3" t="s">
        <v>101</v>
      </c>
      <c r="Y28" s="3">
        <f t="shared" si="3"/>
        <v>5</v>
      </c>
      <c r="Z28" s="3" t="str">
        <f t="shared" si="4"/>
        <v>Regular</v>
      </c>
      <c r="AA28" s="3">
        <v>3</v>
      </c>
      <c r="AB28" s="3" t="str">
        <f t="shared" si="5"/>
        <v>Average</v>
      </c>
      <c r="AC28" s="3" t="str">
        <f t="shared" si="6"/>
        <v>November</v>
      </c>
      <c r="AD28" s="3" t="str">
        <f t="shared" si="7"/>
        <v>Q4</v>
      </c>
      <c r="AE28" s="3">
        <f t="shared" si="8"/>
        <v>2026</v>
      </c>
      <c r="AF28" s="3" t="str">
        <f t="shared" si="9"/>
        <v>Tuesday</v>
      </c>
      <c r="AG28" s="3" t="str">
        <f t="shared" si="10"/>
        <v>18-25</v>
      </c>
      <c r="AH28" s="3" t="str">
        <f t="shared" si="11"/>
        <v>Medium</v>
      </c>
      <c r="AI28" s="3" t="str">
        <f t="shared" si="12"/>
        <v>Medium</v>
      </c>
      <c r="AJ28" s="3" t="str" cm="1">
        <f t="array" ref="AJ28">_xlfn.IFS(S28&gt;=80000,"VIP",S28&gt;=40000,"Gold",S28&gt;=15000,"Silver",TRUE,"Bronze")</f>
        <v>Silver</v>
      </c>
    </row>
    <row r="29" spans="1:41" x14ac:dyDescent="0.3">
      <c r="A29" s="3" t="s">
        <v>192</v>
      </c>
      <c r="B29" s="15">
        <v>46375</v>
      </c>
      <c r="C29" s="15">
        <v>46378</v>
      </c>
      <c r="D29" s="3" t="s">
        <v>193</v>
      </c>
      <c r="E29" s="3" t="s">
        <v>194</v>
      </c>
      <c r="F29" s="3" t="s">
        <v>52</v>
      </c>
      <c r="G29" s="3">
        <v>33</v>
      </c>
      <c r="H29" s="3" t="s">
        <v>53</v>
      </c>
      <c r="I29" s="3" t="s">
        <v>41</v>
      </c>
      <c r="J29" s="3" t="s">
        <v>42</v>
      </c>
      <c r="K29" s="3" t="s">
        <v>90</v>
      </c>
      <c r="L29" s="3" t="s">
        <v>122</v>
      </c>
      <c r="M29" s="3" t="s">
        <v>45</v>
      </c>
      <c r="N29" s="3" t="s">
        <v>91</v>
      </c>
      <c r="O29" s="3" t="s">
        <v>123</v>
      </c>
      <c r="P29" s="3">
        <v>2</v>
      </c>
      <c r="Q29" s="9">
        <v>2500</v>
      </c>
      <c r="R29" s="6">
        <v>0.2</v>
      </c>
      <c r="S29" s="12">
        <f t="shared" si="0"/>
        <v>4000</v>
      </c>
      <c r="T29" s="12">
        <v>1700</v>
      </c>
      <c r="U29" s="9">
        <f t="shared" si="1"/>
        <v>600</v>
      </c>
      <c r="V29" s="6">
        <f t="shared" si="2"/>
        <v>0.15</v>
      </c>
      <c r="W29" s="3" t="s">
        <v>48</v>
      </c>
      <c r="X29" s="3" t="s">
        <v>49</v>
      </c>
      <c r="Y29" s="3">
        <f t="shared" si="3"/>
        <v>3</v>
      </c>
      <c r="Z29" s="3" t="str">
        <f t="shared" si="4"/>
        <v>Regular</v>
      </c>
      <c r="AA29" s="3">
        <v>2</v>
      </c>
      <c r="AB29" s="3" t="str">
        <f t="shared" si="5"/>
        <v>Average</v>
      </c>
      <c r="AC29" s="3" t="str">
        <f t="shared" si="6"/>
        <v>December</v>
      </c>
      <c r="AD29" s="3" t="str">
        <f t="shared" si="7"/>
        <v>Q4</v>
      </c>
      <c r="AE29" s="3">
        <f t="shared" si="8"/>
        <v>2026</v>
      </c>
      <c r="AF29" s="3" t="str">
        <f t="shared" si="9"/>
        <v>Saturday</v>
      </c>
      <c r="AG29" s="3" t="str">
        <f t="shared" si="10"/>
        <v>26-35</v>
      </c>
      <c r="AH29" s="3" t="str">
        <f t="shared" si="11"/>
        <v>Small</v>
      </c>
      <c r="AI29" s="3" t="str">
        <f t="shared" si="12"/>
        <v>High</v>
      </c>
      <c r="AJ29" s="3" t="str" cm="1">
        <f t="array" ref="AJ29">_xlfn.IFS(S29&gt;=80000,"VIP",S29&gt;=40000,"Gold",S29&gt;=15000,"Silver",TRUE,"Bronze")</f>
        <v>Bronze</v>
      </c>
    </row>
    <row r="30" spans="1:41" x14ac:dyDescent="0.3">
      <c r="A30" s="3" t="s">
        <v>195</v>
      </c>
      <c r="B30" s="15">
        <v>46121</v>
      </c>
      <c r="C30" s="15">
        <v>46123</v>
      </c>
      <c r="D30" s="3" t="s">
        <v>196</v>
      </c>
      <c r="E30" s="3" t="s">
        <v>146</v>
      </c>
      <c r="F30" s="3" t="s">
        <v>52</v>
      </c>
      <c r="G30" s="3">
        <v>47</v>
      </c>
      <c r="H30" s="3" t="s">
        <v>60</v>
      </c>
      <c r="I30" s="3" t="s">
        <v>61</v>
      </c>
      <c r="J30" s="3" t="s">
        <v>42</v>
      </c>
      <c r="K30" s="3" t="s">
        <v>70</v>
      </c>
      <c r="L30" s="3" t="s">
        <v>71</v>
      </c>
      <c r="M30" s="3" t="s">
        <v>45</v>
      </c>
      <c r="N30" s="3" t="s">
        <v>63</v>
      </c>
      <c r="O30" s="3" t="s">
        <v>72</v>
      </c>
      <c r="P30" s="3">
        <v>1</v>
      </c>
      <c r="Q30" s="9">
        <v>58000</v>
      </c>
      <c r="R30" s="6">
        <v>0.1</v>
      </c>
      <c r="S30" s="12">
        <f t="shared" si="0"/>
        <v>52200</v>
      </c>
      <c r="T30" s="12">
        <v>49000</v>
      </c>
      <c r="U30" s="9">
        <f t="shared" si="1"/>
        <v>3200</v>
      </c>
      <c r="V30" s="6">
        <f t="shared" si="2"/>
        <v>6.1302681992337162E-2</v>
      </c>
      <c r="W30" s="3" t="s">
        <v>56</v>
      </c>
      <c r="X30" s="3" t="s">
        <v>106</v>
      </c>
      <c r="Y30" s="3">
        <f t="shared" si="3"/>
        <v>2</v>
      </c>
      <c r="Z30" s="3" t="str">
        <f t="shared" si="4"/>
        <v>Premium</v>
      </c>
      <c r="AA30" s="3">
        <v>2</v>
      </c>
      <c r="AB30" s="3" t="str">
        <f t="shared" si="5"/>
        <v>Average</v>
      </c>
      <c r="AC30" s="3" t="str">
        <f t="shared" si="6"/>
        <v>April</v>
      </c>
      <c r="AD30" s="3" t="str">
        <f t="shared" si="7"/>
        <v>Q2</v>
      </c>
      <c r="AE30" s="3">
        <f t="shared" si="8"/>
        <v>2026</v>
      </c>
      <c r="AF30" s="3" t="str">
        <f t="shared" si="9"/>
        <v>Thursday</v>
      </c>
      <c r="AG30" s="3" t="str">
        <f t="shared" si="10"/>
        <v>46+</v>
      </c>
      <c r="AH30" s="3" t="str">
        <f t="shared" si="11"/>
        <v>Large</v>
      </c>
      <c r="AI30" s="3" t="str">
        <f t="shared" si="12"/>
        <v>Medium</v>
      </c>
      <c r="AJ30" s="3" t="str" cm="1">
        <f t="array" ref="AJ30">_xlfn.IFS(S30&gt;=80000,"VIP",S30&gt;=40000,"Gold",S30&gt;=15000,"Silver",TRUE,"Bronze")</f>
        <v>Gold</v>
      </c>
    </row>
    <row r="31" spans="1:41" x14ac:dyDescent="0.3">
      <c r="A31" s="3" t="s">
        <v>197</v>
      </c>
      <c r="B31" s="15">
        <v>46289</v>
      </c>
      <c r="C31" s="15">
        <v>46295</v>
      </c>
      <c r="D31" s="3" t="s">
        <v>198</v>
      </c>
      <c r="E31" s="3" t="s">
        <v>199</v>
      </c>
      <c r="F31" s="3" t="s">
        <v>39</v>
      </c>
      <c r="G31" s="3">
        <v>29</v>
      </c>
      <c r="H31" s="3" t="s">
        <v>78</v>
      </c>
      <c r="I31" s="3" t="s">
        <v>79</v>
      </c>
      <c r="J31" s="3" t="s">
        <v>80</v>
      </c>
      <c r="K31" s="3" t="s">
        <v>90</v>
      </c>
      <c r="L31" s="3" t="s">
        <v>122</v>
      </c>
      <c r="M31" s="3" t="s">
        <v>45</v>
      </c>
      <c r="N31" s="3" t="s">
        <v>91</v>
      </c>
      <c r="O31" s="3" t="s">
        <v>123</v>
      </c>
      <c r="P31" s="3">
        <v>1</v>
      </c>
      <c r="Q31" s="9">
        <v>2500</v>
      </c>
      <c r="R31" s="6">
        <v>0.15</v>
      </c>
      <c r="S31" s="12">
        <f t="shared" si="0"/>
        <v>2125</v>
      </c>
      <c r="T31" s="12">
        <v>1700</v>
      </c>
      <c r="U31" s="9">
        <f t="shared" si="1"/>
        <v>425</v>
      </c>
      <c r="V31" s="6">
        <f t="shared" si="2"/>
        <v>0.2</v>
      </c>
      <c r="W31" s="3" t="s">
        <v>48</v>
      </c>
      <c r="X31" s="3" t="s">
        <v>106</v>
      </c>
      <c r="Y31" s="3">
        <f t="shared" si="3"/>
        <v>6</v>
      </c>
      <c r="Z31" s="3" t="str">
        <f t="shared" si="4"/>
        <v>Regular</v>
      </c>
      <c r="AA31" s="3">
        <v>5</v>
      </c>
      <c r="AB31" s="3" t="str">
        <f t="shared" si="5"/>
        <v>Excellent</v>
      </c>
      <c r="AC31" s="3" t="str">
        <f t="shared" si="6"/>
        <v>September</v>
      </c>
      <c r="AD31" s="3" t="str">
        <f t="shared" si="7"/>
        <v>Q3</v>
      </c>
      <c r="AE31" s="3">
        <f t="shared" si="8"/>
        <v>2026</v>
      </c>
      <c r="AF31" s="3" t="str">
        <f t="shared" si="9"/>
        <v>Thursday</v>
      </c>
      <c r="AG31" s="3" t="str">
        <f t="shared" si="10"/>
        <v>26-35</v>
      </c>
      <c r="AH31" s="3" t="str">
        <f t="shared" si="11"/>
        <v>Small</v>
      </c>
      <c r="AI31" s="3" t="str">
        <f t="shared" si="12"/>
        <v>Medium</v>
      </c>
      <c r="AJ31" s="3" t="str" cm="1">
        <f t="array" ref="AJ31">_xlfn.IFS(S31&gt;=80000,"VIP",S31&gt;=40000,"Gold",S31&gt;=15000,"Silver",TRUE,"Bronze")</f>
        <v>Bronze</v>
      </c>
    </row>
    <row r="32" spans="1:41" x14ac:dyDescent="0.3">
      <c r="A32" s="3" t="s">
        <v>200</v>
      </c>
      <c r="B32" s="15">
        <v>46190</v>
      </c>
      <c r="C32" s="15">
        <v>46194</v>
      </c>
      <c r="D32" s="3" t="s">
        <v>201</v>
      </c>
      <c r="E32" s="3" t="s">
        <v>139</v>
      </c>
      <c r="F32" s="3" t="s">
        <v>39</v>
      </c>
      <c r="G32" s="3">
        <v>43</v>
      </c>
      <c r="H32" s="3" t="s">
        <v>60</v>
      </c>
      <c r="I32" s="3" t="s">
        <v>61</v>
      </c>
      <c r="J32" s="3" t="s">
        <v>42</v>
      </c>
      <c r="K32" s="3" t="s">
        <v>90</v>
      </c>
      <c r="L32" s="3" t="s">
        <v>122</v>
      </c>
      <c r="M32" s="3" t="s">
        <v>45</v>
      </c>
      <c r="N32" s="3" t="s">
        <v>91</v>
      </c>
      <c r="O32" s="3" t="s">
        <v>123</v>
      </c>
      <c r="P32" s="3">
        <v>1</v>
      </c>
      <c r="Q32" s="9">
        <v>2500</v>
      </c>
      <c r="R32" s="6">
        <v>0.2</v>
      </c>
      <c r="S32" s="12">
        <f t="shared" si="0"/>
        <v>2000</v>
      </c>
      <c r="T32" s="12">
        <v>1700</v>
      </c>
      <c r="U32" s="9">
        <f t="shared" si="1"/>
        <v>300</v>
      </c>
      <c r="V32" s="6">
        <f t="shared" si="2"/>
        <v>0.15</v>
      </c>
      <c r="W32" s="3" t="s">
        <v>100</v>
      </c>
      <c r="X32" s="3" t="s">
        <v>49</v>
      </c>
      <c r="Y32" s="3">
        <f t="shared" si="3"/>
        <v>4</v>
      </c>
      <c r="Z32" s="3" t="str">
        <f t="shared" si="4"/>
        <v>Regular</v>
      </c>
      <c r="AA32" s="3">
        <v>2</v>
      </c>
      <c r="AB32" s="3" t="str">
        <f t="shared" si="5"/>
        <v>Average</v>
      </c>
      <c r="AC32" s="3" t="str">
        <f t="shared" si="6"/>
        <v>June</v>
      </c>
      <c r="AD32" s="3" t="str">
        <f t="shared" si="7"/>
        <v>Q2</v>
      </c>
      <c r="AE32" s="3">
        <f t="shared" si="8"/>
        <v>2026</v>
      </c>
      <c r="AF32" s="3" t="str">
        <f t="shared" si="9"/>
        <v>Wednesday</v>
      </c>
      <c r="AG32" s="3" t="str">
        <f t="shared" si="10"/>
        <v>36-45</v>
      </c>
      <c r="AH32" s="3" t="str">
        <f t="shared" si="11"/>
        <v>Small</v>
      </c>
      <c r="AI32" s="3" t="str">
        <f t="shared" si="12"/>
        <v>High</v>
      </c>
      <c r="AJ32" s="3" t="str" cm="1">
        <f t="array" ref="AJ32">_xlfn.IFS(S32&gt;=80000,"VIP",S32&gt;=40000,"Gold",S32&gt;=15000,"Silver",TRUE,"Bronze")</f>
        <v>Bronze</v>
      </c>
    </row>
    <row r="33" spans="1:36" x14ac:dyDescent="0.3">
      <c r="A33" s="3" t="s">
        <v>202</v>
      </c>
      <c r="B33" s="15">
        <v>46202</v>
      </c>
      <c r="C33" s="15">
        <v>46208</v>
      </c>
      <c r="D33" s="3" t="s">
        <v>203</v>
      </c>
      <c r="E33" s="3" t="s">
        <v>175</v>
      </c>
      <c r="F33" s="3" t="s">
        <v>52</v>
      </c>
      <c r="G33" s="3">
        <v>31</v>
      </c>
      <c r="H33" s="3" t="s">
        <v>68</v>
      </c>
      <c r="I33" s="3" t="s">
        <v>68</v>
      </c>
      <c r="J33" s="3" t="s">
        <v>69</v>
      </c>
      <c r="K33" s="3" t="s">
        <v>70</v>
      </c>
      <c r="L33" s="3" t="s">
        <v>71</v>
      </c>
      <c r="M33" s="3" t="s">
        <v>45</v>
      </c>
      <c r="N33" s="3" t="s">
        <v>63</v>
      </c>
      <c r="O33" s="3" t="s">
        <v>72</v>
      </c>
      <c r="P33" s="3">
        <v>2</v>
      </c>
      <c r="Q33" s="9">
        <v>58000</v>
      </c>
      <c r="R33" s="6">
        <v>0.12</v>
      </c>
      <c r="S33" s="12">
        <f t="shared" si="0"/>
        <v>102080</v>
      </c>
      <c r="T33" s="12">
        <v>49000</v>
      </c>
      <c r="U33" s="9">
        <f t="shared" si="1"/>
        <v>4080</v>
      </c>
      <c r="V33" s="6">
        <f t="shared" si="2"/>
        <v>3.9968652037617555E-2</v>
      </c>
      <c r="W33" s="3" t="s">
        <v>65</v>
      </c>
      <c r="X33" s="3" t="s">
        <v>101</v>
      </c>
      <c r="Y33" s="3">
        <f t="shared" si="3"/>
        <v>6</v>
      </c>
      <c r="Z33" s="3" t="str">
        <f t="shared" si="4"/>
        <v>Premium</v>
      </c>
      <c r="AA33" s="3">
        <v>5</v>
      </c>
      <c r="AB33" s="3" t="str">
        <f t="shared" si="5"/>
        <v>Excellent</v>
      </c>
      <c r="AC33" s="3" t="str">
        <f t="shared" si="6"/>
        <v>June</v>
      </c>
      <c r="AD33" s="3" t="str">
        <f t="shared" si="7"/>
        <v>Q2</v>
      </c>
      <c r="AE33" s="3">
        <f t="shared" si="8"/>
        <v>2026</v>
      </c>
      <c r="AF33" s="3" t="str">
        <f t="shared" si="9"/>
        <v>Monday</v>
      </c>
      <c r="AG33" s="3" t="str">
        <f t="shared" si="10"/>
        <v>26-35</v>
      </c>
      <c r="AH33" s="3" t="str">
        <f t="shared" si="11"/>
        <v>Large</v>
      </c>
      <c r="AI33" s="3" t="str">
        <f t="shared" si="12"/>
        <v>Medium</v>
      </c>
      <c r="AJ33" s="3" t="str" cm="1">
        <f t="array" ref="AJ33">_xlfn.IFS(S33&gt;=80000,"VIP",S33&gt;=40000,"Gold",S33&gt;=15000,"Silver",TRUE,"Bronze")</f>
        <v>VIP</v>
      </c>
    </row>
    <row r="34" spans="1:36" x14ac:dyDescent="0.3">
      <c r="A34" s="3" t="s">
        <v>204</v>
      </c>
      <c r="B34" s="15">
        <v>46060</v>
      </c>
      <c r="C34" s="15">
        <v>46065</v>
      </c>
      <c r="D34" s="3" t="s">
        <v>205</v>
      </c>
      <c r="E34" s="3" t="s">
        <v>206</v>
      </c>
      <c r="F34" s="3" t="s">
        <v>39</v>
      </c>
      <c r="G34" s="3">
        <v>25</v>
      </c>
      <c r="H34" s="3" t="s">
        <v>78</v>
      </c>
      <c r="I34" s="3" t="s">
        <v>79</v>
      </c>
      <c r="J34" s="3" t="s">
        <v>80</v>
      </c>
      <c r="K34" s="3" t="s">
        <v>43</v>
      </c>
      <c r="L34" s="3" t="s">
        <v>44</v>
      </c>
      <c r="M34" s="3" t="s">
        <v>45</v>
      </c>
      <c r="N34" s="3" t="s">
        <v>46</v>
      </c>
      <c r="O34" s="3" t="s">
        <v>47</v>
      </c>
      <c r="P34" s="3">
        <v>4</v>
      </c>
      <c r="Q34" s="9">
        <v>28500</v>
      </c>
      <c r="R34" s="6">
        <v>0.08</v>
      </c>
      <c r="S34" s="12">
        <f t="shared" si="0"/>
        <v>104880</v>
      </c>
      <c r="T34" s="12">
        <v>22000</v>
      </c>
      <c r="U34" s="9">
        <f t="shared" si="1"/>
        <v>16880</v>
      </c>
      <c r="V34" s="6">
        <f t="shared" si="2"/>
        <v>0.16094584286803967</v>
      </c>
      <c r="W34" s="3" t="s">
        <v>56</v>
      </c>
      <c r="X34" s="3" t="s">
        <v>101</v>
      </c>
      <c r="Y34" s="3">
        <f t="shared" si="3"/>
        <v>5</v>
      </c>
      <c r="Z34" s="3" t="str">
        <f t="shared" si="4"/>
        <v>Premium</v>
      </c>
      <c r="AA34" s="3">
        <v>2</v>
      </c>
      <c r="AB34" s="3" t="str">
        <f t="shared" si="5"/>
        <v>Average</v>
      </c>
      <c r="AC34" s="3" t="str">
        <f t="shared" si="6"/>
        <v>February</v>
      </c>
      <c r="AD34" s="3" t="str">
        <f t="shared" si="7"/>
        <v>Q1</v>
      </c>
      <c r="AE34" s="3">
        <f t="shared" si="8"/>
        <v>2026</v>
      </c>
      <c r="AF34" s="3" t="str">
        <f t="shared" si="9"/>
        <v>Saturday</v>
      </c>
      <c r="AG34" s="3" t="str">
        <f t="shared" si="10"/>
        <v>18-25</v>
      </c>
      <c r="AH34" s="3" t="str">
        <f t="shared" si="11"/>
        <v>Large</v>
      </c>
      <c r="AI34" s="3" t="str">
        <f t="shared" si="12"/>
        <v>Medium</v>
      </c>
      <c r="AJ34" s="3" t="str" cm="1">
        <f t="array" ref="AJ34">_xlfn.IFS(S34&gt;=80000,"VIP",S34&gt;=40000,"Gold",S34&gt;=15000,"Silver",TRUE,"Bronze")</f>
        <v>VIP</v>
      </c>
    </row>
    <row r="35" spans="1:36" x14ac:dyDescent="0.3">
      <c r="A35" s="3" t="s">
        <v>207</v>
      </c>
      <c r="B35" s="15">
        <v>46261</v>
      </c>
      <c r="C35" s="15">
        <v>46265</v>
      </c>
      <c r="D35" s="3" t="s">
        <v>208</v>
      </c>
      <c r="E35" s="3" t="s">
        <v>209</v>
      </c>
      <c r="F35" s="3" t="s">
        <v>39</v>
      </c>
      <c r="G35" s="3">
        <v>45</v>
      </c>
      <c r="H35" s="3" t="s">
        <v>68</v>
      </c>
      <c r="I35" s="3" t="s">
        <v>68</v>
      </c>
      <c r="J35" s="3" t="s">
        <v>69</v>
      </c>
      <c r="K35" s="3" t="s">
        <v>70</v>
      </c>
      <c r="L35" s="3" t="s">
        <v>71</v>
      </c>
      <c r="M35" s="3" t="s">
        <v>45</v>
      </c>
      <c r="N35" s="3" t="s">
        <v>63</v>
      </c>
      <c r="O35" s="3" t="s">
        <v>72</v>
      </c>
      <c r="P35" s="3">
        <v>2</v>
      </c>
      <c r="Q35" s="9">
        <v>58000</v>
      </c>
      <c r="R35" s="6">
        <v>0.08</v>
      </c>
      <c r="S35" s="12">
        <f t="shared" si="0"/>
        <v>106720</v>
      </c>
      <c r="T35" s="12">
        <v>49000</v>
      </c>
      <c r="U35" s="9">
        <f t="shared" si="1"/>
        <v>8720</v>
      </c>
      <c r="V35" s="6">
        <f t="shared" si="2"/>
        <v>8.1709145427286356E-2</v>
      </c>
      <c r="W35" s="3" t="s">
        <v>65</v>
      </c>
      <c r="X35" s="3" t="s">
        <v>49</v>
      </c>
      <c r="Y35" s="3">
        <f t="shared" si="3"/>
        <v>4</v>
      </c>
      <c r="Z35" s="3" t="str">
        <f t="shared" si="4"/>
        <v>Premium</v>
      </c>
      <c r="AA35" s="3">
        <v>4</v>
      </c>
      <c r="AB35" s="3" t="str">
        <f t="shared" si="5"/>
        <v>Excellent</v>
      </c>
      <c r="AC35" s="3" t="str">
        <f t="shared" si="6"/>
        <v>August</v>
      </c>
      <c r="AD35" s="3" t="str">
        <f t="shared" si="7"/>
        <v>Q3</v>
      </c>
      <c r="AE35" s="3">
        <f t="shared" si="8"/>
        <v>2026</v>
      </c>
      <c r="AF35" s="3" t="str">
        <f t="shared" si="9"/>
        <v>Thursday</v>
      </c>
      <c r="AG35" s="3" t="str">
        <f t="shared" si="10"/>
        <v>36-45</v>
      </c>
      <c r="AH35" s="3" t="str">
        <f t="shared" si="11"/>
        <v>Large</v>
      </c>
      <c r="AI35" s="3" t="str">
        <f t="shared" si="12"/>
        <v>Medium</v>
      </c>
      <c r="AJ35" s="3" t="str" cm="1">
        <f t="array" ref="AJ35">_xlfn.IFS(S35&gt;=80000,"VIP",S35&gt;=40000,"Gold",S35&gt;=15000,"Silver",TRUE,"Bronze")</f>
        <v>VIP</v>
      </c>
    </row>
    <row r="36" spans="1:36" x14ac:dyDescent="0.3">
      <c r="A36" s="3" t="s">
        <v>210</v>
      </c>
      <c r="B36" s="15">
        <v>46129</v>
      </c>
      <c r="C36" s="15">
        <v>46133</v>
      </c>
      <c r="D36" s="3" t="s">
        <v>211</v>
      </c>
      <c r="E36" s="3" t="s">
        <v>212</v>
      </c>
      <c r="F36" s="3" t="s">
        <v>39</v>
      </c>
      <c r="G36" s="3">
        <v>33</v>
      </c>
      <c r="H36" s="3" t="s">
        <v>53</v>
      </c>
      <c r="I36" s="3" t="s">
        <v>41</v>
      </c>
      <c r="J36" s="3" t="s">
        <v>42</v>
      </c>
      <c r="K36" s="3" t="s">
        <v>96</v>
      </c>
      <c r="L36" s="3" t="s">
        <v>166</v>
      </c>
      <c r="M36" s="3" t="s">
        <v>97</v>
      </c>
      <c r="N36" s="3" t="s">
        <v>98</v>
      </c>
      <c r="O36" s="3" t="s">
        <v>99</v>
      </c>
      <c r="P36" s="3">
        <v>4</v>
      </c>
      <c r="Q36" s="9">
        <v>4500</v>
      </c>
      <c r="R36" s="6">
        <v>0.2</v>
      </c>
      <c r="S36" s="12">
        <f t="shared" si="0"/>
        <v>14400</v>
      </c>
      <c r="T36" s="12">
        <v>3000</v>
      </c>
      <c r="U36" s="9">
        <f t="shared" si="1"/>
        <v>2400</v>
      </c>
      <c r="V36" s="6">
        <f t="shared" si="2"/>
        <v>0.16666666666666666</v>
      </c>
      <c r="W36" s="3" t="s">
        <v>100</v>
      </c>
      <c r="X36" s="3" t="s">
        <v>106</v>
      </c>
      <c r="Y36" s="3">
        <f t="shared" si="3"/>
        <v>4</v>
      </c>
      <c r="Z36" s="3" t="str">
        <f t="shared" si="4"/>
        <v>Regular</v>
      </c>
      <c r="AA36" s="3">
        <v>3</v>
      </c>
      <c r="AB36" s="3" t="str">
        <f t="shared" si="5"/>
        <v>Average</v>
      </c>
      <c r="AC36" s="3" t="str">
        <f t="shared" si="6"/>
        <v>April</v>
      </c>
      <c r="AD36" s="3" t="str">
        <f t="shared" si="7"/>
        <v>Q2</v>
      </c>
      <c r="AE36" s="3">
        <f t="shared" si="8"/>
        <v>2026</v>
      </c>
      <c r="AF36" s="3" t="str">
        <f t="shared" si="9"/>
        <v>Friday</v>
      </c>
      <c r="AG36" s="3" t="str">
        <f t="shared" si="10"/>
        <v>26-35</v>
      </c>
      <c r="AH36" s="3" t="str">
        <f t="shared" si="11"/>
        <v>Medium</v>
      </c>
      <c r="AI36" s="3" t="str">
        <f t="shared" si="12"/>
        <v>High</v>
      </c>
      <c r="AJ36" s="3" t="str" cm="1">
        <f t="array" ref="AJ36">_xlfn.IFS(S36&gt;=80000,"VIP",S36&gt;=40000,"Gold",S36&gt;=15000,"Silver",TRUE,"Bronze")</f>
        <v>Bronze</v>
      </c>
    </row>
    <row r="37" spans="1:36" x14ac:dyDescent="0.3">
      <c r="A37" s="3" t="s">
        <v>213</v>
      </c>
      <c r="B37" s="15">
        <v>46222</v>
      </c>
      <c r="C37" s="15">
        <v>46226</v>
      </c>
      <c r="D37" s="3" t="s">
        <v>214</v>
      </c>
      <c r="E37" s="3" t="s">
        <v>215</v>
      </c>
      <c r="F37" s="3" t="s">
        <v>39</v>
      </c>
      <c r="G37" s="3">
        <v>33</v>
      </c>
      <c r="H37" s="3" t="s">
        <v>88</v>
      </c>
      <c r="I37" s="3" t="s">
        <v>89</v>
      </c>
      <c r="J37" s="3" t="s">
        <v>80</v>
      </c>
      <c r="K37" s="3" t="s">
        <v>54</v>
      </c>
      <c r="L37" s="3" t="s">
        <v>173</v>
      </c>
      <c r="M37" s="3" t="s">
        <v>45</v>
      </c>
      <c r="N37" s="3" t="s">
        <v>46</v>
      </c>
      <c r="O37" s="3" t="s">
        <v>55</v>
      </c>
      <c r="P37" s="3">
        <v>2</v>
      </c>
      <c r="Q37" s="9">
        <v>79900</v>
      </c>
      <c r="R37" s="6">
        <v>0.1</v>
      </c>
      <c r="S37" s="12">
        <f t="shared" si="0"/>
        <v>143820</v>
      </c>
      <c r="T37" s="12">
        <v>65000</v>
      </c>
      <c r="U37" s="9">
        <f t="shared" si="1"/>
        <v>13820</v>
      </c>
      <c r="V37" s="6">
        <f t="shared" si="2"/>
        <v>9.6092337644277576E-2</v>
      </c>
      <c r="W37" s="3" t="s">
        <v>73</v>
      </c>
      <c r="X37" s="3" t="s">
        <v>74</v>
      </c>
      <c r="Y37" s="3">
        <f t="shared" si="3"/>
        <v>4</v>
      </c>
      <c r="Z37" s="3" t="str">
        <f t="shared" si="4"/>
        <v>Premium</v>
      </c>
      <c r="AA37" s="3">
        <v>2</v>
      </c>
      <c r="AB37" s="3" t="str">
        <f t="shared" si="5"/>
        <v>Average</v>
      </c>
      <c r="AC37" s="3" t="str">
        <f t="shared" si="6"/>
        <v>July</v>
      </c>
      <c r="AD37" s="3" t="str">
        <f t="shared" si="7"/>
        <v>Q3</v>
      </c>
      <c r="AE37" s="3">
        <f t="shared" si="8"/>
        <v>2026</v>
      </c>
      <c r="AF37" s="3" t="str">
        <f t="shared" si="9"/>
        <v>Sunday</v>
      </c>
      <c r="AG37" s="3" t="str">
        <f t="shared" si="10"/>
        <v>26-35</v>
      </c>
      <c r="AH37" s="3" t="str">
        <f t="shared" si="11"/>
        <v>Large</v>
      </c>
      <c r="AI37" s="3" t="str">
        <f t="shared" si="12"/>
        <v>Medium</v>
      </c>
      <c r="AJ37" s="3" t="str" cm="1">
        <f t="array" ref="AJ37">_xlfn.IFS(S37&gt;=80000,"VIP",S37&gt;=40000,"Gold",S37&gt;=15000,"Silver",TRUE,"Bronze")</f>
        <v>VIP</v>
      </c>
    </row>
    <row r="38" spans="1:36" x14ac:dyDescent="0.3">
      <c r="A38" s="3" t="s">
        <v>216</v>
      </c>
      <c r="B38" s="15">
        <v>46384</v>
      </c>
      <c r="C38" s="15">
        <v>46390</v>
      </c>
      <c r="D38" s="3" t="s">
        <v>217</v>
      </c>
      <c r="E38" s="3" t="s">
        <v>218</v>
      </c>
      <c r="F38" s="3" t="s">
        <v>52</v>
      </c>
      <c r="G38" s="3">
        <v>33</v>
      </c>
      <c r="H38" s="3" t="s">
        <v>68</v>
      </c>
      <c r="I38" s="3" t="s">
        <v>68</v>
      </c>
      <c r="J38" s="3" t="s">
        <v>69</v>
      </c>
      <c r="K38" s="3" t="s">
        <v>90</v>
      </c>
      <c r="L38" s="3" t="s">
        <v>122</v>
      </c>
      <c r="M38" s="3" t="s">
        <v>45</v>
      </c>
      <c r="N38" s="3" t="s">
        <v>91</v>
      </c>
      <c r="O38" s="3" t="s">
        <v>123</v>
      </c>
      <c r="P38" s="3">
        <v>3</v>
      </c>
      <c r="Q38" s="9">
        <v>2500</v>
      </c>
      <c r="R38" s="6">
        <v>0.08</v>
      </c>
      <c r="S38" s="12">
        <f t="shared" si="0"/>
        <v>6900</v>
      </c>
      <c r="T38" s="12">
        <v>1700</v>
      </c>
      <c r="U38" s="9">
        <f t="shared" si="1"/>
        <v>1800</v>
      </c>
      <c r="V38" s="6">
        <f t="shared" si="2"/>
        <v>0.2608695652173913</v>
      </c>
      <c r="W38" s="3" t="s">
        <v>73</v>
      </c>
      <c r="X38" s="3" t="s">
        <v>49</v>
      </c>
      <c r="Y38" s="3">
        <f t="shared" si="3"/>
        <v>6</v>
      </c>
      <c r="Z38" s="3" t="str">
        <f t="shared" si="4"/>
        <v>Regular</v>
      </c>
      <c r="AA38" s="3">
        <v>4</v>
      </c>
      <c r="AB38" s="3" t="str">
        <f t="shared" si="5"/>
        <v>Excellent</v>
      </c>
      <c r="AC38" s="3" t="str">
        <f t="shared" si="6"/>
        <v>December</v>
      </c>
      <c r="AD38" s="3" t="str">
        <f t="shared" si="7"/>
        <v>Q4</v>
      </c>
      <c r="AE38" s="3">
        <f t="shared" si="8"/>
        <v>2026</v>
      </c>
      <c r="AF38" s="3" t="str">
        <f t="shared" si="9"/>
        <v>Monday</v>
      </c>
      <c r="AG38" s="3" t="str">
        <f t="shared" si="10"/>
        <v>26-35</v>
      </c>
      <c r="AH38" s="3" t="str">
        <f t="shared" si="11"/>
        <v>Small</v>
      </c>
      <c r="AI38" s="3" t="str">
        <f t="shared" si="12"/>
        <v>Medium</v>
      </c>
      <c r="AJ38" s="3" t="str" cm="1">
        <f t="array" ref="AJ38">_xlfn.IFS(S38&gt;=80000,"VIP",S38&gt;=40000,"Gold",S38&gt;=15000,"Silver",TRUE,"Bronze")</f>
        <v>Bronze</v>
      </c>
    </row>
    <row r="39" spans="1:36" x14ac:dyDescent="0.3">
      <c r="A39" s="3" t="s">
        <v>219</v>
      </c>
      <c r="B39" s="15">
        <v>46197</v>
      </c>
      <c r="C39" s="15">
        <v>46201</v>
      </c>
      <c r="D39" s="3" t="s">
        <v>220</v>
      </c>
      <c r="E39" s="3" t="s">
        <v>221</v>
      </c>
      <c r="F39" s="3" t="s">
        <v>39</v>
      </c>
      <c r="G39" s="3">
        <v>40</v>
      </c>
      <c r="H39" s="3" t="s">
        <v>40</v>
      </c>
      <c r="I39" s="3" t="s">
        <v>41</v>
      </c>
      <c r="J39" s="3" t="s">
        <v>42</v>
      </c>
      <c r="K39" s="3" t="s">
        <v>96</v>
      </c>
      <c r="L39" s="3" t="s">
        <v>166</v>
      </c>
      <c r="M39" s="3" t="s">
        <v>97</v>
      </c>
      <c r="N39" s="3" t="s">
        <v>98</v>
      </c>
      <c r="O39" s="3" t="s">
        <v>99</v>
      </c>
      <c r="P39" s="3">
        <v>2</v>
      </c>
      <c r="Q39" s="9">
        <v>4500</v>
      </c>
      <c r="R39" s="6">
        <v>0.1</v>
      </c>
      <c r="S39" s="12">
        <f t="shared" si="0"/>
        <v>8100</v>
      </c>
      <c r="T39" s="12">
        <v>3000</v>
      </c>
      <c r="U39" s="9">
        <f t="shared" si="1"/>
        <v>2100</v>
      </c>
      <c r="V39" s="6">
        <f t="shared" si="2"/>
        <v>0.25925925925925924</v>
      </c>
      <c r="W39" s="3" t="s">
        <v>100</v>
      </c>
      <c r="X39" s="3" t="s">
        <v>49</v>
      </c>
      <c r="Y39" s="3">
        <f t="shared" si="3"/>
        <v>4</v>
      </c>
      <c r="Z39" s="3" t="str">
        <f t="shared" si="4"/>
        <v>Regular</v>
      </c>
      <c r="AA39" s="3">
        <v>4</v>
      </c>
      <c r="AB39" s="3" t="str">
        <f t="shared" si="5"/>
        <v>Excellent</v>
      </c>
      <c r="AC39" s="3" t="str">
        <f t="shared" si="6"/>
        <v>June</v>
      </c>
      <c r="AD39" s="3" t="str">
        <f t="shared" si="7"/>
        <v>Q2</v>
      </c>
      <c r="AE39" s="3">
        <f t="shared" si="8"/>
        <v>2026</v>
      </c>
      <c r="AF39" s="3" t="str">
        <f t="shared" si="9"/>
        <v>Wednesday</v>
      </c>
      <c r="AG39" s="3" t="str">
        <f t="shared" si="10"/>
        <v>36-45</v>
      </c>
      <c r="AH39" s="3" t="str">
        <f t="shared" si="11"/>
        <v>Small</v>
      </c>
      <c r="AI39" s="3" t="str">
        <f t="shared" si="12"/>
        <v>Medium</v>
      </c>
      <c r="AJ39" s="3" t="str" cm="1">
        <f t="array" ref="AJ39">_xlfn.IFS(S39&gt;=80000,"VIP",S39&gt;=40000,"Gold",S39&gt;=15000,"Silver",TRUE,"Bronze")</f>
        <v>Bronze</v>
      </c>
    </row>
    <row r="40" spans="1:36" x14ac:dyDescent="0.3">
      <c r="A40" s="3" t="s">
        <v>222</v>
      </c>
      <c r="B40" s="15">
        <v>46184</v>
      </c>
      <c r="C40" s="15">
        <v>46189</v>
      </c>
      <c r="D40" s="3" t="s">
        <v>223</v>
      </c>
      <c r="E40" s="3" t="s">
        <v>224</v>
      </c>
      <c r="F40" s="3" t="s">
        <v>39</v>
      </c>
      <c r="G40" s="3">
        <v>31</v>
      </c>
      <c r="H40" s="3" t="s">
        <v>53</v>
      </c>
      <c r="I40" s="3" t="s">
        <v>41</v>
      </c>
      <c r="J40" s="3" t="s">
        <v>42</v>
      </c>
      <c r="K40" s="3" t="s">
        <v>70</v>
      </c>
      <c r="L40" s="3" t="s">
        <v>71</v>
      </c>
      <c r="M40" s="3" t="s">
        <v>45</v>
      </c>
      <c r="N40" s="3" t="s">
        <v>63</v>
      </c>
      <c r="O40" s="3" t="s">
        <v>72</v>
      </c>
      <c r="P40" s="3">
        <v>1</v>
      </c>
      <c r="Q40" s="9">
        <v>58000</v>
      </c>
      <c r="R40" s="6">
        <v>0.1</v>
      </c>
      <c r="S40" s="12">
        <f t="shared" si="0"/>
        <v>52200</v>
      </c>
      <c r="T40" s="12">
        <v>49000</v>
      </c>
      <c r="U40" s="9">
        <f t="shared" si="1"/>
        <v>3200</v>
      </c>
      <c r="V40" s="6">
        <f t="shared" si="2"/>
        <v>6.1302681992337162E-2</v>
      </c>
      <c r="W40" s="3" t="s">
        <v>100</v>
      </c>
      <c r="X40" s="3" t="s">
        <v>74</v>
      </c>
      <c r="Y40" s="3">
        <f t="shared" si="3"/>
        <v>5</v>
      </c>
      <c r="Z40" s="3" t="str">
        <f t="shared" si="4"/>
        <v>Premium</v>
      </c>
      <c r="AA40" s="3">
        <v>4</v>
      </c>
      <c r="AB40" s="3" t="str">
        <f t="shared" si="5"/>
        <v>Excellent</v>
      </c>
      <c r="AC40" s="3" t="str">
        <f t="shared" si="6"/>
        <v>June</v>
      </c>
      <c r="AD40" s="3" t="str">
        <f t="shared" si="7"/>
        <v>Q2</v>
      </c>
      <c r="AE40" s="3">
        <f t="shared" si="8"/>
        <v>2026</v>
      </c>
      <c r="AF40" s="3" t="str">
        <f t="shared" si="9"/>
        <v>Thursday</v>
      </c>
      <c r="AG40" s="3" t="str">
        <f t="shared" si="10"/>
        <v>26-35</v>
      </c>
      <c r="AH40" s="3" t="str">
        <f t="shared" si="11"/>
        <v>Large</v>
      </c>
      <c r="AI40" s="3" t="str">
        <f t="shared" si="12"/>
        <v>Medium</v>
      </c>
      <c r="AJ40" s="3" t="str" cm="1">
        <f t="array" ref="AJ40">_xlfn.IFS(S40&gt;=80000,"VIP",S40&gt;=40000,"Gold",S40&gt;=15000,"Silver",TRUE,"Bronze")</f>
        <v>Gold</v>
      </c>
    </row>
    <row r="41" spans="1:36" x14ac:dyDescent="0.3">
      <c r="A41" s="3" t="s">
        <v>225</v>
      </c>
      <c r="B41" s="15">
        <v>46046</v>
      </c>
      <c r="C41" s="15">
        <v>46048</v>
      </c>
      <c r="D41" s="3" t="s">
        <v>226</v>
      </c>
      <c r="E41" s="3" t="s">
        <v>227</v>
      </c>
      <c r="F41" s="3" t="s">
        <v>39</v>
      </c>
      <c r="G41" s="3">
        <v>41</v>
      </c>
      <c r="H41" s="3" t="s">
        <v>40</v>
      </c>
      <c r="I41" s="3" t="s">
        <v>41</v>
      </c>
      <c r="J41" s="3" t="s">
        <v>42</v>
      </c>
      <c r="K41" s="3" t="s">
        <v>81</v>
      </c>
      <c r="L41" s="3" t="s">
        <v>82</v>
      </c>
      <c r="M41" s="3" t="s">
        <v>45</v>
      </c>
      <c r="N41" s="3" t="s">
        <v>83</v>
      </c>
      <c r="O41" s="3" t="s">
        <v>84</v>
      </c>
      <c r="P41" s="3">
        <v>3</v>
      </c>
      <c r="Q41" s="9">
        <v>42000</v>
      </c>
      <c r="R41" s="6">
        <v>0.05</v>
      </c>
      <c r="S41" s="12">
        <f t="shared" si="0"/>
        <v>119700</v>
      </c>
      <c r="T41" s="12">
        <v>35000</v>
      </c>
      <c r="U41" s="9">
        <f t="shared" si="1"/>
        <v>14700</v>
      </c>
      <c r="V41" s="6">
        <f t="shared" si="2"/>
        <v>0.12280701754385964</v>
      </c>
      <c r="W41" s="3" t="s">
        <v>73</v>
      </c>
      <c r="X41" s="3" t="s">
        <v>101</v>
      </c>
      <c r="Y41" s="3">
        <f t="shared" si="3"/>
        <v>2</v>
      </c>
      <c r="Z41" s="3" t="str">
        <f t="shared" si="4"/>
        <v>Premium</v>
      </c>
      <c r="AA41" s="3">
        <v>4</v>
      </c>
      <c r="AB41" s="3" t="str">
        <f t="shared" si="5"/>
        <v>Excellent</v>
      </c>
      <c r="AC41" s="3" t="str">
        <f t="shared" si="6"/>
        <v>January</v>
      </c>
      <c r="AD41" s="3" t="str">
        <f t="shared" si="7"/>
        <v>Q1</v>
      </c>
      <c r="AE41" s="3">
        <f t="shared" si="8"/>
        <v>2026</v>
      </c>
      <c r="AF41" s="3" t="str">
        <f t="shared" si="9"/>
        <v>Saturday</v>
      </c>
      <c r="AG41" s="3" t="str">
        <f t="shared" si="10"/>
        <v>36-45</v>
      </c>
      <c r="AH41" s="3" t="str">
        <f t="shared" si="11"/>
        <v>Large</v>
      </c>
      <c r="AI41" s="3" t="str">
        <f t="shared" si="12"/>
        <v>Low</v>
      </c>
      <c r="AJ41" s="3" t="str" cm="1">
        <f t="array" ref="AJ41">_xlfn.IFS(S41&gt;=80000,"VIP",S41&gt;=40000,"Gold",S41&gt;=15000,"Silver",TRUE,"Bronze")</f>
        <v>VIP</v>
      </c>
    </row>
    <row r="42" spans="1:36" x14ac:dyDescent="0.3">
      <c r="A42" s="3" t="s">
        <v>228</v>
      </c>
      <c r="B42" s="15">
        <v>46232</v>
      </c>
      <c r="C42" s="15">
        <v>46236</v>
      </c>
      <c r="D42" s="3" t="s">
        <v>229</v>
      </c>
      <c r="E42" s="3" t="s">
        <v>230</v>
      </c>
      <c r="F42" s="3" t="s">
        <v>39</v>
      </c>
      <c r="G42" s="3">
        <v>23</v>
      </c>
      <c r="H42" s="3" t="s">
        <v>88</v>
      </c>
      <c r="I42" s="3" t="s">
        <v>89</v>
      </c>
      <c r="J42" s="3" t="s">
        <v>80</v>
      </c>
      <c r="K42" s="3" t="s">
        <v>43</v>
      </c>
      <c r="L42" s="3" t="s">
        <v>44</v>
      </c>
      <c r="M42" s="3" t="s">
        <v>45</v>
      </c>
      <c r="N42" s="3" t="s">
        <v>46</v>
      </c>
      <c r="O42" s="3" t="s">
        <v>47</v>
      </c>
      <c r="P42" s="3">
        <v>1</v>
      </c>
      <c r="Q42" s="9">
        <v>28500</v>
      </c>
      <c r="R42" s="6">
        <v>0.12</v>
      </c>
      <c r="S42" s="12">
        <f t="shared" si="0"/>
        <v>25080</v>
      </c>
      <c r="T42" s="12">
        <v>22000</v>
      </c>
      <c r="U42" s="9">
        <f t="shared" si="1"/>
        <v>3080</v>
      </c>
      <c r="V42" s="6">
        <f t="shared" si="2"/>
        <v>0.12280701754385964</v>
      </c>
      <c r="W42" s="3" t="s">
        <v>92</v>
      </c>
      <c r="X42" s="3" t="s">
        <v>101</v>
      </c>
      <c r="Y42" s="3">
        <f t="shared" si="3"/>
        <v>4</v>
      </c>
      <c r="Z42" s="3" t="str">
        <f t="shared" si="4"/>
        <v>Regular</v>
      </c>
      <c r="AA42" s="3">
        <v>3</v>
      </c>
      <c r="AB42" s="3" t="str">
        <f t="shared" si="5"/>
        <v>Average</v>
      </c>
      <c r="AC42" s="3" t="str">
        <f t="shared" si="6"/>
        <v>July</v>
      </c>
      <c r="AD42" s="3" t="str">
        <f t="shared" si="7"/>
        <v>Q3</v>
      </c>
      <c r="AE42" s="3">
        <f t="shared" si="8"/>
        <v>2026</v>
      </c>
      <c r="AF42" s="3" t="str">
        <f t="shared" si="9"/>
        <v>Wednesday</v>
      </c>
      <c r="AG42" s="3" t="str">
        <f t="shared" si="10"/>
        <v>18-25</v>
      </c>
      <c r="AH42" s="3" t="str">
        <f t="shared" si="11"/>
        <v>Medium</v>
      </c>
      <c r="AI42" s="3" t="str">
        <f t="shared" si="12"/>
        <v>Medium</v>
      </c>
      <c r="AJ42" s="3" t="str" cm="1">
        <f t="array" ref="AJ42">_xlfn.IFS(S42&gt;=80000,"VIP",S42&gt;=40000,"Gold",S42&gt;=15000,"Silver",TRUE,"Bronze")</f>
        <v>Silver</v>
      </c>
    </row>
    <row r="43" spans="1:36" x14ac:dyDescent="0.3">
      <c r="A43" s="3" t="s">
        <v>231</v>
      </c>
      <c r="B43" s="15">
        <v>46023</v>
      </c>
      <c r="C43" s="15">
        <v>46029</v>
      </c>
      <c r="D43" s="3" t="s">
        <v>232</v>
      </c>
      <c r="E43" s="3" t="s">
        <v>233</v>
      </c>
      <c r="F43" s="3" t="s">
        <v>39</v>
      </c>
      <c r="G43" s="3">
        <v>25</v>
      </c>
      <c r="H43" s="3" t="s">
        <v>119</v>
      </c>
      <c r="I43" s="3" t="s">
        <v>120</v>
      </c>
      <c r="J43" s="3" t="s">
        <v>121</v>
      </c>
      <c r="K43" s="3" t="s">
        <v>62</v>
      </c>
      <c r="L43" s="3" t="s">
        <v>163</v>
      </c>
      <c r="M43" s="3" t="s">
        <v>45</v>
      </c>
      <c r="N43" s="3" t="s">
        <v>63</v>
      </c>
      <c r="O43" s="3" t="s">
        <v>64</v>
      </c>
      <c r="P43" s="3">
        <v>3</v>
      </c>
      <c r="Q43" s="9">
        <v>62000</v>
      </c>
      <c r="R43" s="6">
        <v>0.15</v>
      </c>
      <c r="S43" s="12">
        <f t="shared" si="0"/>
        <v>158100</v>
      </c>
      <c r="T43" s="12">
        <v>52000</v>
      </c>
      <c r="U43" s="9">
        <f t="shared" si="1"/>
        <v>2100</v>
      </c>
      <c r="V43" s="6">
        <f t="shared" si="2"/>
        <v>1.3282732447817837E-2</v>
      </c>
      <c r="W43" s="3" t="s">
        <v>65</v>
      </c>
      <c r="X43" s="3" t="s">
        <v>101</v>
      </c>
      <c r="Y43" s="3">
        <f t="shared" si="3"/>
        <v>6</v>
      </c>
      <c r="Z43" s="3" t="str">
        <f t="shared" si="4"/>
        <v>Premium</v>
      </c>
      <c r="AA43" s="3">
        <v>3</v>
      </c>
      <c r="AB43" s="3" t="str">
        <f t="shared" si="5"/>
        <v>Average</v>
      </c>
      <c r="AC43" s="3" t="str">
        <f t="shared" si="6"/>
        <v>January</v>
      </c>
      <c r="AD43" s="3" t="str">
        <f t="shared" si="7"/>
        <v>Q1</v>
      </c>
      <c r="AE43" s="3">
        <f t="shared" si="8"/>
        <v>2026</v>
      </c>
      <c r="AF43" s="3" t="str">
        <f t="shared" si="9"/>
        <v>Thursday</v>
      </c>
      <c r="AG43" s="3" t="str">
        <f t="shared" si="10"/>
        <v>18-25</v>
      </c>
      <c r="AH43" s="3" t="str">
        <f t="shared" si="11"/>
        <v>Large</v>
      </c>
      <c r="AI43" s="3" t="str">
        <f t="shared" si="12"/>
        <v>Medium</v>
      </c>
      <c r="AJ43" s="3" t="str" cm="1">
        <f t="array" ref="AJ43">_xlfn.IFS(S43&gt;=80000,"VIP",S43&gt;=40000,"Gold",S43&gt;=15000,"Silver",TRUE,"Bronze")</f>
        <v>VIP</v>
      </c>
    </row>
    <row r="44" spans="1:36" x14ac:dyDescent="0.3">
      <c r="A44" s="3" t="s">
        <v>234</v>
      </c>
      <c r="B44" s="15">
        <v>46344</v>
      </c>
      <c r="C44" s="15">
        <v>46347</v>
      </c>
      <c r="D44" s="3" t="s">
        <v>235</v>
      </c>
      <c r="E44" s="3" t="s">
        <v>236</v>
      </c>
      <c r="F44" s="3" t="s">
        <v>39</v>
      </c>
      <c r="G44" s="3">
        <v>26</v>
      </c>
      <c r="H44" s="3" t="s">
        <v>40</v>
      </c>
      <c r="I44" s="3" t="s">
        <v>41</v>
      </c>
      <c r="J44" s="3" t="s">
        <v>42</v>
      </c>
      <c r="K44" s="3" t="s">
        <v>81</v>
      </c>
      <c r="L44" s="3" t="s">
        <v>82</v>
      </c>
      <c r="M44" s="3" t="s">
        <v>45</v>
      </c>
      <c r="N44" s="3" t="s">
        <v>83</v>
      </c>
      <c r="O44" s="3" t="s">
        <v>84</v>
      </c>
      <c r="P44" s="3">
        <v>5</v>
      </c>
      <c r="Q44" s="9">
        <v>42000</v>
      </c>
      <c r="R44" s="6">
        <v>0.15</v>
      </c>
      <c r="S44" s="12">
        <f t="shared" si="0"/>
        <v>178500</v>
      </c>
      <c r="T44" s="12">
        <v>35000</v>
      </c>
      <c r="U44" s="9">
        <f t="shared" si="1"/>
        <v>3500</v>
      </c>
      <c r="V44" s="6">
        <f t="shared" si="2"/>
        <v>1.9607843137254902E-2</v>
      </c>
      <c r="W44" s="3" t="s">
        <v>56</v>
      </c>
      <c r="X44" s="3" t="s">
        <v>49</v>
      </c>
      <c r="Y44" s="3">
        <f t="shared" si="3"/>
        <v>3</v>
      </c>
      <c r="Z44" s="3" t="str">
        <f t="shared" si="4"/>
        <v>Premium</v>
      </c>
      <c r="AA44" s="3">
        <v>2</v>
      </c>
      <c r="AB44" s="3" t="str">
        <f t="shared" si="5"/>
        <v>Average</v>
      </c>
      <c r="AC44" s="3" t="str">
        <f t="shared" si="6"/>
        <v>November</v>
      </c>
      <c r="AD44" s="3" t="str">
        <f t="shared" si="7"/>
        <v>Q4</v>
      </c>
      <c r="AE44" s="3">
        <f t="shared" si="8"/>
        <v>2026</v>
      </c>
      <c r="AF44" s="3" t="str">
        <f t="shared" si="9"/>
        <v>Wednesday</v>
      </c>
      <c r="AG44" s="3" t="str">
        <f t="shared" si="10"/>
        <v>26-35</v>
      </c>
      <c r="AH44" s="3" t="str">
        <f t="shared" si="11"/>
        <v>Large</v>
      </c>
      <c r="AI44" s="3" t="str">
        <f t="shared" si="12"/>
        <v>Medium</v>
      </c>
      <c r="AJ44" s="3" t="str" cm="1">
        <f t="array" ref="AJ44">_xlfn.IFS(S44&gt;=80000,"VIP",S44&gt;=40000,"Gold",S44&gt;=15000,"Silver",TRUE,"Bronze")</f>
        <v>VIP</v>
      </c>
    </row>
    <row r="45" spans="1:36" x14ac:dyDescent="0.3">
      <c r="A45" s="3" t="s">
        <v>237</v>
      </c>
      <c r="B45" s="15">
        <v>46371</v>
      </c>
      <c r="C45" s="15">
        <v>46373</v>
      </c>
      <c r="D45" s="3" t="s">
        <v>238</v>
      </c>
      <c r="E45" s="3" t="s">
        <v>239</v>
      </c>
      <c r="F45" s="3" t="s">
        <v>39</v>
      </c>
      <c r="G45" s="3">
        <v>38</v>
      </c>
      <c r="H45" s="3" t="s">
        <v>110</v>
      </c>
      <c r="I45" s="3" t="s">
        <v>111</v>
      </c>
      <c r="J45" s="3" t="s">
        <v>80</v>
      </c>
      <c r="K45" s="3" t="s">
        <v>70</v>
      </c>
      <c r="L45" s="3" t="s">
        <v>71</v>
      </c>
      <c r="M45" s="3" t="s">
        <v>45</v>
      </c>
      <c r="N45" s="3" t="s">
        <v>63</v>
      </c>
      <c r="O45" s="3" t="s">
        <v>72</v>
      </c>
      <c r="P45" s="3">
        <v>4</v>
      </c>
      <c r="Q45" s="9">
        <v>58000</v>
      </c>
      <c r="R45" s="6">
        <v>0.05</v>
      </c>
      <c r="S45" s="12">
        <f t="shared" si="0"/>
        <v>220400</v>
      </c>
      <c r="T45" s="12">
        <v>49000</v>
      </c>
      <c r="U45" s="9">
        <f t="shared" si="1"/>
        <v>24400</v>
      </c>
      <c r="V45" s="6">
        <f t="shared" si="2"/>
        <v>0.11070780399274047</v>
      </c>
      <c r="W45" s="3" t="s">
        <v>48</v>
      </c>
      <c r="X45" s="3" t="s">
        <v>49</v>
      </c>
      <c r="Y45" s="3">
        <f t="shared" si="3"/>
        <v>2</v>
      </c>
      <c r="Z45" s="3" t="str">
        <f t="shared" si="4"/>
        <v>Premium</v>
      </c>
      <c r="AA45" s="3">
        <v>4</v>
      </c>
      <c r="AB45" s="3" t="str">
        <f t="shared" si="5"/>
        <v>Excellent</v>
      </c>
      <c r="AC45" s="3" t="str">
        <f t="shared" si="6"/>
        <v>December</v>
      </c>
      <c r="AD45" s="3" t="str">
        <f t="shared" si="7"/>
        <v>Q4</v>
      </c>
      <c r="AE45" s="3">
        <f t="shared" si="8"/>
        <v>2026</v>
      </c>
      <c r="AF45" s="3" t="str">
        <f t="shared" si="9"/>
        <v>Tuesday</v>
      </c>
      <c r="AG45" s="3" t="str">
        <f t="shared" si="10"/>
        <v>36-45</v>
      </c>
      <c r="AH45" s="3" t="str">
        <f t="shared" si="11"/>
        <v>Large</v>
      </c>
      <c r="AI45" s="3" t="str">
        <f t="shared" si="12"/>
        <v>Low</v>
      </c>
      <c r="AJ45" s="3" t="str" cm="1">
        <f t="array" ref="AJ45">_xlfn.IFS(S45&gt;=80000,"VIP",S45&gt;=40000,"Gold",S45&gt;=15000,"Silver",TRUE,"Bronze")</f>
        <v>VIP</v>
      </c>
    </row>
    <row r="46" spans="1:36" x14ac:dyDescent="0.3">
      <c r="A46" s="3" t="s">
        <v>240</v>
      </c>
      <c r="B46" s="15">
        <v>46071</v>
      </c>
      <c r="C46" s="15">
        <v>46073</v>
      </c>
      <c r="D46" s="3" t="s">
        <v>241</v>
      </c>
      <c r="E46" s="3" t="s">
        <v>242</v>
      </c>
      <c r="F46" s="3" t="s">
        <v>39</v>
      </c>
      <c r="G46" s="3">
        <v>41</v>
      </c>
      <c r="H46" s="3" t="s">
        <v>53</v>
      </c>
      <c r="I46" s="3" t="s">
        <v>41</v>
      </c>
      <c r="J46" s="3" t="s">
        <v>42</v>
      </c>
      <c r="K46" s="3" t="s">
        <v>54</v>
      </c>
      <c r="L46" s="3" t="s">
        <v>173</v>
      </c>
      <c r="M46" s="3" t="s">
        <v>45</v>
      </c>
      <c r="N46" s="3" t="s">
        <v>46</v>
      </c>
      <c r="O46" s="3" t="s">
        <v>55</v>
      </c>
      <c r="P46" s="3">
        <v>4</v>
      </c>
      <c r="Q46" s="9">
        <v>79900</v>
      </c>
      <c r="R46" s="6">
        <v>0.05</v>
      </c>
      <c r="S46" s="12">
        <f t="shared" si="0"/>
        <v>303620</v>
      </c>
      <c r="T46" s="12">
        <v>65000</v>
      </c>
      <c r="U46" s="9">
        <f t="shared" si="1"/>
        <v>43620</v>
      </c>
      <c r="V46" s="6">
        <f t="shared" si="2"/>
        <v>0.14366642513668401</v>
      </c>
      <c r="W46" s="3" t="s">
        <v>65</v>
      </c>
      <c r="X46" s="3" t="s">
        <v>74</v>
      </c>
      <c r="Y46" s="3">
        <f t="shared" si="3"/>
        <v>2</v>
      </c>
      <c r="Z46" s="3" t="str">
        <f t="shared" si="4"/>
        <v>Premium</v>
      </c>
      <c r="AA46" s="3">
        <v>2</v>
      </c>
      <c r="AB46" s="3" t="str">
        <f t="shared" si="5"/>
        <v>Average</v>
      </c>
      <c r="AC46" s="3" t="str">
        <f t="shared" si="6"/>
        <v>February</v>
      </c>
      <c r="AD46" s="3" t="str">
        <f t="shared" si="7"/>
        <v>Q1</v>
      </c>
      <c r="AE46" s="3">
        <f t="shared" si="8"/>
        <v>2026</v>
      </c>
      <c r="AF46" s="3" t="str">
        <f t="shared" si="9"/>
        <v>Wednesday</v>
      </c>
      <c r="AG46" s="3" t="str">
        <f t="shared" si="10"/>
        <v>36-45</v>
      </c>
      <c r="AH46" s="3" t="str">
        <f t="shared" si="11"/>
        <v>Large</v>
      </c>
      <c r="AI46" s="3" t="str">
        <f t="shared" si="12"/>
        <v>Low</v>
      </c>
      <c r="AJ46" s="3" t="str" cm="1">
        <f t="array" ref="AJ46">_xlfn.IFS(S46&gt;=80000,"VIP",S46&gt;=40000,"Gold",S46&gt;=15000,"Silver",TRUE,"Bronze")</f>
        <v>VIP</v>
      </c>
    </row>
    <row r="47" spans="1:36" x14ac:dyDescent="0.3">
      <c r="A47" s="3" t="s">
        <v>243</v>
      </c>
      <c r="B47" s="15">
        <v>46232</v>
      </c>
      <c r="C47" s="15">
        <v>46234</v>
      </c>
      <c r="D47" s="3" t="s">
        <v>244</v>
      </c>
      <c r="E47" s="3" t="s">
        <v>245</v>
      </c>
      <c r="F47" s="3" t="s">
        <v>52</v>
      </c>
      <c r="G47" s="3">
        <v>41</v>
      </c>
      <c r="H47" s="3" t="s">
        <v>119</v>
      </c>
      <c r="I47" s="3" t="s">
        <v>120</v>
      </c>
      <c r="J47" s="3" t="s">
        <v>121</v>
      </c>
      <c r="K47" s="3" t="s">
        <v>96</v>
      </c>
      <c r="L47" s="3" t="s">
        <v>166</v>
      </c>
      <c r="M47" s="3" t="s">
        <v>97</v>
      </c>
      <c r="N47" s="3" t="s">
        <v>98</v>
      </c>
      <c r="O47" s="3" t="s">
        <v>99</v>
      </c>
      <c r="P47" s="3">
        <v>1</v>
      </c>
      <c r="Q47" s="9">
        <v>4500</v>
      </c>
      <c r="R47" s="6">
        <v>0.08</v>
      </c>
      <c r="S47" s="12">
        <f t="shared" si="0"/>
        <v>4140</v>
      </c>
      <c r="T47" s="12">
        <v>3000</v>
      </c>
      <c r="U47" s="9">
        <f t="shared" si="1"/>
        <v>1140</v>
      </c>
      <c r="V47" s="6">
        <f t="shared" si="2"/>
        <v>0.27536231884057971</v>
      </c>
      <c r="W47" s="3" t="s">
        <v>92</v>
      </c>
      <c r="X47" s="3" t="s">
        <v>74</v>
      </c>
      <c r="Y47" s="3">
        <f t="shared" si="3"/>
        <v>2</v>
      </c>
      <c r="Z47" s="3" t="str">
        <f t="shared" si="4"/>
        <v>Regular</v>
      </c>
      <c r="AA47" s="3">
        <v>3</v>
      </c>
      <c r="AB47" s="3" t="str">
        <f t="shared" si="5"/>
        <v>Average</v>
      </c>
      <c r="AC47" s="3" t="str">
        <f t="shared" si="6"/>
        <v>July</v>
      </c>
      <c r="AD47" s="3" t="str">
        <f t="shared" si="7"/>
        <v>Q3</v>
      </c>
      <c r="AE47" s="3">
        <f t="shared" si="8"/>
        <v>2026</v>
      </c>
      <c r="AF47" s="3" t="str">
        <f t="shared" si="9"/>
        <v>Wednesday</v>
      </c>
      <c r="AG47" s="3" t="str">
        <f t="shared" si="10"/>
        <v>36-45</v>
      </c>
      <c r="AH47" s="3" t="str">
        <f t="shared" si="11"/>
        <v>Small</v>
      </c>
      <c r="AI47" s="3" t="str">
        <f t="shared" si="12"/>
        <v>Medium</v>
      </c>
      <c r="AJ47" s="3" t="str" cm="1">
        <f t="array" ref="AJ47">_xlfn.IFS(S47&gt;=80000,"VIP",S47&gt;=40000,"Gold",S47&gt;=15000,"Silver",TRUE,"Bronze")</f>
        <v>Bronze</v>
      </c>
    </row>
    <row r="48" spans="1:36" x14ac:dyDescent="0.3">
      <c r="A48" s="3" t="s">
        <v>246</v>
      </c>
      <c r="B48" s="15">
        <v>46327</v>
      </c>
      <c r="C48" s="15">
        <v>46330</v>
      </c>
      <c r="D48" s="3" t="s">
        <v>247</v>
      </c>
      <c r="E48" s="3" t="s">
        <v>248</v>
      </c>
      <c r="F48" s="3" t="s">
        <v>52</v>
      </c>
      <c r="G48" s="3">
        <v>36</v>
      </c>
      <c r="H48" s="3" t="s">
        <v>78</v>
      </c>
      <c r="I48" s="3" t="s">
        <v>79</v>
      </c>
      <c r="J48" s="3" t="s">
        <v>80</v>
      </c>
      <c r="K48" s="3" t="s">
        <v>81</v>
      </c>
      <c r="L48" s="3" t="s">
        <v>82</v>
      </c>
      <c r="M48" s="3" t="s">
        <v>45</v>
      </c>
      <c r="N48" s="3" t="s">
        <v>83</v>
      </c>
      <c r="O48" s="3" t="s">
        <v>84</v>
      </c>
      <c r="P48" s="3">
        <v>1</v>
      </c>
      <c r="Q48" s="9">
        <v>42000</v>
      </c>
      <c r="R48" s="6">
        <v>0.2</v>
      </c>
      <c r="S48" s="12">
        <f t="shared" si="0"/>
        <v>33600</v>
      </c>
      <c r="T48" s="12">
        <v>35000</v>
      </c>
      <c r="U48" s="9">
        <f t="shared" si="1"/>
        <v>-1400</v>
      </c>
      <c r="V48" s="6">
        <f t="shared" si="2"/>
        <v>-4.1666666666666664E-2</v>
      </c>
      <c r="W48" s="3" t="s">
        <v>92</v>
      </c>
      <c r="X48" s="3" t="s">
        <v>74</v>
      </c>
      <c r="Y48" s="3">
        <f t="shared" si="3"/>
        <v>3</v>
      </c>
      <c r="Z48" s="3" t="str">
        <f t="shared" si="4"/>
        <v>Regular</v>
      </c>
      <c r="AA48" s="3">
        <v>2</v>
      </c>
      <c r="AB48" s="3" t="str">
        <f t="shared" si="5"/>
        <v>Average</v>
      </c>
      <c r="AC48" s="3" t="str">
        <f t="shared" si="6"/>
        <v>November</v>
      </c>
      <c r="AD48" s="3" t="str">
        <f t="shared" si="7"/>
        <v>Q4</v>
      </c>
      <c r="AE48" s="3">
        <f t="shared" si="8"/>
        <v>2026</v>
      </c>
      <c r="AF48" s="3" t="str">
        <f t="shared" si="9"/>
        <v>Sunday</v>
      </c>
      <c r="AG48" s="3" t="str">
        <f t="shared" si="10"/>
        <v>36-45</v>
      </c>
      <c r="AH48" s="3" t="str">
        <f t="shared" si="11"/>
        <v>Large</v>
      </c>
      <c r="AI48" s="3" t="str">
        <f t="shared" si="12"/>
        <v>High</v>
      </c>
      <c r="AJ48" s="3" t="str" cm="1">
        <f t="array" ref="AJ48">_xlfn.IFS(S48&gt;=80000,"VIP",S48&gt;=40000,"Gold",S48&gt;=15000,"Silver",TRUE,"Bronze")</f>
        <v>Silver</v>
      </c>
    </row>
    <row r="49" spans="1:36" x14ac:dyDescent="0.3">
      <c r="A49" s="3" t="s">
        <v>249</v>
      </c>
      <c r="B49" s="15">
        <v>46100</v>
      </c>
      <c r="C49" s="15">
        <v>46105</v>
      </c>
      <c r="D49" s="3" t="s">
        <v>250</v>
      </c>
      <c r="E49" s="3" t="s">
        <v>251</v>
      </c>
      <c r="F49" s="3" t="s">
        <v>52</v>
      </c>
      <c r="G49" s="3">
        <v>48</v>
      </c>
      <c r="H49" s="3" t="s">
        <v>78</v>
      </c>
      <c r="I49" s="3" t="s">
        <v>79</v>
      </c>
      <c r="J49" s="3" t="s">
        <v>80</v>
      </c>
      <c r="K49" s="3" t="s">
        <v>43</v>
      </c>
      <c r="L49" s="3" t="s">
        <v>44</v>
      </c>
      <c r="M49" s="3" t="s">
        <v>45</v>
      </c>
      <c r="N49" s="3" t="s">
        <v>46</v>
      </c>
      <c r="O49" s="3" t="s">
        <v>47</v>
      </c>
      <c r="P49" s="3">
        <v>5</v>
      </c>
      <c r="Q49" s="9">
        <v>28500</v>
      </c>
      <c r="R49" s="6">
        <v>0.12</v>
      </c>
      <c r="S49" s="12">
        <f t="shared" si="0"/>
        <v>125400</v>
      </c>
      <c r="T49" s="12">
        <v>22000</v>
      </c>
      <c r="U49" s="9">
        <f t="shared" si="1"/>
        <v>15400</v>
      </c>
      <c r="V49" s="6">
        <f t="shared" si="2"/>
        <v>0.12280701754385964</v>
      </c>
      <c r="W49" s="3" t="s">
        <v>73</v>
      </c>
      <c r="X49" s="3" t="s">
        <v>101</v>
      </c>
      <c r="Y49" s="3">
        <f t="shared" si="3"/>
        <v>5</v>
      </c>
      <c r="Z49" s="3" t="str">
        <f t="shared" si="4"/>
        <v>Premium</v>
      </c>
      <c r="AA49" s="3">
        <v>5</v>
      </c>
      <c r="AB49" s="3" t="str">
        <f t="shared" si="5"/>
        <v>Excellent</v>
      </c>
      <c r="AC49" s="3" t="str">
        <f t="shared" si="6"/>
        <v>March</v>
      </c>
      <c r="AD49" s="3" t="str">
        <f t="shared" si="7"/>
        <v>Q1</v>
      </c>
      <c r="AE49" s="3">
        <f t="shared" si="8"/>
        <v>2026</v>
      </c>
      <c r="AF49" s="3" t="str">
        <f t="shared" si="9"/>
        <v>Thursday</v>
      </c>
      <c r="AG49" s="3" t="str">
        <f t="shared" si="10"/>
        <v>46+</v>
      </c>
      <c r="AH49" s="3" t="str">
        <f t="shared" si="11"/>
        <v>Large</v>
      </c>
      <c r="AI49" s="3" t="str">
        <f t="shared" si="12"/>
        <v>Medium</v>
      </c>
      <c r="AJ49" s="3" t="str" cm="1">
        <f t="array" ref="AJ49">_xlfn.IFS(S49&gt;=80000,"VIP",S49&gt;=40000,"Gold",S49&gt;=15000,"Silver",TRUE,"Bronze")</f>
        <v>VIP</v>
      </c>
    </row>
    <row r="50" spans="1:36" x14ac:dyDescent="0.3">
      <c r="A50" s="3" t="s">
        <v>252</v>
      </c>
      <c r="B50" s="15">
        <v>46242</v>
      </c>
      <c r="C50" s="15">
        <v>46247</v>
      </c>
      <c r="D50" s="3" t="s">
        <v>253</v>
      </c>
      <c r="E50" s="3" t="s">
        <v>254</v>
      </c>
      <c r="F50" s="3" t="s">
        <v>52</v>
      </c>
      <c r="G50" s="3">
        <v>42</v>
      </c>
      <c r="H50" s="3" t="s">
        <v>68</v>
      </c>
      <c r="I50" s="3" t="s">
        <v>68</v>
      </c>
      <c r="J50" s="3" t="s">
        <v>69</v>
      </c>
      <c r="K50" s="3" t="s">
        <v>96</v>
      </c>
      <c r="L50" s="3" t="s">
        <v>166</v>
      </c>
      <c r="M50" s="3" t="s">
        <v>97</v>
      </c>
      <c r="N50" s="3" t="s">
        <v>98</v>
      </c>
      <c r="O50" s="3" t="s">
        <v>99</v>
      </c>
      <c r="P50" s="3">
        <v>3</v>
      </c>
      <c r="Q50" s="9">
        <v>4500</v>
      </c>
      <c r="R50" s="6">
        <v>0.1</v>
      </c>
      <c r="S50" s="12">
        <f t="shared" si="0"/>
        <v>12150</v>
      </c>
      <c r="T50" s="12">
        <v>3000</v>
      </c>
      <c r="U50" s="9">
        <f t="shared" si="1"/>
        <v>3150</v>
      </c>
      <c r="V50" s="6">
        <f t="shared" si="2"/>
        <v>0.25925925925925924</v>
      </c>
      <c r="W50" s="3" t="s">
        <v>73</v>
      </c>
      <c r="X50" s="3" t="s">
        <v>74</v>
      </c>
      <c r="Y50" s="3">
        <f t="shared" si="3"/>
        <v>5</v>
      </c>
      <c r="Z50" s="3" t="str">
        <f t="shared" si="4"/>
        <v>Regular</v>
      </c>
      <c r="AA50" s="3">
        <v>5</v>
      </c>
      <c r="AB50" s="3" t="str">
        <f t="shared" si="5"/>
        <v>Excellent</v>
      </c>
      <c r="AC50" s="3" t="str">
        <f t="shared" si="6"/>
        <v>August</v>
      </c>
      <c r="AD50" s="3" t="str">
        <f t="shared" si="7"/>
        <v>Q3</v>
      </c>
      <c r="AE50" s="3">
        <f t="shared" si="8"/>
        <v>2026</v>
      </c>
      <c r="AF50" s="3" t="str">
        <f t="shared" si="9"/>
        <v>Saturday</v>
      </c>
      <c r="AG50" s="3" t="str">
        <f t="shared" si="10"/>
        <v>36-45</v>
      </c>
      <c r="AH50" s="3" t="str">
        <f t="shared" si="11"/>
        <v>Medium</v>
      </c>
      <c r="AI50" s="3" t="str">
        <f t="shared" si="12"/>
        <v>Medium</v>
      </c>
      <c r="AJ50" s="3" t="str" cm="1">
        <f t="array" ref="AJ50">_xlfn.IFS(S50&gt;=80000,"VIP",S50&gt;=40000,"Gold",S50&gt;=15000,"Silver",TRUE,"Bronze")</f>
        <v>Bronze</v>
      </c>
    </row>
    <row r="51" spans="1:36" x14ac:dyDescent="0.3">
      <c r="A51" s="3" t="s">
        <v>255</v>
      </c>
      <c r="B51" s="15">
        <v>46041</v>
      </c>
      <c r="C51" s="15">
        <v>46045</v>
      </c>
      <c r="D51" s="3" t="s">
        <v>256</v>
      </c>
      <c r="E51" s="3" t="s">
        <v>257</v>
      </c>
      <c r="F51" s="3" t="s">
        <v>39</v>
      </c>
      <c r="G51" s="3">
        <v>24</v>
      </c>
      <c r="H51" s="3" t="s">
        <v>78</v>
      </c>
      <c r="I51" s="3" t="s">
        <v>79</v>
      </c>
      <c r="J51" s="3" t="s">
        <v>80</v>
      </c>
      <c r="K51" s="3" t="s">
        <v>70</v>
      </c>
      <c r="L51" s="3" t="s">
        <v>71</v>
      </c>
      <c r="M51" s="3" t="s">
        <v>45</v>
      </c>
      <c r="N51" s="3" t="s">
        <v>63</v>
      </c>
      <c r="O51" s="3" t="s">
        <v>72</v>
      </c>
      <c r="P51" s="3">
        <v>2</v>
      </c>
      <c r="Q51" s="9">
        <v>58000</v>
      </c>
      <c r="R51" s="6">
        <v>0.2</v>
      </c>
      <c r="S51" s="12">
        <f t="shared" si="0"/>
        <v>92800</v>
      </c>
      <c r="T51" s="12">
        <v>49000</v>
      </c>
      <c r="U51" s="9">
        <f t="shared" si="1"/>
        <v>-5200</v>
      </c>
      <c r="V51" s="6">
        <f t="shared" si="2"/>
        <v>-5.6034482758620691E-2</v>
      </c>
      <c r="W51" s="3" t="s">
        <v>56</v>
      </c>
      <c r="X51" s="3" t="s">
        <v>74</v>
      </c>
      <c r="Y51" s="3">
        <f t="shared" si="3"/>
        <v>4</v>
      </c>
      <c r="Z51" s="3" t="str">
        <f t="shared" si="4"/>
        <v>Premium</v>
      </c>
      <c r="AA51" s="3">
        <v>4</v>
      </c>
      <c r="AB51" s="3" t="str">
        <f t="shared" si="5"/>
        <v>Excellent</v>
      </c>
      <c r="AC51" s="3" t="str">
        <f t="shared" si="6"/>
        <v>January</v>
      </c>
      <c r="AD51" s="3" t="str">
        <f t="shared" si="7"/>
        <v>Q1</v>
      </c>
      <c r="AE51" s="3">
        <f t="shared" si="8"/>
        <v>2026</v>
      </c>
      <c r="AF51" s="3" t="str">
        <f t="shared" si="9"/>
        <v>Monday</v>
      </c>
      <c r="AG51" s="3" t="str">
        <f t="shared" si="10"/>
        <v>18-25</v>
      </c>
      <c r="AH51" s="3" t="str">
        <f t="shared" si="11"/>
        <v>Large</v>
      </c>
      <c r="AI51" s="3" t="str">
        <f t="shared" si="12"/>
        <v>High</v>
      </c>
      <c r="AJ51" s="3" t="str" cm="1">
        <f t="array" ref="AJ51">_xlfn.IFS(S51&gt;=80000,"VIP",S51&gt;=40000,"Gold",S51&gt;=15000,"Silver",TRUE,"Bronze")</f>
        <v>VIP</v>
      </c>
    </row>
    <row r="52" spans="1:36" x14ac:dyDescent="0.3">
      <c r="A52" s="3" t="s">
        <v>258</v>
      </c>
      <c r="B52" s="15">
        <v>46128</v>
      </c>
      <c r="C52" s="15">
        <v>46130</v>
      </c>
      <c r="D52" s="3" t="s">
        <v>259</v>
      </c>
      <c r="E52" s="3" t="s">
        <v>260</v>
      </c>
      <c r="F52" s="3" t="s">
        <v>52</v>
      </c>
      <c r="G52" s="3">
        <v>49</v>
      </c>
      <c r="H52" s="3" t="s">
        <v>68</v>
      </c>
      <c r="I52" s="3" t="s">
        <v>68</v>
      </c>
      <c r="J52" s="3" t="s">
        <v>69</v>
      </c>
      <c r="K52" s="3" t="s">
        <v>62</v>
      </c>
      <c r="L52" s="3" t="s">
        <v>163</v>
      </c>
      <c r="M52" s="3" t="s">
        <v>45</v>
      </c>
      <c r="N52" s="3" t="s">
        <v>63</v>
      </c>
      <c r="O52" s="3" t="s">
        <v>64</v>
      </c>
      <c r="P52" s="3">
        <v>2</v>
      </c>
      <c r="Q52" s="9">
        <v>62000</v>
      </c>
      <c r="R52" s="6">
        <v>0.12</v>
      </c>
      <c r="S52" s="12">
        <f t="shared" si="0"/>
        <v>109120</v>
      </c>
      <c r="T52" s="12">
        <v>52000</v>
      </c>
      <c r="U52" s="9">
        <f t="shared" si="1"/>
        <v>5120</v>
      </c>
      <c r="V52" s="6">
        <f t="shared" si="2"/>
        <v>4.6920821114369501E-2</v>
      </c>
      <c r="W52" s="3" t="s">
        <v>48</v>
      </c>
      <c r="X52" s="3" t="s">
        <v>74</v>
      </c>
      <c r="Y52" s="3">
        <f t="shared" si="3"/>
        <v>2</v>
      </c>
      <c r="Z52" s="3" t="str">
        <f t="shared" si="4"/>
        <v>Premium</v>
      </c>
      <c r="AA52" s="3">
        <v>5</v>
      </c>
      <c r="AB52" s="3" t="str">
        <f t="shared" si="5"/>
        <v>Excellent</v>
      </c>
      <c r="AC52" s="3" t="str">
        <f t="shared" si="6"/>
        <v>April</v>
      </c>
      <c r="AD52" s="3" t="str">
        <f t="shared" si="7"/>
        <v>Q2</v>
      </c>
      <c r="AE52" s="3">
        <f t="shared" si="8"/>
        <v>2026</v>
      </c>
      <c r="AF52" s="3" t="str">
        <f t="shared" si="9"/>
        <v>Thursday</v>
      </c>
      <c r="AG52" s="3" t="str">
        <f t="shared" si="10"/>
        <v>46+</v>
      </c>
      <c r="AH52" s="3" t="str">
        <f t="shared" si="11"/>
        <v>Large</v>
      </c>
      <c r="AI52" s="3" t="str">
        <f t="shared" si="12"/>
        <v>Medium</v>
      </c>
      <c r="AJ52" s="3" t="str" cm="1">
        <f t="array" ref="AJ52">_xlfn.IFS(S52&gt;=80000,"VIP",S52&gt;=40000,"Gold",S52&gt;=15000,"Silver",TRUE,"Bronze")</f>
        <v>VIP</v>
      </c>
    </row>
    <row r="53" spans="1:36" x14ac:dyDescent="0.3">
      <c r="A53" s="3" t="s">
        <v>261</v>
      </c>
      <c r="B53" s="15">
        <v>46109</v>
      </c>
      <c r="C53" s="15">
        <v>46113</v>
      </c>
      <c r="D53" s="3" t="s">
        <v>262</v>
      </c>
      <c r="E53" s="3" t="s">
        <v>263</v>
      </c>
      <c r="F53" s="3" t="s">
        <v>39</v>
      </c>
      <c r="G53" s="3">
        <v>49</v>
      </c>
      <c r="H53" s="3" t="s">
        <v>110</v>
      </c>
      <c r="I53" s="3" t="s">
        <v>111</v>
      </c>
      <c r="J53" s="3" t="s">
        <v>80</v>
      </c>
      <c r="K53" s="3" t="s">
        <v>70</v>
      </c>
      <c r="L53" s="3" t="s">
        <v>71</v>
      </c>
      <c r="M53" s="3" t="s">
        <v>45</v>
      </c>
      <c r="N53" s="3" t="s">
        <v>63</v>
      </c>
      <c r="O53" s="3" t="s">
        <v>72</v>
      </c>
      <c r="P53" s="3">
        <v>3</v>
      </c>
      <c r="Q53" s="9">
        <v>58000</v>
      </c>
      <c r="R53" s="6">
        <v>0.05</v>
      </c>
      <c r="S53" s="12">
        <f t="shared" si="0"/>
        <v>165300</v>
      </c>
      <c r="T53" s="12">
        <v>49000</v>
      </c>
      <c r="U53" s="9">
        <f t="shared" si="1"/>
        <v>18300</v>
      </c>
      <c r="V53" s="6">
        <f t="shared" si="2"/>
        <v>0.11070780399274047</v>
      </c>
      <c r="W53" s="3" t="s">
        <v>100</v>
      </c>
      <c r="X53" s="3" t="s">
        <v>106</v>
      </c>
      <c r="Y53" s="3">
        <f t="shared" si="3"/>
        <v>4</v>
      </c>
      <c r="Z53" s="3" t="str">
        <f t="shared" si="4"/>
        <v>Premium</v>
      </c>
      <c r="AA53" s="3">
        <v>2</v>
      </c>
      <c r="AB53" s="3" t="str">
        <f t="shared" si="5"/>
        <v>Average</v>
      </c>
      <c r="AC53" s="3" t="str">
        <f t="shared" si="6"/>
        <v>March</v>
      </c>
      <c r="AD53" s="3" t="str">
        <f t="shared" si="7"/>
        <v>Q1</v>
      </c>
      <c r="AE53" s="3">
        <f t="shared" si="8"/>
        <v>2026</v>
      </c>
      <c r="AF53" s="3" t="str">
        <f t="shared" si="9"/>
        <v>Saturday</v>
      </c>
      <c r="AG53" s="3" t="str">
        <f t="shared" si="10"/>
        <v>46+</v>
      </c>
      <c r="AH53" s="3" t="str">
        <f t="shared" si="11"/>
        <v>Large</v>
      </c>
      <c r="AI53" s="3" t="str">
        <f t="shared" si="12"/>
        <v>Low</v>
      </c>
      <c r="AJ53" s="3" t="str" cm="1">
        <f t="array" ref="AJ53">_xlfn.IFS(S53&gt;=80000,"VIP",S53&gt;=40000,"Gold",S53&gt;=15000,"Silver",TRUE,"Bronze")</f>
        <v>VIP</v>
      </c>
    </row>
    <row r="54" spans="1:36" x14ac:dyDescent="0.3">
      <c r="A54" s="3" t="s">
        <v>264</v>
      </c>
      <c r="B54" s="15">
        <v>46104</v>
      </c>
      <c r="C54" s="15">
        <v>46107</v>
      </c>
      <c r="D54" s="3" t="s">
        <v>265</v>
      </c>
      <c r="E54" s="3" t="s">
        <v>266</v>
      </c>
      <c r="F54" s="3" t="s">
        <v>52</v>
      </c>
      <c r="G54" s="3">
        <v>26</v>
      </c>
      <c r="H54" s="3" t="s">
        <v>60</v>
      </c>
      <c r="I54" s="3" t="s">
        <v>61</v>
      </c>
      <c r="J54" s="3" t="s">
        <v>42</v>
      </c>
      <c r="K54" s="3" t="s">
        <v>81</v>
      </c>
      <c r="L54" s="3" t="s">
        <v>82</v>
      </c>
      <c r="M54" s="3" t="s">
        <v>45</v>
      </c>
      <c r="N54" s="3" t="s">
        <v>83</v>
      </c>
      <c r="O54" s="3" t="s">
        <v>84</v>
      </c>
      <c r="P54" s="3">
        <v>5</v>
      </c>
      <c r="Q54" s="9">
        <v>42000</v>
      </c>
      <c r="R54" s="6">
        <v>0.15</v>
      </c>
      <c r="S54" s="12">
        <f t="shared" si="0"/>
        <v>178500</v>
      </c>
      <c r="T54" s="12">
        <v>35000</v>
      </c>
      <c r="U54" s="9">
        <f t="shared" si="1"/>
        <v>3500</v>
      </c>
      <c r="V54" s="6">
        <f t="shared" si="2"/>
        <v>1.9607843137254902E-2</v>
      </c>
      <c r="W54" s="3" t="s">
        <v>48</v>
      </c>
      <c r="X54" s="3" t="s">
        <v>106</v>
      </c>
      <c r="Y54" s="3">
        <f t="shared" si="3"/>
        <v>3</v>
      </c>
      <c r="Z54" s="3" t="str">
        <f t="shared" si="4"/>
        <v>Premium</v>
      </c>
      <c r="AA54" s="3">
        <v>5</v>
      </c>
      <c r="AB54" s="3" t="str">
        <f t="shared" si="5"/>
        <v>Excellent</v>
      </c>
      <c r="AC54" s="3" t="str">
        <f t="shared" si="6"/>
        <v>March</v>
      </c>
      <c r="AD54" s="3" t="str">
        <f t="shared" si="7"/>
        <v>Q1</v>
      </c>
      <c r="AE54" s="3">
        <f t="shared" si="8"/>
        <v>2026</v>
      </c>
      <c r="AF54" s="3" t="str">
        <f t="shared" si="9"/>
        <v>Monday</v>
      </c>
      <c r="AG54" s="3" t="str">
        <f t="shared" si="10"/>
        <v>26-35</v>
      </c>
      <c r="AH54" s="3" t="str">
        <f t="shared" si="11"/>
        <v>Large</v>
      </c>
      <c r="AI54" s="3" t="str">
        <f t="shared" si="12"/>
        <v>Medium</v>
      </c>
      <c r="AJ54" s="3" t="str" cm="1">
        <f t="array" ref="AJ54">_xlfn.IFS(S54&gt;=80000,"VIP",S54&gt;=40000,"Gold",S54&gt;=15000,"Silver",TRUE,"Bronze")</f>
        <v>VIP</v>
      </c>
    </row>
    <row r="55" spans="1:36" x14ac:dyDescent="0.3">
      <c r="A55" s="3" t="s">
        <v>267</v>
      </c>
      <c r="B55" s="15">
        <v>46269</v>
      </c>
      <c r="C55" s="15">
        <v>46275</v>
      </c>
      <c r="D55" s="3" t="s">
        <v>268</v>
      </c>
      <c r="E55" s="3" t="s">
        <v>269</v>
      </c>
      <c r="F55" s="3" t="s">
        <v>52</v>
      </c>
      <c r="G55" s="3">
        <v>44</v>
      </c>
      <c r="H55" s="3" t="s">
        <v>88</v>
      </c>
      <c r="I55" s="3" t="s">
        <v>89</v>
      </c>
      <c r="J55" s="3" t="s">
        <v>80</v>
      </c>
      <c r="K55" s="3" t="s">
        <v>96</v>
      </c>
      <c r="L55" s="3" t="s">
        <v>166</v>
      </c>
      <c r="M55" s="3" t="s">
        <v>97</v>
      </c>
      <c r="N55" s="3" t="s">
        <v>98</v>
      </c>
      <c r="O55" s="3" t="s">
        <v>99</v>
      </c>
      <c r="P55" s="3">
        <v>5</v>
      </c>
      <c r="Q55" s="9">
        <v>4500</v>
      </c>
      <c r="R55" s="6">
        <v>0.12</v>
      </c>
      <c r="S55" s="12">
        <f t="shared" si="0"/>
        <v>19800</v>
      </c>
      <c r="T55" s="12">
        <v>3000</v>
      </c>
      <c r="U55" s="9">
        <f t="shared" si="1"/>
        <v>4800</v>
      </c>
      <c r="V55" s="6">
        <f t="shared" si="2"/>
        <v>0.24242424242424243</v>
      </c>
      <c r="W55" s="3" t="s">
        <v>48</v>
      </c>
      <c r="X55" s="3" t="s">
        <v>101</v>
      </c>
      <c r="Y55" s="3">
        <f t="shared" si="3"/>
        <v>6</v>
      </c>
      <c r="Z55" s="3" t="str">
        <f t="shared" si="4"/>
        <v>Regular</v>
      </c>
      <c r="AA55" s="3">
        <v>3</v>
      </c>
      <c r="AB55" s="3" t="str">
        <f t="shared" si="5"/>
        <v>Average</v>
      </c>
      <c r="AC55" s="3" t="str">
        <f t="shared" si="6"/>
        <v>September</v>
      </c>
      <c r="AD55" s="3" t="str">
        <f t="shared" si="7"/>
        <v>Q3</v>
      </c>
      <c r="AE55" s="3">
        <f t="shared" si="8"/>
        <v>2026</v>
      </c>
      <c r="AF55" s="3" t="str">
        <f t="shared" si="9"/>
        <v>Friday</v>
      </c>
      <c r="AG55" s="3" t="str">
        <f t="shared" si="10"/>
        <v>36-45</v>
      </c>
      <c r="AH55" s="3" t="str">
        <f t="shared" si="11"/>
        <v>Medium</v>
      </c>
      <c r="AI55" s="3" t="str">
        <f t="shared" si="12"/>
        <v>Medium</v>
      </c>
      <c r="AJ55" s="3" t="str" cm="1">
        <f t="array" ref="AJ55">_xlfn.IFS(S55&gt;=80000,"VIP",S55&gt;=40000,"Gold",S55&gt;=15000,"Silver",TRUE,"Bronze")</f>
        <v>Silver</v>
      </c>
    </row>
    <row r="56" spans="1:36" x14ac:dyDescent="0.3">
      <c r="A56" s="3" t="s">
        <v>270</v>
      </c>
      <c r="B56" s="15">
        <v>46201</v>
      </c>
      <c r="C56" s="15">
        <v>46207</v>
      </c>
      <c r="D56" s="3" t="s">
        <v>271</v>
      </c>
      <c r="E56" s="3" t="s">
        <v>272</v>
      </c>
      <c r="F56" s="3" t="s">
        <v>52</v>
      </c>
      <c r="G56" s="3">
        <v>25</v>
      </c>
      <c r="H56" s="3" t="s">
        <v>78</v>
      </c>
      <c r="I56" s="3" t="s">
        <v>79</v>
      </c>
      <c r="J56" s="3" t="s">
        <v>80</v>
      </c>
      <c r="K56" s="3" t="s">
        <v>54</v>
      </c>
      <c r="L56" s="3" t="s">
        <v>173</v>
      </c>
      <c r="M56" s="3" t="s">
        <v>45</v>
      </c>
      <c r="N56" s="3" t="s">
        <v>46</v>
      </c>
      <c r="O56" s="3" t="s">
        <v>55</v>
      </c>
      <c r="P56" s="3">
        <v>4</v>
      </c>
      <c r="Q56" s="9">
        <v>79900</v>
      </c>
      <c r="R56" s="6">
        <v>0.05</v>
      </c>
      <c r="S56" s="12">
        <f t="shared" si="0"/>
        <v>303620</v>
      </c>
      <c r="T56" s="12">
        <v>65000</v>
      </c>
      <c r="U56" s="9">
        <f t="shared" si="1"/>
        <v>43620</v>
      </c>
      <c r="V56" s="6">
        <f t="shared" si="2"/>
        <v>0.14366642513668401</v>
      </c>
      <c r="W56" s="3" t="s">
        <v>73</v>
      </c>
      <c r="X56" s="3" t="s">
        <v>106</v>
      </c>
      <c r="Y56" s="3">
        <f t="shared" si="3"/>
        <v>6</v>
      </c>
      <c r="Z56" s="3" t="str">
        <f t="shared" si="4"/>
        <v>Premium</v>
      </c>
      <c r="AA56" s="3">
        <v>4</v>
      </c>
      <c r="AB56" s="3" t="str">
        <f t="shared" si="5"/>
        <v>Excellent</v>
      </c>
      <c r="AC56" s="3" t="str">
        <f t="shared" si="6"/>
        <v>June</v>
      </c>
      <c r="AD56" s="3" t="str">
        <f t="shared" si="7"/>
        <v>Q2</v>
      </c>
      <c r="AE56" s="3">
        <f t="shared" si="8"/>
        <v>2026</v>
      </c>
      <c r="AF56" s="3" t="str">
        <f t="shared" si="9"/>
        <v>Sunday</v>
      </c>
      <c r="AG56" s="3" t="str">
        <f t="shared" si="10"/>
        <v>18-25</v>
      </c>
      <c r="AH56" s="3" t="str">
        <f t="shared" si="11"/>
        <v>Large</v>
      </c>
      <c r="AI56" s="3" t="str">
        <f t="shared" si="12"/>
        <v>Low</v>
      </c>
      <c r="AJ56" s="3" t="str" cm="1">
        <f t="array" ref="AJ56">_xlfn.IFS(S56&gt;=80000,"VIP",S56&gt;=40000,"Gold",S56&gt;=15000,"Silver",TRUE,"Bronze")</f>
        <v>VIP</v>
      </c>
    </row>
    <row r="57" spans="1:36" x14ac:dyDescent="0.3">
      <c r="A57" s="3" t="s">
        <v>273</v>
      </c>
      <c r="B57" s="15">
        <v>46272</v>
      </c>
      <c r="C57" s="15">
        <v>46274</v>
      </c>
      <c r="D57" s="3" t="s">
        <v>274</v>
      </c>
      <c r="E57" s="3" t="s">
        <v>275</v>
      </c>
      <c r="F57" s="3" t="s">
        <v>52</v>
      </c>
      <c r="G57" s="3">
        <v>21</v>
      </c>
      <c r="H57" s="3" t="s">
        <v>53</v>
      </c>
      <c r="I57" s="3" t="s">
        <v>41</v>
      </c>
      <c r="J57" s="3" t="s">
        <v>42</v>
      </c>
      <c r="K57" s="3" t="s">
        <v>43</v>
      </c>
      <c r="L57" s="3" t="s">
        <v>44</v>
      </c>
      <c r="M57" s="3" t="s">
        <v>45</v>
      </c>
      <c r="N57" s="3" t="s">
        <v>46</v>
      </c>
      <c r="O57" s="3" t="s">
        <v>47</v>
      </c>
      <c r="P57" s="3">
        <v>5</v>
      </c>
      <c r="Q57" s="9">
        <v>28500</v>
      </c>
      <c r="R57" s="6">
        <v>0.15</v>
      </c>
      <c r="S57" s="12">
        <f t="shared" si="0"/>
        <v>121125</v>
      </c>
      <c r="T57" s="12">
        <v>22000</v>
      </c>
      <c r="U57" s="9">
        <f t="shared" si="1"/>
        <v>11125</v>
      </c>
      <c r="V57" s="6">
        <f t="shared" si="2"/>
        <v>9.1847265221878222E-2</v>
      </c>
      <c r="W57" s="3" t="s">
        <v>100</v>
      </c>
      <c r="X57" s="3" t="s">
        <v>106</v>
      </c>
      <c r="Y57" s="3">
        <f t="shared" si="3"/>
        <v>2</v>
      </c>
      <c r="Z57" s="3" t="str">
        <f t="shared" si="4"/>
        <v>Premium</v>
      </c>
      <c r="AA57" s="3">
        <v>2</v>
      </c>
      <c r="AB57" s="3" t="str">
        <f t="shared" si="5"/>
        <v>Average</v>
      </c>
      <c r="AC57" s="3" t="str">
        <f t="shared" si="6"/>
        <v>September</v>
      </c>
      <c r="AD57" s="3" t="str">
        <f t="shared" si="7"/>
        <v>Q3</v>
      </c>
      <c r="AE57" s="3">
        <f t="shared" si="8"/>
        <v>2026</v>
      </c>
      <c r="AF57" s="3" t="str">
        <f t="shared" si="9"/>
        <v>Monday</v>
      </c>
      <c r="AG57" s="3" t="str">
        <f t="shared" si="10"/>
        <v>18-25</v>
      </c>
      <c r="AH57" s="3" t="str">
        <f t="shared" si="11"/>
        <v>Large</v>
      </c>
      <c r="AI57" s="3" t="str">
        <f t="shared" si="12"/>
        <v>Medium</v>
      </c>
      <c r="AJ57" s="3" t="str" cm="1">
        <f t="array" ref="AJ57">_xlfn.IFS(S57&gt;=80000,"VIP",S57&gt;=40000,"Gold",S57&gt;=15000,"Silver",TRUE,"Bronze")</f>
        <v>VIP</v>
      </c>
    </row>
    <row r="58" spans="1:36" x14ac:dyDescent="0.3">
      <c r="A58" s="3" t="s">
        <v>276</v>
      </c>
      <c r="B58" s="15">
        <v>46068</v>
      </c>
      <c r="C58" s="15">
        <v>46074</v>
      </c>
      <c r="D58" s="3" t="s">
        <v>277</v>
      </c>
      <c r="E58" s="3" t="s">
        <v>278</v>
      </c>
      <c r="F58" s="3" t="s">
        <v>52</v>
      </c>
      <c r="G58" s="3">
        <v>47</v>
      </c>
      <c r="H58" s="3" t="s">
        <v>78</v>
      </c>
      <c r="I58" s="3" t="s">
        <v>79</v>
      </c>
      <c r="J58" s="3" t="s">
        <v>80</v>
      </c>
      <c r="K58" s="3" t="s">
        <v>105</v>
      </c>
      <c r="L58" s="3" t="s">
        <v>112</v>
      </c>
      <c r="M58" s="3" t="s">
        <v>113</v>
      </c>
      <c r="N58" s="3" t="s">
        <v>114</v>
      </c>
      <c r="O58" s="3" t="s">
        <v>115</v>
      </c>
      <c r="P58" s="3">
        <v>1</v>
      </c>
      <c r="Q58" s="9">
        <v>3500</v>
      </c>
      <c r="R58" s="6">
        <v>0.15</v>
      </c>
      <c r="S58" s="12">
        <f t="shared" si="0"/>
        <v>2975</v>
      </c>
      <c r="T58" s="12">
        <v>2500</v>
      </c>
      <c r="U58" s="9">
        <f t="shared" si="1"/>
        <v>475</v>
      </c>
      <c r="V58" s="6">
        <f t="shared" si="2"/>
        <v>0.15966386554621848</v>
      </c>
      <c r="W58" s="3" t="s">
        <v>73</v>
      </c>
      <c r="X58" s="3" t="s">
        <v>49</v>
      </c>
      <c r="Y58" s="3">
        <f t="shared" si="3"/>
        <v>6</v>
      </c>
      <c r="Z58" s="3" t="str">
        <f t="shared" si="4"/>
        <v>Regular</v>
      </c>
      <c r="AA58" s="3">
        <v>2</v>
      </c>
      <c r="AB58" s="3" t="str">
        <f t="shared" si="5"/>
        <v>Average</v>
      </c>
      <c r="AC58" s="3" t="str">
        <f t="shared" si="6"/>
        <v>February</v>
      </c>
      <c r="AD58" s="3" t="str">
        <f t="shared" si="7"/>
        <v>Q1</v>
      </c>
      <c r="AE58" s="3">
        <f t="shared" si="8"/>
        <v>2026</v>
      </c>
      <c r="AF58" s="3" t="str">
        <f t="shared" si="9"/>
        <v>Sunday</v>
      </c>
      <c r="AG58" s="3" t="str">
        <f t="shared" si="10"/>
        <v>46+</v>
      </c>
      <c r="AH58" s="3" t="str">
        <f t="shared" si="11"/>
        <v>Small</v>
      </c>
      <c r="AI58" s="3" t="str">
        <f t="shared" si="12"/>
        <v>Medium</v>
      </c>
      <c r="AJ58" s="3" t="str" cm="1">
        <f t="array" ref="AJ58">_xlfn.IFS(S58&gt;=80000,"VIP",S58&gt;=40000,"Gold",S58&gt;=15000,"Silver",TRUE,"Bronze")</f>
        <v>Bronze</v>
      </c>
    </row>
    <row r="59" spans="1:36" x14ac:dyDescent="0.3">
      <c r="A59" s="3" t="s">
        <v>279</v>
      </c>
      <c r="B59" s="15">
        <v>46342</v>
      </c>
      <c r="C59" s="15">
        <v>46346</v>
      </c>
      <c r="D59" s="3" t="s">
        <v>280</v>
      </c>
      <c r="E59" s="3" t="s">
        <v>141</v>
      </c>
      <c r="F59" s="3" t="s">
        <v>39</v>
      </c>
      <c r="G59" s="3">
        <v>29</v>
      </c>
      <c r="H59" s="3" t="s">
        <v>53</v>
      </c>
      <c r="I59" s="3" t="s">
        <v>41</v>
      </c>
      <c r="J59" s="3" t="s">
        <v>42</v>
      </c>
      <c r="K59" s="3" t="s">
        <v>81</v>
      </c>
      <c r="L59" s="3" t="s">
        <v>82</v>
      </c>
      <c r="M59" s="3" t="s">
        <v>45</v>
      </c>
      <c r="N59" s="3" t="s">
        <v>83</v>
      </c>
      <c r="O59" s="3" t="s">
        <v>84</v>
      </c>
      <c r="P59" s="3">
        <v>3</v>
      </c>
      <c r="Q59" s="9">
        <v>42000</v>
      </c>
      <c r="R59" s="6">
        <v>0.08</v>
      </c>
      <c r="S59" s="12">
        <f t="shared" si="0"/>
        <v>115920</v>
      </c>
      <c r="T59" s="12">
        <v>35000</v>
      </c>
      <c r="U59" s="9">
        <f t="shared" si="1"/>
        <v>10920</v>
      </c>
      <c r="V59" s="6">
        <f t="shared" si="2"/>
        <v>9.420289855072464E-2</v>
      </c>
      <c r="W59" s="3" t="s">
        <v>56</v>
      </c>
      <c r="X59" s="3" t="s">
        <v>106</v>
      </c>
      <c r="Y59" s="3">
        <f t="shared" si="3"/>
        <v>4</v>
      </c>
      <c r="Z59" s="3" t="str">
        <f t="shared" si="4"/>
        <v>Premium</v>
      </c>
      <c r="AA59" s="3">
        <v>2</v>
      </c>
      <c r="AB59" s="3" t="str">
        <f t="shared" si="5"/>
        <v>Average</v>
      </c>
      <c r="AC59" s="3" t="str">
        <f t="shared" si="6"/>
        <v>November</v>
      </c>
      <c r="AD59" s="3" t="str">
        <f t="shared" si="7"/>
        <v>Q4</v>
      </c>
      <c r="AE59" s="3">
        <f t="shared" si="8"/>
        <v>2026</v>
      </c>
      <c r="AF59" s="3" t="str">
        <f t="shared" si="9"/>
        <v>Monday</v>
      </c>
      <c r="AG59" s="3" t="str">
        <f t="shared" si="10"/>
        <v>26-35</v>
      </c>
      <c r="AH59" s="3" t="str">
        <f t="shared" si="11"/>
        <v>Large</v>
      </c>
      <c r="AI59" s="3" t="str">
        <f t="shared" si="12"/>
        <v>Medium</v>
      </c>
      <c r="AJ59" s="3" t="str" cm="1">
        <f t="array" ref="AJ59">_xlfn.IFS(S59&gt;=80000,"VIP",S59&gt;=40000,"Gold",S59&gt;=15000,"Silver",TRUE,"Bronze")</f>
        <v>VIP</v>
      </c>
    </row>
    <row r="60" spans="1:36" x14ac:dyDescent="0.3">
      <c r="A60" s="3" t="s">
        <v>281</v>
      </c>
      <c r="B60" s="15">
        <v>46136</v>
      </c>
      <c r="C60" s="15">
        <v>46139</v>
      </c>
      <c r="D60" s="3" t="s">
        <v>282</v>
      </c>
      <c r="E60" s="3" t="s">
        <v>283</v>
      </c>
      <c r="F60" s="3" t="s">
        <v>39</v>
      </c>
      <c r="G60" s="3">
        <v>20</v>
      </c>
      <c r="H60" s="3" t="s">
        <v>68</v>
      </c>
      <c r="I60" s="3" t="s">
        <v>68</v>
      </c>
      <c r="J60" s="3" t="s">
        <v>69</v>
      </c>
      <c r="K60" s="3" t="s">
        <v>54</v>
      </c>
      <c r="L60" s="3" t="s">
        <v>173</v>
      </c>
      <c r="M60" s="3" t="s">
        <v>45</v>
      </c>
      <c r="N60" s="3" t="s">
        <v>46</v>
      </c>
      <c r="O60" s="3" t="s">
        <v>55</v>
      </c>
      <c r="P60" s="3">
        <v>2</v>
      </c>
      <c r="Q60" s="9">
        <v>79900</v>
      </c>
      <c r="R60" s="6">
        <v>0.1</v>
      </c>
      <c r="S60" s="12">
        <f t="shared" si="0"/>
        <v>143820</v>
      </c>
      <c r="T60" s="12">
        <v>65000</v>
      </c>
      <c r="U60" s="9">
        <f t="shared" si="1"/>
        <v>13820</v>
      </c>
      <c r="V60" s="6">
        <f t="shared" si="2"/>
        <v>9.6092337644277576E-2</v>
      </c>
      <c r="W60" s="3" t="s">
        <v>56</v>
      </c>
      <c r="X60" s="3" t="s">
        <v>106</v>
      </c>
      <c r="Y60" s="3">
        <f t="shared" si="3"/>
        <v>3</v>
      </c>
      <c r="Z60" s="3" t="str">
        <f t="shared" si="4"/>
        <v>Premium</v>
      </c>
      <c r="AA60" s="3">
        <v>4</v>
      </c>
      <c r="AB60" s="3" t="str">
        <f t="shared" si="5"/>
        <v>Excellent</v>
      </c>
      <c r="AC60" s="3" t="str">
        <f t="shared" si="6"/>
        <v>April</v>
      </c>
      <c r="AD60" s="3" t="str">
        <f t="shared" si="7"/>
        <v>Q2</v>
      </c>
      <c r="AE60" s="3">
        <f t="shared" si="8"/>
        <v>2026</v>
      </c>
      <c r="AF60" s="3" t="str">
        <f t="shared" si="9"/>
        <v>Friday</v>
      </c>
      <c r="AG60" s="3" t="str">
        <f t="shared" si="10"/>
        <v>18-25</v>
      </c>
      <c r="AH60" s="3" t="str">
        <f t="shared" si="11"/>
        <v>Large</v>
      </c>
      <c r="AI60" s="3" t="str">
        <f t="shared" si="12"/>
        <v>Medium</v>
      </c>
      <c r="AJ60" s="3" t="str" cm="1">
        <f t="array" ref="AJ60">_xlfn.IFS(S60&gt;=80000,"VIP",S60&gt;=40000,"Gold",S60&gt;=15000,"Silver",TRUE,"Bronze")</f>
        <v>VIP</v>
      </c>
    </row>
    <row r="61" spans="1:36" x14ac:dyDescent="0.3">
      <c r="A61" s="3" t="s">
        <v>284</v>
      </c>
      <c r="B61" s="15">
        <v>46114</v>
      </c>
      <c r="C61" s="15">
        <v>46117</v>
      </c>
      <c r="D61" s="3" t="s">
        <v>285</v>
      </c>
      <c r="E61" s="3" t="s">
        <v>286</v>
      </c>
      <c r="F61" s="3" t="s">
        <v>39</v>
      </c>
      <c r="G61" s="3">
        <v>25</v>
      </c>
      <c r="H61" s="3" t="s">
        <v>78</v>
      </c>
      <c r="I61" s="3" t="s">
        <v>79</v>
      </c>
      <c r="J61" s="3" t="s">
        <v>80</v>
      </c>
      <c r="K61" s="3" t="s">
        <v>96</v>
      </c>
      <c r="L61" s="3" t="s">
        <v>166</v>
      </c>
      <c r="M61" s="3" t="s">
        <v>97</v>
      </c>
      <c r="N61" s="3" t="s">
        <v>98</v>
      </c>
      <c r="O61" s="3" t="s">
        <v>99</v>
      </c>
      <c r="P61" s="3">
        <v>1</v>
      </c>
      <c r="Q61" s="9">
        <v>4500</v>
      </c>
      <c r="R61" s="6">
        <v>0.1</v>
      </c>
      <c r="S61" s="12">
        <f t="shared" si="0"/>
        <v>4050</v>
      </c>
      <c r="T61" s="12">
        <v>3000</v>
      </c>
      <c r="U61" s="9">
        <f t="shared" si="1"/>
        <v>1050</v>
      </c>
      <c r="V61" s="6">
        <f t="shared" si="2"/>
        <v>0.25925925925925924</v>
      </c>
      <c r="W61" s="3" t="s">
        <v>92</v>
      </c>
      <c r="X61" s="3" t="s">
        <v>101</v>
      </c>
      <c r="Y61" s="3">
        <f t="shared" si="3"/>
        <v>3</v>
      </c>
      <c r="Z61" s="3" t="str">
        <f t="shared" si="4"/>
        <v>Regular</v>
      </c>
      <c r="AA61" s="3">
        <v>5</v>
      </c>
      <c r="AB61" s="3" t="str">
        <f t="shared" si="5"/>
        <v>Excellent</v>
      </c>
      <c r="AC61" s="3" t="str">
        <f t="shared" si="6"/>
        <v>April</v>
      </c>
      <c r="AD61" s="3" t="str">
        <f t="shared" si="7"/>
        <v>Q2</v>
      </c>
      <c r="AE61" s="3">
        <f t="shared" si="8"/>
        <v>2026</v>
      </c>
      <c r="AF61" s="3" t="str">
        <f t="shared" si="9"/>
        <v>Thursday</v>
      </c>
      <c r="AG61" s="3" t="str">
        <f t="shared" si="10"/>
        <v>18-25</v>
      </c>
      <c r="AH61" s="3" t="str">
        <f t="shared" si="11"/>
        <v>Small</v>
      </c>
      <c r="AI61" s="3" t="str">
        <f t="shared" si="12"/>
        <v>Medium</v>
      </c>
      <c r="AJ61" s="3" t="str" cm="1">
        <f t="array" ref="AJ61">_xlfn.IFS(S61&gt;=80000,"VIP",S61&gt;=40000,"Gold",S61&gt;=15000,"Silver",TRUE,"Bronze")</f>
        <v>Bronze</v>
      </c>
    </row>
    <row r="62" spans="1:36" x14ac:dyDescent="0.3">
      <c r="A62" s="3" t="s">
        <v>287</v>
      </c>
      <c r="B62" s="15">
        <v>46287</v>
      </c>
      <c r="C62" s="15">
        <v>46289</v>
      </c>
      <c r="D62" s="3" t="s">
        <v>288</v>
      </c>
      <c r="E62" s="3" t="s">
        <v>289</v>
      </c>
      <c r="F62" s="3" t="s">
        <v>39</v>
      </c>
      <c r="G62" s="3">
        <v>35</v>
      </c>
      <c r="H62" s="3" t="s">
        <v>68</v>
      </c>
      <c r="I62" s="3" t="s">
        <v>68</v>
      </c>
      <c r="J62" s="3" t="s">
        <v>69</v>
      </c>
      <c r="K62" s="3" t="s">
        <v>54</v>
      </c>
      <c r="L62" s="3" t="s">
        <v>173</v>
      </c>
      <c r="M62" s="3" t="s">
        <v>45</v>
      </c>
      <c r="N62" s="3" t="s">
        <v>46</v>
      </c>
      <c r="O62" s="3" t="s">
        <v>55</v>
      </c>
      <c r="P62" s="3">
        <v>2</v>
      </c>
      <c r="Q62" s="9">
        <v>79900</v>
      </c>
      <c r="R62" s="6">
        <v>0.15</v>
      </c>
      <c r="S62" s="12">
        <f t="shared" si="0"/>
        <v>135830</v>
      </c>
      <c r="T62" s="12">
        <v>65000</v>
      </c>
      <c r="U62" s="9">
        <f t="shared" si="1"/>
        <v>5830</v>
      </c>
      <c r="V62" s="6">
        <f t="shared" si="2"/>
        <v>4.292129868217625E-2</v>
      </c>
      <c r="W62" s="3" t="s">
        <v>48</v>
      </c>
      <c r="X62" s="3" t="s">
        <v>101</v>
      </c>
      <c r="Y62" s="3">
        <f t="shared" si="3"/>
        <v>2</v>
      </c>
      <c r="Z62" s="3" t="str">
        <f t="shared" si="4"/>
        <v>Premium</v>
      </c>
      <c r="AA62" s="3">
        <v>3</v>
      </c>
      <c r="AB62" s="3" t="str">
        <f t="shared" si="5"/>
        <v>Average</v>
      </c>
      <c r="AC62" s="3" t="str">
        <f t="shared" si="6"/>
        <v>September</v>
      </c>
      <c r="AD62" s="3" t="str">
        <f t="shared" si="7"/>
        <v>Q3</v>
      </c>
      <c r="AE62" s="3">
        <f t="shared" si="8"/>
        <v>2026</v>
      </c>
      <c r="AF62" s="3" t="str">
        <f t="shared" si="9"/>
        <v>Tuesday</v>
      </c>
      <c r="AG62" s="3" t="str">
        <f t="shared" si="10"/>
        <v>26-35</v>
      </c>
      <c r="AH62" s="3" t="str">
        <f t="shared" si="11"/>
        <v>Large</v>
      </c>
      <c r="AI62" s="3" t="str">
        <f t="shared" si="12"/>
        <v>Medium</v>
      </c>
      <c r="AJ62" s="3" t="str" cm="1">
        <f t="array" ref="AJ62">_xlfn.IFS(S62&gt;=80000,"VIP",S62&gt;=40000,"Gold",S62&gt;=15000,"Silver",TRUE,"Bronze")</f>
        <v>VIP</v>
      </c>
    </row>
    <row r="63" spans="1:36" x14ac:dyDescent="0.3">
      <c r="A63" s="3" t="s">
        <v>290</v>
      </c>
      <c r="B63" s="15">
        <v>46306</v>
      </c>
      <c r="C63" s="15">
        <v>46310</v>
      </c>
      <c r="D63" s="3" t="s">
        <v>291</v>
      </c>
      <c r="E63" s="3" t="s">
        <v>175</v>
      </c>
      <c r="F63" s="3" t="s">
        <v>52</v>
      </c>
      <c r="G63" s="3">
        <v>31</v>
      </c>
      <c r="H63" s="3" t="s">
        <v>60</v>
      </c>
      <c r="I63" s="3" t="s">
        <v>61</v>
      </c>
      <c r="J63" s="3" t="s">
        <v>42</v>
      </c>
      <c r="K63" s="3" t="s">
        <v>81</v>
      </c>
      <c r="L63" s="3" t="s">
        <v>82</v>
      </c>
      <c r="M63" s="3" t="s">
        <v>45</v>
      </c>
      <c r="N63" s="3" t="s">
        <v>83</v>
      </c>
      <c r="O63" s="3" t="s">
        <v>84</v>
      </c>
      <c r="P63" s="3">
        <v>4</v>
      </c>
      <c r="Q63" s="9">
        <v>42000</v>
      </c>
      <c r="R63" s="6">
        <v>0.12</v>
      </c>
      <c r="S63" s="12">
        <f t="shared" si="0"/>
        <v>147840</v>
      </c>
      <c r="T63" s="12">
        <v>35000</v>
      </c>
      <c r="U63" s="9">
        <f t="shared" si="1"/>
        <v>7840</v>
      </c>
      <c r="V63" s="6">
        <f t="shared" si="2"/>
        <v>5.3030303030303032E-2</v>
      </c>
      <c r="W63" s="3" t="s">
        <v>48</v>
      </c>
      <c r="X63" s="3" t="s">
        <v>74</v>
      </c>
      <c r="Y63" s="3">
        <f t="shared" si="3"/>
        <v>4</v>
      </c>
      <c r="Z63" s="3" t="str">
        <f t="shared" si="4"/>
        <v>Premium</v>
      </c>
      <c r="AA63" s="3">
        <v>3</v>
      </c>
      <c r="AB63" s="3" t="str">
        <f t="shared" si="5"/>
        <v>Average</v>
      </c>
      <c r="AC63" s="3" t="str">
        <f t="shared" si="6"/>
        <v>October</v>
      </c>
      <c r="AD63" s="3" t="str">
        <f t="shared" si="7"/>
        <v>Q4</v>
      </c>
      <c r="AE63" s="3">
        <f t="shared" si="8"/>
        <v>2026</v>
      </c>
      <c r="AF63" s="3" t="str">
        <f t="shared" si="9"/>
        <v>Sunday</v>
      </c>
      <c r="AG63" s="3" t="str">
        <f t="shared" si="10"/>
        <v>26-35</v>
      </c>
      <c r="AH63" s="3" t="str">
        <f t="shared" si="11"/>
        <v>Large</v>
      </c>
      <c r="AI63" s="3" t="str">
        <f t="shared" si="12"/>
        <v>Medium</v>
      </c>
      <c r="AJ63" s="3" t="str" cm="1">
        <f t="array" ref="AJ63">_xlfn.IFS(S63&gt;=80000,"VIP",S63&gt;=40000,"Gold",S63&gt;=15000,"Silver",TRUE,"Bronze")</f>
        <v>VIP</v>
      </c>
    </row>
    <row r="64" spans="1:36" x14ac:dyDescent="0.3">
      <c r="A64" s="3" t="s">
        <v>292</v>
      </c>
      <c r="B64" s="15">
        <v>46359</v>
      </c>
      <c r="C64" s="15">
        <v>46362</v>
      </c>
      <c r="D64" s="3" t="s">
        <v>293</v>
      </c>
      <c r="E64" s="3" t="s">
        <v>294</v>
      </c>
      <c r="F64" s="3" t="s">
        <v>39</v>
      </c>
      <c r="G64" s="3">
        <v>26</v>
      </c>
      <c r="H64" s="3" t="s">
        <v>110</v>
      </c>
      <c r="I64" s="3" t="s">
        <v>111</v>
      </c>
      <c r="J64" s="3" t="s">
        <v>80</v>
      </c>
      <c r="K64" s="3" t="s">
        <v>43</v>
      </c>
      <c r="L64" s="3" t="s">
        <v>44</v>
      </c>
      <c r="M64" s="3" t="s">
        <v>45</v>
      </c>
      <c r="N64" s="3" t="s">
        <v>46</v>
      </c>
      <c r="O64" s="3" t="s">
        <v>47</v>
      </c>
      <c r="P64" s="3">
        <v>3</v>
      </c>
      <c r="Q64" s="9">
        <v>28500</v>
      </c>
      <c r="R64" s="6">
        <v>0.1</v>
      </c>
      <c r="S64" s="12">
        <f t="shared" si="0"/>
        <v>76950</v>
      </c>
      <c r="T64" s="12">
        <v>22000</v>
      </c>
      <c r="U64" s="9">
        <f t="shared" si="1"/>
        <v>10950</v>
      </c>
      <c r="V64" s="6">
        <f t="shared" si="2"/>
        <v>0.14230019493177387</v>
      </c>
      <c r="W64" s="3" t="s">
        <v>65</v>
      </c>
      <c r="X64" s="3" t="s">
        <v>49</v>
      </c>
      <c r="Y64" s="3">
        <f t="shared" si="3"/>
        <v>3</v>
      </c>
      <c r="Z64" s="3" t="str">
        <f t="shared" si="4"/>
        <v>Premium</v>
      </c>
      <c r="AA64" s="3">
        <v>4</v>
      </c>
      <c r="AB64" s="3" t="str">
        <f t="shared" si="5"/>
        <v>Excellent</v>
      </c>
      <c r="AC64" s="3" t="str">
        <f t="shared" si="6"/>
        <v>December</v>
      </c>
      <c r="AD64" s="3" t="str">
        <f t="shared" si="7"/>
        <v>Q4</v>
      </c>
      <c r="AE64" s="3">
        <f t="shared" si="8"/>
        <v>2026</v>
      </c>
      <c r="AF64" s="3" t="str">
        <f t="shared" si="9"/>
        <v>Thursday</v>
      </c>
      <c r="AG64" s="3" t="str">
        <f t="shared" si="10"/>
        <v>26-35</v>
      </c>
      <c r="AH64" s="3" t="str">
        <f t="shared" si="11"/>
        <v>Large</v>
      </c>
      <c r="AI64" s="3" t="str">
        <f t="shared" si="12"/>
        <v>Medium</v>
      </c>
      <c r="AJ64" s="3" t="str" cm="1">
        <f t="array" ref="AJ64">_xlfn.IFS(S64&gt;=80000,"VIP",S64&gt;=40000,"Gold",S64&gt;=15000,"Silver",TRUE,"Bronze")</f>
        <v>Gold</v>
      </c>
    </row>
    <row r="65" spans="1:36" x14ac:dyDescent="0.3">
      <c r="A65" s="3" t="s">
        <v>295</v>
      </c>
      <c r="B65" s="15">
        <v>46202</v>
      </c>
      <c r="C65" s="15">
        <v>46205</v>
      </c>
      <c r="D65" s="3" t="s">
        <v>296</v>
      </c>
      <c r="E65" s="3" t="s">
        <v>297</v>
      </c>
      <c r="F65" s="3" t="s">
        <v>39</v>
      </c>
      <c r="G65" s="3">
        <v>45</v>
      </c>
      <c r="H65" s="3" t="s">
        <v>119</v>
      </c>
      <c r="I65" s="3" t="s">
        <v>120</v>
      </c>
      <c r="J65" s="3" t="s">
        <v>121</v>
      </c>
      <c r="K65" s="3" t="s">
        <v>54</v>
      </c>
      <c r="L65" s="3" t="s">
        <v>173</v>
      </c>
      <c r="M65" s="3" t="s">
        <v>45</v>
      </c>
      <c r="N65" s="3" t="s">
        <v>46</v>
      </c>
      <c r="O65" s="3" t="s">
        <v>55</v>
      </c>
      <c r="P65" s="3">
        <v>5</v>
      </c>
      <c r="Q65" s="9">
        <v>79900</v>
      </c>
      <c r="R65" s="6">
        <v>0.15</v>
      </c>
      <c r="S65" s="12">
        <f t="shared" si="0"/>
        <v>339575</v>
      </c>
      <c r="T65" s="12">
        <v>65000</v>
      </c>
      <c r="U65" s="9">
        <f t="shared" si="1"/>
        <v>14575</v>
      </c>
      <c r="V65" s="6">
        <f t="shared" si="2"/>
        <v>4.292129868217625E-2</v>
      </c>
      <c r="W65" s="3" t="s">
        <v>100</v>
      </c>
      <c r="X65" s="3" t="s">
        <v>101</v>
      </c>
      <c r="Y65" s="3">
        <f t="shared" si="3"/>
        <v>3</v>
      </c>
      <c r="Z65" s="3" t="str">
        <f t="shared" si="4"/>
        <v>Premium</v>
      </c>
      <c r="AA65" s="3">
        <v>3</v>
      </c>
      <c r="AB65" s="3" t="str">
        <f t="shared" si="5"/>
        <v>Average</v>
      </c>
      <c r="AC65" s="3" t="str">
        <f t="shared" si="6"/>
        <v>June</v>
      </c>
      <c r="AD65" s="3" t="str">
        <f t="shared" si="7"/>
        <v>Q2</v>
      </c>
      <c r="AE65" s="3">
        <f t="shared" si="8"/>
        <v>2026</v>
      </c>
      <c r="AF65" s="3" t="str">
        <f t="shared" si="9"/>
        <v>Monday</v>
      </c>
      <c r="AG65" s="3" t="str">
        <f t="shared" si="10"/>
        <v>36-45</v>
      </c>
      <c r="AH65" s="3" t="str">
        <f t="shared" si="11"/>
        <v>Large</v>
      </c>
      <c r="AI65" s="3" t="str">
        <f t="shared" si="12"/>
        <v>Medium</v>
      </c>
      <c r="AJ65" s="3" t="str" cm="1">
        <f t="array" ref="AJ65">_xlfn.IFS(S65&gt;=80000,"VIP",S65&gt;=40000,"Gold",S65&gt;=15000,"Silver",TRUE,"Bronze")</f>
        <v>VIP</v>
      </c>
    </row>
    <row r="66" spans="1:36" x14ac:dyDescent="0.3">
      <c r="A66" s="3" t="s">
        <v>298</v>
      </c>
      <c r="B66" s="15">
        <v>46148</v>
      </c>
      <c r="C66" s="15">
        <v>46151</v>
      </c>
      <c r="D66" s="3" t="s">
        <v>299</v>
      </c>
      <c r="E66" s="3" t="s">
        <v>206</v>
      </c>
      <c r="F66" s="3" t="s">
        <v>52</v>
      </c>
      <c r="G66" s="3">
        <v>24</v>
      </c>
      <c r="H66" s="3" t="s">
        <v>53</v>
      </c>
      <c r="I66" s="3" t="s">
        <v>41</v>
      </c>
      <c r="J66" s="3" t="s">
        <v>42</v>
      </c>
      <c r="K66" s="3" t="s">
        <v>105</v>
      </c>
      <c r="L66" s="3" t="s">
        <v>112</v>
      </c>
      <c r="M66" s="3" t="s">
        <v>113</v>
      </c>
      <c r="N66" s="3" t="s">
        <v>114</v>
      </c>
      <c r="O66" s="3" t="s">
        <v>115</v>
      </c>
      <c r="P66" s="3">
        <v>4</v>
      </c>
      <c r="Q66" s="9">
        <v>3500</v>
      </c>
      <c r="R66" s="6">
        <v>0.08</v>
      </c>
      <c r="S66" s="12">
        <f t="shared" ref="S66:S129" si="13">P66*Q66*(1-R66)</f>
        <v>12880</v>
      </c>
      <c r="T66" s="12">
        <v>2500</v>
      </c>
      <c r="U66" s="9">
        <f t="shared" ref="U66:U129" si="14">S66-(T66*P66)</f>
        <v>2880</v>
      </c>
      <c r="V66" s="6">
        <f t="shared" ref="V66:V129" si="15">U66/S66</f>
        <v>0.2236024844720497</v>
      </c>
      <c r="W66" s="3" t="s">
        <v>73</v>
      </c>
      <c r="X66" s="3" t="s">
        <v>101</v>
      </c>
      <c r="Y66" s="3">
        <f t="shared" ref="Y66:Y129" si="16">C66-B66</f>
        <v>3</v>
      </c>
      <c r="Z66" s="3" t="str">
        <f t="shared" ref="Z66:Z129" si="17">IF(S66&gt;=50000,"Premium","Regular")</f>
        <v>Regular</v>
      </c>
      <c r="AA66" s="3">
        <v>3</v>
      </c>
      <c r="AB66" s="3" t="str">
        <f t="shared" ref="AB66:AB129" si="18">IF(AA66&gt;=4,"Excellent","Average")</f>
        <v>Average</v>
      </c>
      <c r="AC66" s="3" t="str">
        <f t="shared" ref="AC66:AC129" si="19">TEXT(B66,"mmmm")</f>
        <v>May</v>
      </c>
      <c r="AD66" s="3" t="str">
        <f t="shared" ref="AD66:AD129" si="20">"Q"&amp;ROUNDUP(MONTH(B66)/3,0)</f>
        <v>Q2</v>
      </c>
      <c r="AE66" s="3">
        <f t="shared" ref="AE66:AE129" si="21">YEAR(B66)</f>
        <v>2026</v>
      </c>
      <c r="AF66" s="3" t="str">
        <f t="shared" ref="AF66:AF129" si="22">TEXT(B66,"dddd")</f>
        <v>Wednesday</v>
      </c>
      <c r="AG66" s="3" t="str">
        <f t="shared" ref="AG66:AG129" si="23">IF(G66&lt;=25,"18-25",IF(G66&lt;=35,"26-35",IF(G66&lt;=45,"36-45","46+")))</f>
        <v>18-25</v>
      </c>
      <c r="AH66" s="3" t="str">
        <f t="shared" ref="AH66:AH129" si="24">IF(S66&lt;10000,"Small",IF(S66&lt;30000,"Medium","Large"))</f>
        <v>Medium</v>
      </c>
      <c r="AI66" s="3" t="str">
        <f t="shared" ref="AI66:AI129" si="25">IF(R66&lt;=5%,"Low",IF(R66&lt;=15%,"Medium","High"))</f>
        <v>Medium</v>
      </c>
      <c r="AJ66" s="3" t="str" cm="1">
        <f t="array" ref="AJ66">_xlfn.IFS(S66&gt;=80000,"VIP",S66&gt;=40000,"Gold",S66&gt;=15000,"Silver",TRUE,"Bronze")</f>
        <v>Bronze</v>
      </c>
    </row>
    <row r="67" spans="1:36" x14ac:dyDescent="0.3">
      <c r="A67" s="3" t="s">
        <v>300</v>
      </c>
      <c r="B67" s="15">
        <v>46203</v>
      </c>
      <c r="C67" s="15">
        <v>46209</v>
      </c>
      <c r="D67" s="3" t="s">
        <v>301</v>
      </c>
      <c r="E67" s="3" t="s">
        <v>242</v>
      </c>
      <c r="F67" s="3" t="s">
        <v>52</v>
      </c>
      <c r="G67" s="3">
        <v>28</v>
      </c>
      <c r="H67" s="3" t="s">
        <v>40</v>
      </c>
      <c r="I67" s="3" t="s">
        <v>41</v>
      </c>
      <c r="J67" s="3" t="s">
        <v>42</v>
      </c>
      <c r="K67" s="3" t="s">
        <v>62</v>
      </c>
      <c r="L67" s="3" t="s">
        <v>163</v>
      </c>
      <c r="M67" s="3" t="s">
        <v>45</v>
      </c>
      <c r="N67" s="3" t="s">
        <v>63</v>
      </c>
      <c r="O67" s="3" t="s">
        <v>64</v>
      </c>
      <c r="P67" s="3">
        <v>4</v>
      </c>
      <c r="Q67" s="9">
        <v>62000</v>
      </c>
      <c r="R67" s="6">
        <v>0.05</v>
      </c>
      <c r="S67" s="12">
        <f t="shared" si="13"/>
        <v>235600</v>
      </c>
      <c r="T67" s="12">
        <v>52000</v>
      </c>
      <c r="U67" s="9">
        <f t="shared" si="14"/>
        <v>27600</v>
      </c>
      <c r="V67" s="6">
        <f t="shared" si="15"/>
        <v>0.11714770797962648</v>
      </c>
      <c r="W67" s="3" t="s">
        <v>56</v>
      </c>
      <c r="X67" s="3" t="s">
        <v>74</v>
      </c>
      <c r="Y67" s="3">
        <f t="shared" si="16"/>
        <v>6</v>
      </c>
      <c r="Z67" s="3" t="str">
        <f t="shared" si="17"/>
        <v>Premium</v>
      </c>
      <c r="AA67" s="3">
        <v>5</v>
      </c>
      <c r="AB67" s="3" t="str">
        <f t="shared" si="18"/>
        <v>Excellent</v>
      </c>
      <c r="AC67" s="3" t="str">
        <f t="shared" si="19"/>
        <v>June</v>
      </c>
      <c r="AD67" s="3" t="str">
        <f t="shared" si="20"/>
        <v>Q2</v>
      </c>
      <c r="AE67" s="3">
        <f t="shared" si="21"/>
        <v>2026</v>
      </c>
      <c r="AF67" s="3" t="str">
        <f t="shared" si="22"/>
        <v>Tuesday</v>
      </c>
      <c r="AG67" s="3" t="str">
        <f t="shared" si="23"/>
        <v>26-35</v>
      </c>
      <c r="AH67" s="3" t="str">
        <f t="shared" si="24"/>
        <v>Large</v>
      </c>
      <c r="AI67" s="3" t="str">
        <f t="shared" si="25"/>
        <v>Low</v>
      </c>
      <c r="AJ67" s="3" t="str" cm="1">
        <f t="array" ref="AJ67">_xlfn.IFS(S67&gt;=80000,"VIP",S67&gt;=40000,"Gold",S67&gt;=15000,"Silver",TRUE,"Bronze")</f>
        <v>VIP</v>
      </c>
    </row>
    <row r="68" spans="1:36" x14ac:dyDescent="0.3">
      <c r="A68" s="3" t="s">
        <v>302</v>
      </c>
      <c r="B68" s="15">
        <v>46138</v>
      </c>
      <c r="C68" s="15">
        <v>46144</v>
      </c>
      <c r="D68" s="3" t="s">
        <v>303</v>
      </c>
      <c r="E68" s="3" t="s">
        <v>188</v>
      </c>
      <c r="F68" s="3" t="s">
        <v>52</v>
      </c>
      <c r="G68" s="3">
        <v>42</v>
      </c>
      <c r="H68" s="3" t="s">
        <v>40</v>
      </c>
      <c r="I68" s="3" t="s">
        <v>41</v>
      </c>
      <c r="J68" s="3" t="s">
        <v>42</v>
      </c>
      <c r="K68" s="3" t="s">
        <v>105</v>
      </c>
      <c r="L68" s="3" t="s">
        <v>112</v>
      </c>
      <c r="M68" s="3" t="s">
        <v>113</v>
      </c>
      <c r="N68" s="3" t="s">
        <v>114</v>
      </c>
      <c r="O68" s="3" t="s">
        <v>115</v>
      </c>
      <c r="P68" s="3">
        <v>2</v>
      </c>
      <c r="Q68" s="9">
        <v>3500</v>
      </c>
      <c r="R68" s="6">
        <v>0.2</v>
      </c>
      <c r="S68" s="12">
        <f t="shared" si="13"/>
        <v>5600</v>
      </c>
      <c r="T68" s="12">
        <v>2500</v>
      </c>
      <c r="U68" s="9">
        <f t="shared" si="14"/>
        <v>600</v>
      </c>
      <c r="V68" s="6">
        <f t="shared" si="15"/>
        <v>0.10714285714285714</v>
      </c>
      <c r="W68" s="3" t="s">
        <v>92</v>
      </c>
      <c r="X68" s="3" t="s">
        <v>101</v>
      </c>
      <c r="Y68" s="3">
        <f t="shared" si="16"/>
        <v>6</v>
      </c>
      <c r="Z68" s="3" t="str">
        <f t="shared" si="17"/>
        <v>Regular</v>
      </c>
      <c r="AA68" s="3">
        <v>5</v>
      </c>
      <c r="AB68" s="3" t="str">
        <f t="shared" si="18"/>
        <v>Excellent</v>
      </c>
      <c r="AC68" s="3" t="str">
        <f t="shared" si="19"/>
        <v>April</v>
      </c>
      <c r="AD68" s="3" t="str">
        <f t="shared" si="20"/>
        <v>Q2</v>
      </c>
      <c r="AE68" s="3">
        <f t="shared" si="21"/>
        <v>2026</v>
      </c>
      <c r="AF68" s="3" t="str">
        <f t="shared" si="22"/>
        <v>Sunday</v>
      </c>
      <c r="AG68" s="3" t="str">
        <f t="shared" si="23"/>
        <v>36-45</v>
      </c>
      <c r="AH68" s="3" t="str">
        <f t="shared" si="24"/>
        <v>Small</v>
      </c>
      <c r="AI68" s="3" t="str">
        <f t="shared" si="25"/>
        <v>High</v>
      </c>
      <c r="AJ68" s="3" t="str" cm="1">
        <f t="array" ref="AJ68">_xlfn.IFS(S68&gt;=80000,"VIP",S68&gt;=40000,"Gold",S68&gt;=15000,"Silver",TRUE,"Bronze")</f>
        <v>Bronze</v>
      </c>
    </row>
    <row r="69" spans="1:36" x14ac:dyDescent="0.3">
      <c r="A69" s="3" t="s">
        <v>304</v>
      </c>
      <c r="B69" s="15">
        <v>46084</v>
      </c>
      <c r="C69" s="15">
        <v>46089</v>
      </c>
      <c r="D69" s="3" t="s">
        <v>305</v>
      </c>
      <c r="E69" s="3" t="s">
        <v>306</v>
      </c>
      <c r="F69" s="3" t="s">
        <v>52</v>
      </c>
      <c r="G69" s="3">
        <v>30</v>
      </c>
      <c r="H69" s="3" t="s">
        <v>40</v>
      </c>
      <c r="I69" s="3" t="s">
        <v>41</v>
      </c>
      <c r="J69" s="3" t="s">
        <v>42</v>
      </c>
      <c r="K69" s="3" t="s">
        <v>81</v>
      </c>
      <c r="L69" s="3" t="s">
        <v>82</v>
      </c>
      <c r="M69" s="3" t="s">
        <v>45</v>
      </c>
      <c r="N69" s="3" t="s">
        <v>83</v>
      </c>
      <c r="O69" s="3" t="s">
        <v>84</v>
      </c>
      <c r="P69" s="3">
        <v>2</v>
      </c>
      <c r="Q69" s="9">
        <v>42000</v>
      </c>
      <c r="R69" s="6">
        <v>0.2</v>
      </c>
      <c r="S69" s="12">
        <f t="shared" si="13"/>
        <v>67200</v>
      </c>
      <c r="T69" s="12">
        <v>35000</v>
      </c>
      <c r="U69" s="9">
        <f t="shared" si="14"/>
        <v>-2800</v>
      </c>
      <c r="V69" s="6">
        <f t="shared" si="15"/>
        <v>-4.1666666666666664E-2</v>
      </c>
      <c r="W69" s="3" t="s">
        <v>100</v>
      </c>
      <c r="X69" s="3" t="s">
        <v>49</v>
      </c>
      <c r="Y69" s="3">
        <f t="shared" si="16"/>
        <v>5</v>
      </c>
      <c r="Z69" s="3" t="str">
        <f t="shared" si="17"/>
        <v>Premium</v>
      </c>
      <c r="AA69" s="3">
        <v>3</v>
      </c>
      <c r="AB69" s="3" t="str">
        <f t="shared" si="18"/>
        <v>Average</v>
      </c>
      <c r="AC69" s="3" t="str">
        <f t="shared" si="19"/>
        <v>March</v>
      </c>
      <c r="AD69" s="3" t="str">
        <f t="shared" si="20"/>
        <v>Q1</v>
      </c>
      <c r="AE69" s="3">
        <f t="shared" si="21"/>
        <v>2026</v>
      </c>
      <c r="AF69" s="3" t="str">
        <f t="shared" si="22"/>
        <v>Tuesday</v>
      </c>
      <c r="AG69" s="3" t="str">
        <f t="shared" si="23"/>
        <v>26-35</v>
      </c>
      <c r="AH69" s="3" t="str">
        <f t="shared" si="24"/>
        <v>Large</v>
      </c>
      <c r="AI69" s="3" t="str">
        <f t="shared" si="25"/>
        <v>High</v>
      </c>
      <c r="AJ69" s="3" t="str" cm="1">
        <f t="array" ref="AJ69">_xlfn.IFS(S69&gt;=80000,"VIP",S69&gt;=40000,"Gold",S69&gt;=15000,"Silver",TRUE,"Bronze")</f>
        <v>Gold</v>
      </c>
    </row>
    <row r="70" spans="1:36" x14ac:dyDescent="0.3">
      <c r="A70" s="3" t="s">
        <v>307</v>
      </c>
      <c r="B70" s="15">
        <v>46258</v>
      </c>
      <c r="C70" s="15">
        <v>46264</v>
      </c>
      <c r="D70" s="3" t="s">
        <v>308</v>
      </c>
      <c r="E70" s="3" t="s">
        <v>159</v>
      </c>
      <c r="F70" s="3" t="s">
        <v>52</v>
      </c>
      <c r="G70" s="3">
        <v>23</v>
      </c>
      <c r="H70" s="3" t="s">
        <v>119</v>
      </c>
      <c r="I70" s="3" t="s">
        <v>120</v>
      </c>
      <c r="J70" s="3" t="s">
        <v>121</v>
      </c>
      <c r="K70" s="3" t="s">
        <v>96</v>
      </c>
      <c r="L70" s="3" t="s">
        <v>166</v>
      </c>
      <c r="M70" s="3" t="s">
        <v>97</v>
      </c>
      <c r="N70" s="3" t="s">
        <v>98</v>
      </c>
      <c r="O70" s="3" t="s">
        <v>99</v>
      </c>
      <c r="P70" s="3">
        <v>3</v>
      </c>
      <c r="Q70" s="9">
        <v>4500</v>
      </c>
      <c r="R70" s="6">
        <v>0.12</v>
      </c>
      <c r="S70" s="12">
        <f t="shared" si="13"/>
        <v>11880</v>
      </c>
      <c r="T70" s="12">
        <v>3000</v>
      </c>
      <c r="U70" s="9">
        <f t="shared" si="14"/>
        <v>2880</v>
      </c>
      <c r="V70" s="6">
        <f t="shared" si="15"/>
        <v>0.24242424242424243</v>
      </c>
      <c r="W70" s="3" t="s">
        <v>48</v>
      </c>
      <c r="X70" s="3" t="s">
        <v>106</v>
      </c>
      <c r="Y70" s="3">
        <f t="shared" si="16"/>
        <v>6</v>
      </c>
      <c r="Z70" s="3" t="str">
        <f t="shared" si="17"/>
        <v>Regular</v>
      </c>
      <c r="AA70" s="3">
        <v>4</v>
      </c>
      <c r="AB70" s="3" t="str">
        <f t="shared" si="18"/>
        <v>Excellent</v>
      </c>
      <c r="AC70" s="3" t="str">
        <f t="shared" si="19"/>
        <v>August</v>
      </c>
      <c r="AD70" s="3" t="str">
        <f t="shared" si="20"/>
        <v>Q3</v>
      </c>
      <c r="AE70" s="3">
        <f t="shared" si="21"/>
        <v>2026</v>
      </c>
      <c r="AF70" s="3" t="str">
        <f t="shared" si="22"/>
        <v>Monday</v>
      </c>
      <c r="AG70" s="3" t="str">
        <f t="shared" si="23"/>
        <v>18-25</v>
      </c>
      <c r="AH70" s="3" t="str">
        <f t="shared" si="24"/>
        <v>Medium</v>
      </c>
      <c r="AI70" s="3" t="str">
        <f t="shared" si="25"/>
        <v>Medium</v>
      </c>
      <c r="AJ70" s="3" t="str" cm="1">
        <f t="array" ref="AJ70">_xlfn.IFS(S70&gt;=80000,"VIP",S70&gt;=40000,"Gold",S70&gt;=15000,"Silver",TRUE,"Bronze")</f>
        <v>Bronze</v>
      </c>
    </row>
    <row r="71" spans="1:36" x14ac:dyDescent="0.3">
      <c r="A71" s="3" t="s">
        <v>309</v>
      </c>
      <c r="B71" s="15">
        <v>46213</v>
      </c>
      <c r="C71" s="15">
        <v>46218</v>
      </c>
      <c r="D71" s="3" t="s">
        <v>310</v>
      </c>
      <c r="E71" s="3" t="s">
        <v>311</v>
      </c>
      <c r="F71" s="3" t="s">
        <v>39</v>
      </c>
      <c r="G71" s="3">
        <v>35</v>
      </c>
      <c r="H71" s="3" t="s">
        <v>78</v>
      </c>
      <c r="I71" s="3" t="s">
        <v>79</v>
      </c>
      <c r="J71" s="3" t="s">
        <v>80</v>
      </c>
      <c r="K71" s="3" t="s">
        <v>81</v>
      </c>
      <c r="L71" s="3" t="s">
        <v>82</v>
      </c>
      <c r="M71" s="3" t="s">
        <v>45</v>
      </c>
      <c r="N71" s="3" t="s">
        <v>83</v>
      </c>
      <c r="O71" s="3" t="s">
        <v>84</v>
      </c>
      <c r="P71" s="3">
        <v>1</v>
      </c>
      <c r="Q71" s="9">
        <v>42000</v>
      </c>
      <c r="R71" s="6">
        <v>0.1</v>
      </c>
      <c r="S71" s="12">
        <f t="shared" si="13"/>
        <v>37800</v>
      </c>
      <c r="T71" s="12">
        <v>35000</v>
      </c>
      <c r="U71" s="9">
        <f t="shared" si="14"/>
        <v>2800</v>
      </c>
      <c r="V71" s="6">
        <f t="shared" si="15"/>
        <v>7.407407407407407E-2</v>
      </c>
      <c r="W71" s="3" t="s">
        <v>100</v>
      </c>
      <c r="X71" s="3" t="s">
        <v>74</v>
      </c>
      <c r="Y71" s="3">
        <f t="shared" si="16"/>
        <v>5</v>
      </c>
      <c r="Z71" s="3" t="str">
        <f t="shared" si="17"/>
        <v>Regular</v>
      </c>
      <c r="AA71" s="3">
        <v>2</v>
      </c>
      <c r="AB71" s="3" t="str">
        <f t="shared" si="18"/>
        <v>Average</v>
      </c>
      <c r="AC71" s="3" t="str">
        <f t="shared" si="19"/>
        <v>July</v>
      </c>
      <c r="AD71" s="3" t="str">
        <f t="shared" si="20"/>
        <v>Q3</v>
      </c>
      <c r="AE71" s="3">
        <f t="shared" si="21"/>
        <v>2026</v>
      </c>
      <c r="AF71" s="3" t="str">
        <f t="shared" si="22"/>
        <v>Friday</v>
      </c>
      <c r="AG71" s="3" t="str">
        <f t="shared" si="23"/>
        <v>26-35</v>
      </c>
      <c r="AH71" s="3" t="str">
        <f t="shared" si="24"/>
        <v>Large</v>
      </c>
      <c r="AI71" s="3" t="str">
        <f t="shared" si="25"/>
        <v>Medium</v>
      </c>
      <c r="AJ71" s="3" t="str" cm="1">
        <f t="array" ref="AJ71">_xlfn.IFS(S71&gt;=80000,"VIP",S71&gt;=40000,"Gold",S71&gt;=15000,"Silver",TRUE,"Bronze")</f>
        <v>Silver</v>
      </c>
    </row>
    <row r="72" spans="1:36" x14ac:dyDescent="0.3">
      <c r="A72" s="3" t="s">
        <v>312</v>
      </c>
      <c r="B72" s="15">
        <v>46368</v>
      </c>
      <c r="C72" s="15">
        <v>46374</v>
      </c>
      <c r="D72" s="3" t="s">
        <v>313</v>
      </c>
      <c r="E72" s="3" t="s">
        <v>314</v>
      </c>
      <c r="F72" s="3" t="s">
        <v>52</v>
      </c>
      <c r="G72" s="3">
        <v>47</v>
      </c>
      <c r="H72" s="3" t="s">
        <v>68</v>
      </c>
      <c r="I72" s="3" t="s">
        <v>68</v>
      </c>
      <c r="J72" s="3" t="s">
        <v>69</v>
      </c>
      <c r="K72" s="3" t="s">
        <v>105</v>
      </c>
      <c r="L72" s="3" t="s">
        <v>112</v>
      </c>
      <c r="M72" s="3" t="s">
        <v>113</v>
      </c>
      <c r="N72" s="3" t="s">
        <v>114</v>
      </c>
      <c r="O72" s="3" t="s">
        <v>115</v>
      </c>
      <c r="P72" s="3">
        <v>1</v>
      </c>
      <c r="Q72" s="9">
        <v>3500</v>
      </c>
      <c r="R72" s="6">
        <v>0.08</v>
      </c>
      <c r="S72" s="12">
        <f t="shared" si="13"/>
        <v>3220</v>
      </c>
      <c r="T72" s="12">
        <v>2500</v>
      </c>
      <c r="U72" s="9">
        <f t="shared" si="14"/>
        <v>720</v>
      </c>
      <c r="V72" s="6">
        <f t="shared" si="15"/>
        <v>0.2236024844720497</v>
      </c>
      <c r="W72" s="3" t="s">
        <v>65</v>
      </c>
      <c r="X72" s="3" t="s">
        <v>106</v>
      </c>
      <c r="Y72" s="3">
        <f t="shared" si="16"/>
        <v>6</v>
      </c>
      <c r="Z72" s="3" t="str">
        <f t="shared" si="17"/>
        <v>Regular</v>
      </c>
      <c r="AA72" s="3">
        <v>3</v>
      </c>
      <c r="AB72" s="3" t="str">
        <f t="shared" si="18"/>
        <v>Average</v>
      </c>
      <c r="AC72" s="3" t="str">
        <f t="shared" si="19"/>
        <v>December</v>
      </c>
      <c r="AD72" s="3" t="str">
        <f t="shared" si="20"/>
        <v>Q4</v>
      </c>
      <c r="AE72" s="3">
        <f t="shared" si="21"/>
        <v>2026</v>
      </c>
      <c r="AF72" s="3" t="str">
        <f t="shared" si="22"/>
        <v>Saturday</v>
      </c>
      <c r="AG72" s="3" t="str">
        <f t="shared" si="23"/>
        <v>46+</v>
      </c>
      <c r="AH72" s="3" t="str">
        <f t="shared" si="24"/>
        <v>Small</v>
      </c>
      <c r="AI72" s="3" t="str">
        <f t="shared" si="25"/>
        <v>Medium</v>
      </c>
      <c r="AJ72" s="3" t="str" cm="1">
        <f t="array" ref="AJ72">_xlfn.IFS(S72&gt;=80000,"VIP",S72&gt;=40000,"Gold",S72&gt;=15000,"Silver",TRUE,"Bronze")</f>
        <v>Bronze</v>
      </c>
    </row>
    <row r="73" spans="1:36" x14ac:dyDescent="0.3">
      <c r="A73" s="3" t="s">
        <v>315</v>
      </c>
      <c r="B73" s="15">
        <v>46232</v>
      </c>
      <c r="C73" s="15">
        <v>46235</v>
      </c>
      <c r="D73" s="3" t="s">
        <v>316</v>
      </c>
      <c r="E73" s="3" t="s">
        <v>317</v>
      </c>
      <c r="F73" s="3" t="s">
        <v>39</v>
      </c>
      <c r="G73" s="3">
        <v>49</v>
      </c>
      <c r="H73" s="3" t="s">
        <v>40</v>
      </c>
      <c r="I73" s="3" t="s">
        <v>41</v>
      </c>
      <c r="J73" s="3" t="s">
        <v>42</v>
      </c>
      <c r="K73" s="3" t="s">
        <v>90</v>
      </c>
      <c r="L73" s="3" t="s">
        <v>122</v>
      </c>
      <c r="M73" s="3" t="s">
        <v>45</v>
      </c>
      <c r="N73" s="3" t="s">
        <v>91</v>
      </c>
      <c r="O73" s="3" t="s">
        <v>123</v>
      </c>
      <c r="P73" s="3">
        <v>5</v>
      </c>
      <c r="Q73" s="9">
        <v>2500</v>
      </c>
      <c r="R73" s="6">
        <v>0.08</v>
      </c>
      <c r="S73" s="12">
        <f t="shared" si="13"/>
        <v>11500</v>
      </c>
      <c r="T73" s="12">
        <v>1700</v>
      </c>
      <c r="U73" s="9">
        <f t="shared" si="14"/>
        <v>3000</v>
      </c>
      <c r="V73" s="6">
        <f t="shared" si="15"/>
        <v>0.2608695652173913</v>
      </c>
      <c r="W73" s="3" t="s">
        <v>73</v>
      </c>
      <c r="X73" s="3" t="s">
        <v>49</v>
      </c>
      <c r="Y73" s="3">
        <f t="shared" si="16"/>
        <v>3</v>
      </c>
      <c r="Z73" s="3" t="str">
        <f t="shared" si="17"/>
        <v>Regular</v>
      </c>
      <c r="AA73" s="3">
        <v>2</v>
      </c>
      <c r="AB73" s="3" t="str">
        <f t="shared" si="18"/>
        <v>Average</v>
      </c>
      <c r="AC73" s="3" t="str">
        <f t="shared" si="19"/>
        <v>July</v>
      </c>
      <c r="AD73" s="3" t="str">
        <f t="shared" si="20"/>
        <v>Q3</v>
      </c>
      <c r="AE73" s="3">
        <f t="shared" si="21"/>
        <v>2026</v>
      </c>
      <c r="AF73" s="3" t="str">
        <f t="shared" si="22"/>
        <v>Wednesday</v>
      </c>
      <c r="AG73" s="3" t="str">
        <f t="shared" si="23"/>
        <v>46+</v>
      </c>
      <c r="AH73" s="3" t="str">
        <f t="shared" si="24"/>
        <v>Medium</v>
      </c>
      <c r="AI73" s="3" t="str">
        <f t="shared" si="25"/>
        <v>Medium</v>
      </c>
      <c r="AJ73" s="3" t="str" cm="1">
        <f t="array" ref="AJ73">_xlfn.IFS(S73&gt;=80000,"VIP",S73&gt;=40000,"Gold",S73&gt;=15000,"Silver",TRUE,"Bronze")</f>
        <v>Bronze</v>
      </c>
    </row>
    <row r="74" spans="1:36" x14ac:dyDescent="0.3">
      <c r="A74" s="3" t="s">
        <v>318</v>
      </c>
      <c r="B74" s="15">
        <v>46290</v>
      </c>
      <c r="C74" s="15">
        <v>46296</v>
      </c>
      <c r="D74" s="3" t="s">
        <v>319</v>
      </c>
      <c r="E74" s="3" t="s">
        <v>320</v>
      </c>
      <c r="F74" s="3" t="s">
        <v>39</v>
      </c>
      <c r="G74" s="3">
        <v>40</v>
      </c>
      <c r="H74" s="3" t="s">
        <v>119</v>
      </c>
      <c r="I74" s="3" t="s">
        <v>120</v>
      </c>
      <c r="J74" s="3" t="s">
        <v>121</v>
      </c>
      <c r="K74" s="3" t="s">
        <v>81</v>
      </c>
      <c r="L74" s="3" t="s">
        <v>82</v>
      </c>
      <c r="M74" s="3" t="s">
        <v>45</v>
      </c>
      <c r="N74" s="3" t="s">
        <v>83</v>
      </c>
      <c r="O74" s="3" t="s">
        <v>84</v>
      </c>
      <c r="P74" s="3">
        <v>3</v>
      </c>
      <c r="Q74" s="9">
        <v>42000</v>
      </c>
      <c r="R74" s="6">
        <v>0.15</v>
      </c>
      <c r="S74" s="12">
        <f t="shared" si="13"/>
        <v>107100</v>
      </c>
      <c r="T74" s="12">
        <v>35000</v>
      </c>
      <c r="U74" s="9">
        <f t="shared" si="14"/>
        <v>2100</v>
      </c>
      <c r="V74" s="6">
        <f t="shared" si="15"/>
        <v>1.9607843137254902E-2</v>
      </c>
      <c r="W74" s="3" t="s">
        <v>65</v>
      </c>
      <c r="X74" s="3" t="s">
        <v>106</v>
      </c>
      <c r="Y74" s="3">
        <f t="shared" si="16"/>
        <v>6</v>
      </c>
      <c r="Z74" s="3" t="str">
        <f t="shared" si="17"/>
        <v>Premium</v>
      </c>
      <c r="AA74" s="3">
        <v>2</v>
      </c>
      <c r="AB74" s="3" t="str">
        <f t="shared" si="18"/>
        <v>Average</v>
      </c>
      <c r="AC74" s="3" t="str">
        <f t="shared" si="19"/>
        <v>September</v>
      </c>
      <c r="AD74" s="3" t="str">
        <f t="shared" si="20"/>
        <v>Q3</v>
      </c>
      <c r="AE74" s="3">
        <f t="shared" si="21"/>
        <v>2026</v>
      </c>
      <c r="AF74" s="3" t="str">
        <f t="shared" si="22"/>
        <v>Friday</v>
      </c>
      <c r="AG74" s="3" t="str">
        <f t="shared" si="23"/>
        <v>36-45</v>
      </c>
      <c r="AH74" s="3" t="str">
        <f t="shared" si="24"/>
        <v>Large</v>
      </c>
      <c r="AI74" s="3" t="str">
        <f t="shared" si="25"/>
        <v>Medium</v>
      </c>
      <c r="AJ74" s="3" t="str" cm="1">
        <f t="array" ref="AJ74">_xlfn.IFS(S74&gt;=80000,"VIP",S74&gt;=40000,"Gold",S74&gt;=15000,"Silver",TRUE,"Bronze")</f>
        <v>VIP</v>
      </c>
    </row>
    <row r="75" spans="1:36" x14ac:dyDescent="0.3">
      <c r="A75" s="3" t="s">
        <v>321</v>
      </c>
      <c r="B75" s="15">
        <v>46029</v>
      </c>
      <c r="C75" s="15">
        <v>46035</v>
      </c>
      <c r="D75" s="3" t="s">
        <v>322</v>
      </c>
      <c r="E75" s="3" t="s">
        <v>209</v>
      </c>
      <c r="F75" s="3" t="s">
        <v>39</v>
      </c>
      <c r="G75" s="3">
        <v>31</v>
      </c>
      <c r="H75" s="3" t="s">
        <v>40</v>
      </c>
      <c r="I75" s="3" t="s">
        <v>41</v>
      </c>
      <c r="J75" s="3" t="s">
        <v>42</v>
      </c>
      <c r="K75" s="3" t="s">
        <v>105</v>
      </c>
      <c r="L75" s="3" t="s">
        <v>112</v>
      </c>
      <c r="M75" s="3" t="s">
        <v>113</v>
      </c>
      <c r="N75" s="3" t="s">
        <v>114</v>
      </c>
      <c r="O75" s="3" t="s">
        <v>115</v>
      </c>
      <c r="P75" s="3">
        <v>5</v>
      </c>
      <c r="Q75" s="9">
        <v>3500</v>
      </c>
      <c r="R75" s="6">
        <v>0.12</v>
      </c>
      <c r="S75" s="12">
        <f t="shared" si="13"/>
        <v>15400</v>
      </c>
      <c r="T75" s="12">
        <v>2500</v>
      </c>
      <c r="U75" s="9">
        <f t="shared" si="14"/>
        <v>2900</v>
      </c>
      <c r="V75" s="6">
        <f t="shared" si="15"/>
        <v>0.18831168831168832</v>
      </c>
      <c r="W75" s="3" t="s">
        <v>65</v>
      </c>
      <c r="X75" s="3" t="s">
        <v>49</v>
      </c>
      <c r="Y75" s="3">
        <f t="shared" si="16"/>
        <v>6</v>
      </c>
      <c r="Z75" s="3" t="str">
        <f t="shared" si="17"/>
        <v>Regular</v>
      </c>
      <c r="AA75" s="3">
        <v>4</v>
      </c>
      <c r="AB75" s="3" t="str">
        <f t="shared" si="18"/>
        <v>Excellent</v>
      </c>
      <c r="AC75" s="3" t="str">
        <f t="shared" si="19"/>
        <v>January</v>
      </c>
      <c r="AD75" s="3" t="str">
        <f t="shared" si="20"/>
        <v>Q1</v>
      </c>
      <c r="AE75" s="3">
        <f t="shared" si="21"/>
        <v>2026</v>
      </c>
      <c r="AF75" s="3" t="str">
        <f t="shared" si="22"/>
        <v>Wednesday</v>
      </c>
      <c r="AG75" s="3" t="str">
        <f t="shared" si="23"/>
        <v>26-35</v>
      </c>
      <c r="AH75" s="3" t="str">
        <f t="shared" si="24"/>
        <v>Medium</v>
      </c>
      <c r="AI75" s="3" t="str">
        <f t="shared" si="25"/>
        <v>Medium</v>
      </c>
      <c r="AJ75" s="3" t="str" cm="1">
        <f t="array" ref="AJ75">_xlfn.IFS(S75&gt;=80000,"VIP",S75&gt;=40000,"Gold",S75&gt;=15000,"Silver",TRUE,"Bronze")</f>
        <v>Silver</v>
      </c>
    </row>
    <row r="76" spans="1:36" x14ac:dyDescent="0.3">
      <c r="A76" s="3" t="s">
        <v>323</v>
      </c>
      <c r="B76" s="15">
        <v>46386</v>
      </c>
      <c r="C76" s="15">
        <v>46390</v>
      </c>
      <c r="D76" s="3" t="s">
        <v>324</v>
      </c>
      <c r="E76" s="3" t="s">
        <v>325</v>
      </c>
      <c r="F76" s="3" t="s">
        <v>52</v>
      </c>
      <c r="G76" s="3">
        <v>47</v>
      </c>
      <c r="H76" s="3" t="s">
        <v>40</v>
      </c>
      <c r="I76" s="3" t="s">
        <v>41</v>
      </c>
      <c r="J76" s="3" t="s">
        <v>42</v>
      </c>
      <c r="K76" s="3" t="s">
        <v>90</v>
      </c>
      <c r="L76" s="3" t="s">
        <v>122</v>
      </c>
      <c r="M76" s="3" t="s">
        <v>45</v>
      </c>
      <c r="N76" s="3" t="s">
        <v>91</v>
      </c>
      <c r="O76" s="3" t="s">
        <v>123</v>
      </c>
      <c r="P76" s="3">
        <v>3</v>
      </c>
      <c r="Q76" s="9">
        <v>2500</v>
      </c>
      <c r="R76" s="6">
        <v>0.2</v>
      </c>
      <c r="S76" s="12">
        <f t="shared" si="13"/>
        <v>6000</v>
      </c>
      <c r="T76" s="12">
        <v>1700</v>
      </c>
      <c r="U76" s="9">
        <f t="shared" si="14"/>
        <v>900</v>
      </c>
      <c r="V76" s="6">
        <f t="shared" si="15"/>
        <v>0.15</v>
      </c>
      <c r="W76" s="3" t="s">
        <v>56</v>
      </c>
      <c r="X76" s="3" t="s">
        <v>49</v>
      </c>
      <c r="Y76" s="3">
        <f t="shared" si="16"/>
        <v>4</v>
      </c>
      <c r="Z76" s="3" t="str">
        <f t="shared" si="17"/>
        <v>Regular</v>
      </c>
      <c r="AA76" s="3">
        <v>5</v>
      </c>
      <c r="AB76" s="3" t="str">
        <f t="shared" si="18"/>
        <v>Excellent</v>
      </c>
      <c r="AC76" s="3" t="str">
        <f t="shared" si="19"/>
        <v>December</v>
      </c>
      <c r="AD76" s="3" t="str">
        <f t="shared" si="20"/>
        <v>Q4</v>
      </c>
      <c r="AE76" s="3">
        <f t="shared" si="21"/>
        <v>2026</v>
      </c>
      <c r="AF76" s="3" t="str">
        <f t="shared" si="22"/>
        <v>Wednesday</v>
      </c>
      <c r="AG76" s="3" t="str">
        <f t="shared" si="23"/>
        <v>46+</v>
      </c>
      <c r="AH76" s="3" t="str">
        <f t="shared" si="24"/>
        <v>Small</v>
      </c>
      <c r="AI76" s="3" t="str">
        <f t="shared" si="25"/>
        <v>High</v>
      </c>
      <c r="AJ76" s="3" t="str" cm="1">
        <f t="array" ref="AJ76">_xlfn.IFS(S76&gt;=80000,"VIP",S76&gt;=40000,"Gold",S76&gt;=15000,"Silver",TRUE,"Bronze")</f>
        <v>Bronze</v>
      </c>
    </row>
    <row r="77" spans="1:36" x14ac:dyDescent="0.3">
      <c r="A77" s="3" t="s">
        <v>326</v>
      </c>
      <c r="B77" s="15">
        <v>46170</v>
      </c>
      <c r="C77" s="15">
        <v>46173</v>
      </c>
      <c r="D77" s="3" t="s">
        <v>327</v>
      </c>
      <c r="E77" s="3" t="s">
        <v>242</v>
      </c>
      <c r="F77" s="3" t="s">
        <v>39</v>
      </c>
      <c r="G77" s="3">
        <v>37</v>
      </c>
      <c r="H77" s="3" t="s">
        <v>78</v>
      </c>
      <c r="I77" s="3" t="s">
        <v>79</v>
      </c>
      <c r="J77" s="3" t="s">
        <v>80</v>
      </c>
      <c r="K77" s="3" t="s">
        <v>105</v>
      </c>
      <c r="L77" s="3" t="s">
        <v>112</v>
      </c>
      <c r="M77" s="3" t="s">
        <v>113</v>
      </c>
      <c r="N77" s="3" t="s">
        <v>114</v>
      </c>
      <c r="O77" s="3" t="s">
        <v>115</v>
      </c>
      <c r="P77" s="3">
        <v>3</v>
      </c>
      <c r="Q77" s="9">
        <v>3500</v>
      </c>
      <c r="R77" s="6">
        <v>0.2</v>
      </c>
      <c r="S77" s="12">
        <f t="shared" si="13"/>
        <v>8400</v>
      </c>
      <c r="T77" s="12">
        <v>2500</v>
      </c>
      <c r="U77" s="9">
        <f t="shared" si="14"/>
        <v>900</v>
      </c>
      <c r="V77" s="6">
        <f t="shared" si="15"/>
        <v>0.10714285714285714</v>
      </c>
      <c r="W77" s="3" t="s">
        <v>73</v>
      </c>
      <c r="X77" s="3" t="s">
        <v>74</v>
      </c>
      <c r="Y77" s="3">
        <f t="shared" si="16"/>
        <v>3</v>
      </c>
      <c r="Z77" s="3" t="str">
        <f t="shared" si="17"/>
        <v>Regular</v>
      </c>
      <c r="AA77" s="3">
        <v>2</v>
      </c>
      <c r="AB77" s="3" t="str">
        <f t="shared" si="18"/>
        <v>Average</v>
      </c>
      <c r="AC77" s="3" t="str">
        <f t="shared" si="19"/>
        <v>May</v>
      </c>
      <c r="AD77" s="3" t="str">
        <f t="shared" si="20"/>
        <v>Q2</v>
      </c>
      <c r="AE77" s="3">
        <f t="shared" si="21"/>
        <v>2026</v>
      </c>
      <c r="AF77" s="3" t="str">
        <f t="shared" si="22"/>
        <v>Thursday</v>
      </c>
      <c r="AG77" s="3" t="str">
        <f t="shared" si="23"/>
        <v>36-45</v>
      </c>
      <c r="AH77" s="3" t="str">
        <f t="shared" si="24"/>
        <v>Small</v>
      </c>
      <c r="AI77" s="3" t="str">
        <f t="shared" si="25"/>
        <v>High</v>
      </c>
      <c r="AJ77" s="3" t="str" cm="1">
        <f t="array" ref="AJ77">_xlfn.IFS(S77&gt;=80000,"VIP",S77&gt;=40000,"Gold",S77&gt;=15000,"Silver",TRUE,"Bronze")</f>
        <v>Bronze</v>
      </c>
    </row>
    <row r="78" spans="1:36" x14ac:dyDescent="0.3">
      <c r="A78" s="3" t="s">
        <v>328</v>
      </c>
      <c r="B78" s="15">
        <v>46035</v>
      </c>
      <c r="C78" s="15">
        <v>46040</v>
      </c>
      <c r="D78" s="3" t="s">
        <v>329</v>
      </c>
      <c r="E78" s="3" t="s">
        <v>330</v>
      </c>
      <c r="F78" s="3" t="s">
        <v>52</v>
      </c>
      <c r="G78" s="3">
        <v>22</v>
      </c>
      <c r="H78" s="3" t="s">
        <v>119</v>
      </c>
      <c r="I78" s="3" t="s">
        <v>120</v>
      </c>
      <c r="J78" s="3" t="s">
        <v>121</v>
      </c>
      <c r="K78" s="3" t="s">
        <v>62</v>
      </c>
      <c r="L78" s="3" t="s">
        <v>163</v>
      </c>
      <c r="M78" s="3" t="s">
        <v>45</v>
      </c>
      <c r="N78" s="3" t="s">
        <v>63</v>
      </c>
      <c r="O78" s="3" t="s">
        <v>64</v>
      </c>
      <c r="P78" s="3">
        <v>5</v>
      </c>
      <c r="Q78" s="9">
        <v>62000</v>
      </c>
      <c r="R78" s="6">
        <v>0.2</v>
      </c>
      <c r="S78" s="12">
        <f t="shared" si="13"/>
        <v>248000</v>
      </c>
      <c r="T78" s="12">
        <v>52000</v>
      </c>
      <c r="U78" s="9">
        <f t="shared" si="14"/>
        <v>-12000</v>
      </c>
      <c r="V78" s="6">
        <f t="shared" si="15"/>
        <v>-4.8387096774193547E-2</v>
      </c>
      <c r="W78" s="3" t="s">
        <v>56</v>
      </c>
      <c r="X78" s="3" t="s">
        <v>49</v>
      </c>
      <c r="Y78" s="3">
        <f t="shared" si="16"/>
        <v>5</v>
      </c>
      <c r="Z78" s="3" t="str">
        <f t="shared" si="17"/>
        <v>Premium</v>
      </c>
      <c r="AA78" s="3">
        <v>2</v>
      </c>
      <c r="AB78" s="3" t="str">
        <f t="shared" si="18"/>
        <v>Average</v>
      </c>
      <c r="AC78" s="3" t="str">
        <f t="shared" si="19"/>
        <v>January</v>
      </c>
      <c r="AD78" s="3" t="str">
        <f t="shared" si="20"/>
        <v>Q1</v>
      </c>
      <c r="AE78" s="3">
        <f t="shared" si="21"/>
        <v>2026</v>
      </c>
      <c r="AF78" s="3" t="str">
        <f t="shared" si="22"/>
        <v>Tuesday</v>
      </c>
      <c r="AG78" s="3" t="str">
        <f t="shared" si="23"/>
        <v>18-25</v>
      </c>
      <c r="AH78" s="3" t="str">
        <f t="shared" si="24"/>
        <v>Large</v>
      </c>
      <c r="AI78" s="3" t="str">
        <f t="shared" si="25"/>
        <v>High</v>
      </c>
      <c r="AJ78" s="3" t="str" cm="1">
        <f t="array" ref="AJ78">_xlfn.IFS(S78&gt;=80000,"VIP",S78&gt;=40000,"Gold",S78&gt;=15000,"Silver",TRUE,"Bronze")</f>
        <v>VIP</v>
      </c>
    </row>
    <row r="79" spans="1:36" x14ac:dyDescent="0.3">
      <c r="A79" s="3" t="s">
        <v>331</v>
      </c>
      <c r="B79" s="15">
        <v>46346</v>
      </c>
      <c r="C79" s="15">
        <v>46349</v>
      </c>
      <c r="D79" s="3" t="s">
        <v>332</v>
      </c>
      <c r="E79" s="3" t="s">
        <v>333</v>
      </c>
      <c r="F79" s="3" t="s">
        <v>52</v>
      </c>
      <c r="G79" s="3">
        <v>32</v>
      </c>
      <c r="H79" s="3" t="s">
        <v>40</v>
      </c>
      <c r="I79" s="3" t="s">
        <v>41</v>
      </c>
      <c r="J79" s="3" t="s">
        <v>42</v>
      </c>
      <c r="K79" s="3" t="s">
        <v>105</v>
      </c>
      <c r="L79" s="3" t="s">
        <v>112</v>
      </c>
      <c r="M79" s="3" t="s">
        <v>113</v>
      </c>
      <c r="N79" s="3" t="s">
        <v>114</v>
      </c>
      <c r="O79" s="3" t="s">
        <v>115</v>
      </c>
      <c r="P79" s="3">
        <v>2</v>
      </c>
      <c r="Q79" s="9">
        <v>3500</v>
      </c>
      <c r="R79" s="6">
        <v>0.1</v>
      </c>
      <c r="S79" s="12">
        <f t="shared" si="13"/>
        <v>6300</v>
      </c>
      <c r="T79" s="12">
        <v>2500</v>
      </c>
      <c r="U79" s="9">
        <f t="shared" si="14"/>
        <v>1300</v>
      </c>
      <c r="V79" s="6">
        <f t="shared" si="15"/>
        <v>0.20634920634920634</v>
      </c>
      <c r="W79" s="3" t="s">
        <v>48</v>
      </c>
      <c r="X79" s="3" t="s">
        <v>74</v>
      </c>
      <c r="Y79" s="3">
        <f t="shared" si="16"/>
        <v>3</v>
      </c>
      <c r="Z79" s="3" t="str">
        <f t="shared" si="17"/>
        <v>Regular</v>
      </c>
      <c r="AA79" s="3">
        <v>2</v>
      </c>
      <c r="AB79" s="3" t="str">
        <f t="shared" si="18"/>
        <v>Average</v>
      </c>
      <c r="AC79" s="3" t="str">
        <f t="shared" si="19"/>
        <v>November</v>
      </c>
      <c r="AD79" s="3" t="str">
        <f t="shared" si="20"/>
        <v>Q4</v>
      </c>
      <c r="AE79" s="3">
        <f t="shared" si="21"/>
        <v>2026</v>
      </c>
      <c r="AF79" s="3" t="str">
        <f t="shared" si="22"/>
        <v>Friday</v>
      </c>
      <c r="AG79" s="3" t="str">
        <f t="shared" si="23"/>
        <v>26-35</v>
      </c>
      <c r="AH79" s="3" t="str">
        <f t="shared" si="24"/>
        <v>Small</v>
      </c>
      <c r="AI79" s="3" t="str">
        <f t="shared" si="25"/>
        <v>Medium</v>
      </c>
      <c r="AJ79" s="3" t="str" cm="1">
        <f t="array" ref="AJ79">_xlfn.IFS(S79&gt;=80000,"VIP",S79&gt;=40000,"Gold",S79&gt;=15000,"Silver",TRUE,"Bronze")</f>
        <v>Bronze</v>
      </c>
    </row>
    <row r="80" spans="1:36" x14ac:dyDescent="0.3">
      <c r="A80" s="3" t="s">
        <v>334</v>
      </c>
      <c r="B80" s="15">
        <v>46035</v>
      </c>
      <c r="C80" s="15">
        <v>46038</v>
      </c>
      <c r="D80" s="3" t="s">
        <v>335</v>
      </c>
      <c r="E80" s="3" t="s">
        <v>266</v>
      </c>
      <c r="F80" s="3" t="s">
        <v>52</v>
      </c>
      <c r="G80" s="3">
        <v>47</v>
      </c>
      <c r="H80" s="3" t="s">
        <v>88</v>
      </c>
      <c r="I80" s="3" t="s">
        <v>89</v>
      </c>
      <c r="J80" s="3" t="s">
        <v>80</v>
      </c>
      <c r="K80" s="3" t="s">
        <v>81</v>
      </c>
      <c r="L80" s="3" t="s">
        <v>82</v>
      </c>
      <c r="M80" s="3" t="s">
        <v>45</v>
      </c>
      <c r="N80" s="3" t="s">
        <v>83</v>
      </c>
      <c r="O80" s="3" t="s">
        <v>84</v>
      </c>
      <c r="P80" s="3">
        <v>1</v>
      </c>
      <c r="Q80" s="9">
        <v>42000</v>
      </c>
      <c r="R80" s="6">
        <v>0.2</v>
      </c>
      <c r="S80" s="12">
        <f t="shared" si="13"/>
        <v>33600</v>
      </c>
      <c r="T80" s="12">
        <v>35000</v>
      </c>
      <c r="U80" s="9">
        <f t="shared" si="14"/>
        <v>-1400</v>
      </c>
      <c r="V80" s="6">
        <f t="shared" si="15"/>
        <v>-4.1666666666666664E-2</v>
      </c>
      <c r="W80" s="3" t="s">
        <v>48</v>
      </c>
      <c r="X80" s="3" t="s">
        <v>106</v>
      </c>
      <c r="Y80" s="3">
        <f t="shared" si="16"/>
        <v>3</v>
      </c>
      <c r="Z80" s="3" t="str">
        <f t="shared" si="17"/>
        <v>Regular</v>
      </c>
      <c r="AA80" s="3">
        <v>5</v>
      </c>
      <c r="AB80" s="3" t="str">
        <f t="shared" si="18"/>
        <v>Excellent</v>
      </c>
      <c r="AC80" s="3" t="str">
        <f t="shared" si="19"/>
        <v>January</v>
      </c>
      <c r="AD80" s="3" t="str">
        <f t="shared" si="20"/>
        <v>Q1</v>
      </c>
      <c r="AE80" s="3">
        <f t="shared" si="21"/>
        <v>2026</v>
      </c>
      <c r="AF80" s="3" t="str">
        <f t="shared" si="22"/>
        <v>Tuesday</v>
      </c>
      <c r="AG80" s="3" t="str">
        <f t="shared" si="23"/>
        <v>46+</v>
      </c>
      <c r="AH80" s="3" t="str">
        <f t="shared" si="24"/>
        <v>Large</v>
      </c>
      <c r="AI80" s="3" t="str">
        <f t="shared" si="25"/>
        <v>High</v>
      </c>
      <c r="AJ80" s="3" t="str" cm="1">
        <f t="array" ref="AJ80">_xlfn.IFS(S80&gt;=80000,"VIP",S80&gt;=40000,"Gold",S80&gt;=15000,"Silver",TRUE,"Bronze")</f>
        <v>Silver</v>
      </c>
    </row>
    <row r="81" spans="1:36" x14ac:dyDescent="0.3">
      <c r="A81" s="3" t="s">
        <v>336</v>
      </c>
      <c r="B81" s="15">
        <v>46120</v>
      </c>
      <c r="C81" s="15">
        <v>46122</v>
      </c>
      <c r="D81" s="3" t="s">
        <v>337</v>
      </c>
      <c r="E81" s="3" t="s">
        <v>338</v>
      </c>
      <c r="F81" s="3" t="s">
        <v>39</v>
      </c>
      <c r="G81" s="3">
        <v>37</v>
      </c>
      <c r="H81" s="3" t="s">
        <v>110</v>
      </c>
      <c r="I81" s="3" t="s">
        <v>111</v>
      </c>
      <c r="J81" s="3" t="s">
        <v>80</v>
      </c>
      <c r="K81" s="3" t="s">
        <v>90</v>
      </c>
      <c r="L81" s="3" t="s">
        <v>122</v>
      </c>
      <c r="M81" s="3" t="s">
        <v>45</v>
      </c>
      <c r="N81" s="3" t="s">
        <v>91</v>
      </c>
      <c r="O81" s="3" t="s">
        <v>123</v>
      </c>
      <c r="P81" s="3">
        <v>4</v>
      </c>
      <c r="Q81" s="9">
        <v>2500</v>
      </c>
      <c r="R81" s="6">
        <v>0.15</v>
      </c>
      <c r="S81" s="12">
        <f t="shared" si="13"/>
        <v>8500</v>
      </c>
      <c r="T81" s="12">
        <v>1700</v>
      </c>
      <c r="U81" s="9">
        <f t="shared" si="14"/>
        <v>1700</v>
      </c>
      <c r="V81" s="6">
        <f t="shared" si="15"/>
        <v>0.2</v>
      </c>
      <c r="W81" s="3" t="s">
        <v>73</v>
      </c>
      <c r="X81" s="3" t="s">
        <v>101</v>
      </c>
      <c r="Y81" s="3">
        <f t="shared" si="16"/>
        <v>2</v>
      </c>
      <c r="Z81" s="3" t="str">
        <f t="shared" si="17"/>
        <v>Regular</v>
      </c>
      <c r="AA81" s="3">
        <v>3</v>
      </c>
      <c r="AB81" s="3" t="str">
        <f t="shared" si="18"/>
        <v>Average</v>
      </c>
      <c r="AC81" s="3" t="str">
        <f t="shared" si="19"/>
        <v>April</v>
      </c>
      <c r="AD81" s="3" t="str">
        <f t="shared" si="20"/>
        <v>Q2</v>
      </c>
      <c r="AE81" s="3">
        <f t="shared" si="21"/>
        <v>2026</v>
      </c>
      <c r="AF81" s="3" t="str">
        <f t="shared" si="22"/>
        <v>Wednesday</v>
      </c>
      <c r="AG81" s="3" t="str">
        <f t="shared" si="23"/>
        <v>36-45</v>
      </c>
      <c r="AH81" s="3" t="str">
        <f t="shared" si="24"/>
        <v>Small</v>
      </c>
      <c r="AI81" s="3" t="str">
        <f t="shared" si="25"/>
        <v>Medium</v>
      </c>
      <c r="AJ81" s="3" t="str" cm="1">
        <f t="array" ref="AJ81">_xlfn.IFS(S81&gt;=80000,"VIP",S81&gt;=40000,"Gold",S81&gt;=15000,"Silver",TRUE,"Bronze")</f>
        <v>Bronze</v>
      </c>
    </row>
    <row r="82" spans="1:36" x14ac:dyDescent="0.3">
      <c r="A82" s="3" t="s">
        <v>339</v>
      </c>
      <c r="B82" s="15">
        <v>46292</v>
      </c>
      <c r="C82" s="15">
        <v>46295</v>
      </c>
      <c r="D82" s="3" t="s">
        <v>340</v>
      </c>
      <c r="E82" s="3" t="s">
        <v>341</v>
      </c>
      <c r="F82" s="3" t="s">
        <v>52</v>
      </c>
      <c r="G82" s="3">
        <v>28</v>
      </c>
      <c r="H82" s="3" t="s">
        <v>110</v>
      </c>
      <c r="I82" s="3" t="s">
        <v>111</v>
      </c>
      <c r="J82" s="3" t="s">
        <v>80</v>
      </c>
      <c r="K82" s="3" t="s">
        <v>43</v>
      </c>
      <c r="L82" s="3" t="s">
        <v>44</v>
      </c>
      <c r="M82" s="3" t="s">
        <v>45</v>
      </c>
      <c r="N82" s="3" t="s">
        <v>46</v>
      </c>
      <c r="O82" s="3" t="s">
        <v>47</v>
      </c>
      <c r="P82" s="3">
        <v>2</v>
      </c>
      <c r="Q82" s="9">
        <v>28500</v>
      </c>
      <c r="R82" s="6">
        <v>0.12</v>
      </c>
      <c r="S82" s="12">
        <f t="shared" si="13"/>
        <v>50160</v>
      </c>
      <c r="T82" s="12">
        <v>22000</v>
      </c>
      <c r="U82" s="9">
        <f t="shared" si="14"/>
        <v>6160</v>
      </c>
      <c r="V82" s="6">
        <f t="shared" si="15"/>
        <v>0.12280701754385964</v>
      </c>
      <c r="W82" s="3" t="s">
        <v>92</v>
      </c>
      <c r="X82" s="3" t="s">
        <v>106</v>
      </c>
      <c r="Y82" s="3">
        <f t="shared" si="16"/>
        <v>3</v>
      </c>
      <c r="Z82" s="3" t="str">
        <f t="shared" si="17"/>
        <v>Premium</v>
      </c>
      <c r="AA82" s="3">
        <v>3</v>
      </c>
      <c r="AB82" s="3" t="str">
        <f t="shared" si="18"/>
        <v>Average</v>
      </c>
      <c r="AC82" s="3" t="str">
        <f t="shared" si="19"/>
        <v>September</v>
      </c>
      <c r="AD82" s="3" t="str">
        <f t="shared" si="20"/>
        <v>Q3</v>
      </c>
      <c r="AE82" s="3">
        <f t="shared" si="21"/>
        <v>2026</v>
      </c>
      <c r="AF82" s="3" t="str">
        <f t="shared" si="22"/>
        <v>Sunday</v>
      </c>
      <c r="AG82" s="3" t="str">
        <f t="shared" si="23"/>
        <v>26-35</v>
      </c>
      <c r="AH82" s="3" t="str">
        <f t="shared" si="24"/>
        <v>Large</v>
      </c>
      <c r="AI82" s="3" t="str">
        <f t="shared" si="25"/>
        <v>Medium</v>
      </c>
      <c r="AJ82" s="3" t="str" cm="1">
        <f t="array" ref="AJ82">_xlfn.IFS(S82&gt;=80000,"VIP",S82&gt;=40000,"Gold",S82&gt;=15000,"Silver",TRUE,"Bronze")</f>
        <v>Gold</v>
      </c>
    </row>
    <row r="83" spans="1:36" x14ac:dyDescent="0.3">
      <c r="A83" s="3" t="s">
        <v>342</v>
      </c>
      <c r="B83" s="15">
        <v>46041</v>
      </c>
      <c r="C83" s="15">
        <v>46043</v>
      </c>
      <c r="D83" s="3" t="s">
        <v>343</v>
      </c>
      <c r="E83" s="3" t="s">
        <v>344</v>
      </c>
      <c r="F83" s="3" t="s">
        <v>39</v>
      </c>
      <c r="G83" s="3">
        <v>31</v>
      </c>
      <c r="H83" s="3" t="s">
        <v>40</v>
      </c>
      <c r="I83" s="3" t="s">
        <v>41</v>
      </c>
      <c r="J83" s="3" t="s">
        <v>42</v>
      </c>
      <c r="K83" s="3" t="s">
        <v>90</v>
      </c>
      <c r="L83" s="3" t="s">
        <v>122</v>
      </c>
      <c r="M83" s="3" t="s">
        <v>45</v>
      </c>
      <c r="N83" s="3" t="s">
        <v>91</v>
      </c>
      <c r="O83" s="3" t="s">
        <v>123</v>
      </c>
      <c r="P83" s="3">
        <v>5</v>
      </c>
      <c r="Q83" s="9">
        <v>2500</v>
      </c>
      <c r="R83" s="6">
        <v>0.05</v>
      </c>
      <c r="S83" s="12">
        <f t="shared" si="13"/>
        <v>11875</v>
      </c>
      <c r="T83" s="12">
        <v>1700</v>
      </c>
      <c r="U83" s="9">
        <f t="shared" si="14"/>
        <v>3375</v>
      </c>
      <c r="V83" s="6">
        <f t="shared" si="15"/>
        <v>0.28421052631578947</v>
      </c>
      <c r="W83" s="3" t="s">
        <v>100</v>
      </c>
      <c r="X83" s="3" t="s">
        <v>101</v>
      </c>
      <c r="Y83" s="3">
        <f t="shared" si="16"/>
        <v>2</v>
      </c>
      <c r="Z83" s="3" t="str">
        <f t="shared" si="17"/>
        <v>Regular</v>
      </c>
      <c r="AA83" s="3">
        <v>5</v>
      </c>
      <c r="AB83" s="3" t="str">
        <f t="shared" si="18"/>
        <v>Excellent</v>
      </c>
      <c r="AC83" s="3" t="str">
        <f t="shared" si="19"/>
        <v>January</v>
      </c>
      <c r="AD83" s="3" t="str">
        <f t="shared" si="20"/>
        <v>Q1</v>
      </c>
      <c r="AE83" s="3">
        <f t="shared" si="21"/>
        <v>2026</v>
      </c>
      <c r="AF83" s="3" t="str">
        <f t="shared" si="22"/>
        <v>Monday</v>
      </c>
      <c r="AG83" s="3" t="str">
        <f t="shared" si="23"/>
        <v>26-35</v>
      </c>
      <c r="AH83" s="3" t="str">
        <f t="shared" si="24"/>
        <v>Medium</v>
      </c>
      <c r="AI83" s="3" t="str">
        <f t="shared" si="25"/>
        <v>Low</v>
      </c>
      <c r="AJ83" s="3" t="str" cm="1">
        <f t="array" ref="AJ83">_xlfn.IFS(S83&gt;=80000,"VIP",S83&gt;=40000,"Gold",S83&gt;=15000,"Silver",TRUE,"Bronze")</f>
        <v>Bronze</v>
      </c>
    </row>
    <row r="84" spans="1:36" x14ac:dyDescent="0.3">
      <c r="A84" s="3" t="s">
        <v>345</v>
      </c>
      <c r="B84" s="15">
        <v>46062</v>
      </c>
      <c r="C84" s="15">
        <v>46066</v>
      </c>
      <c r="D84" s="3" t="s">
        <v>346</v>
      </c>
      <c r="E84" s="3" t="s">
        <v>347</v>
      </c>
      <c r="F84" s="3" t="s">
        <v>39</v>
      </c>
      <c r="G84" s="3">
        <v>22</v>
      </c>
      <c r="H84" s="3" t="s">
        <v>110</v>
      </c>
      <c r="I84" s="3" t="s">
        <v>111</v>
      </c>
      <c r="J84" s="3" t="s">
        <v>80</v>
      </c>
      <c r="K84" s="3" t="s">
        <v>62</v>
      </c>
      <c r="L84" s="3" t="s">
        <v>163</v>
      </c>
      <c r="M84" s="3" t="s">
        <v>45</v>
      </c>
      <c r="N84" s="3" t="s">
        <v>63</v>
      </c>
      <c r="O84" s="3" t="s">
        <v>64</v>
      </c>
      <c r="P84" s="3">
        <v>1</v>
      </c>
      <c r="Q84" s="9">
        <v>62000</v>
      </c>
      <c r="R84" s="6">
        <v>0.05</v>
      </c>
      <c r="S84" s="12">
        <f t="shared" si="13"/>
        <v>58900</v>
      </c>
      <c r="T84" s="12">
        <v>52000</v>
      </c>
      <c r="U84" s="9">
        <f t="shared" si="14"/>
        <v>6900</v>
      </c>
      <c r="V84" s="6">
        <f t="shared" si="15"/>
        <v>0.11714770797962648</v>
      </c>
      <c r="W84" s="3" t="s">
        <v>100</v>
      </c>
      <c r="X84" s="3" t="s">
        <v>49</v>
      </c>
      <c r="Y84" s="3">
        <f t="shared" si="16"/>
        <v>4</v>
      </c>
      <c r="Z84" s="3" t="str">
        <f t="shared" si="17"/>
        <v>Premium</v>
      </c>
      <c r="AA84" s="3">
        <v>4</v>
      </c>
      <c r="AB84" s="3" t="str">
        <f t="shared" si="18"/>
        <v>Excellent</v>
      </c>
      <c r="AC84" s="3" t="str">
        <f t="shared" si="19"/>
        <v>February</v>
      </c>
      <c r="AD84" s="3" t="str">
        <f t="shared" si="20"/>
        <v>Q1</v>
      </c>
      <c r="AE84" s="3">
        <f t="shared" si="21"/>
        <v>2026</v>
      </c>
      <c r="AF84" s="3" t="str">
        <f t="shared" si="22"/>
        <v>Monday</v>
      </c>
      <c r="AG84" s="3" t="str">
        <f t="shared" si="23"/>
        <v>18-25</v>
      </c>
      <c r="AH84" s="3" t="str">
        <f t="shared" si="24"/>
        <v>Large</v>
      </c>
      <c r="AI84" s="3" t="str">
        <f t="shared" si="25"/>
        <v>Low</v>
      </c>
      <c r="AJ84" s="3" t="str" cm="1">
        <f t="array" ref="AJ84">_xlfn.IFS(S84&gt;=80000,"VIP",S84&gt;=40000,"Gold",S84&gt;=15000,"Silver",TRUE,"Bronze")</f>
        <v>Gold</v>
      </c>
    </row>
    <row r="85" spans="1:36" x14ac:dyDescent="0.3">
      <c r="A85" s="3" t="s">
        <v>348</v>
      </c>
      <c r="B85" s="15">
        <v>46169</v>
      </c>
      <c r="C85" s="15">
        <v>46172</v>
      </c>
      <c r="D85" s="3" t="s">
        <v>349</v>
      </c>
      <c r="E85" s="3" t="s">
        <v>350</v>
      </c>
      <c r="F85" s="3" t="s">
        <v>39</v>
      </c>
      <c r="G85" s="3">
        <v>23</v>
      </c>
      <c r="H85" s="3" t="s">
        <v>78</v>
      </c>
      <c r="I85" s="3" t="s">
        <v>79</v>
      </c>
      <c r="J85" s="3" t="s">
        <v>80</v>
      </c>
      <c r="K85" s="3" t="s">
        <v>62</v>
      </c>
      <c r="L85" s="3" t="s">
        <v>163</v>
      </c>
      <c r="M85" s="3" t="s">
        <v>45</v>
      </c>
      <c r="N85" s="3" t="s">
        <v>63</v>
      </c>
      <c r="O85" s="3" t="s">
        <v>64</v>
      </c>
      <c r="P85" s="3">
        <v>3</v>
      </c>
      <c r="Q85" s="9">
        <v>62000</v>
      </c>
      <c r="R85" s="6">
        <v>0.2</v>
      </c>
      <c r="S85" s="12">
        <f t="shared" si="13"/>
        <v>148800</v>
      </c>
      <c r="T85" s="12">
        <v>52000</v>
      </c>
      <c r="U85" s="9">
        <f t="shared" si="14"/>
        <v>-7200</v>
      </c>
      <c r="V85" s="6">
        <f t="shared" si="15"/>
        <v>-4.8387096774193547E-2</v>
      </c>
      <c r="W85" s="3" t="s">
        <v>73</v>
      </c>
      <c r="X85" s="3" t="s">
        <v>74</v>
      </c>
      <c r="Y85" s="3">
        <f t="shared" si="16"/>
        <v>3</v>
      </c>
      <c r="Z85" s="3" t="str">
        <f t="shared" si="17"/>
        <v>Premium</v>
      </c>
      <c r="AA85" s="3">
        <v>3</v>
      </c>
      <c r="AB85" s="3" t="str">
        <f t="shared" si="18"/>
        <v>Average</v>
      </c>
      <c r="AC85" s="3" t="str">
        <f t="shared" si="19"/>
        <v>May</v>
      </c>
      <c r="AD85" s="3" t="str">
        <f t="shared" si="20"/>
        <v>Q2</v>
      </c>
      <c r="AE85" s="3">
        <f t="shared" si="21"/>
        <v>2026</v>
      </c>
      <c r="AF85" s="3" t="str">
        <f t="shared" si="22"/>
        <v>Wednesday</v>
      </c>
      <c r="AG85" s="3" t="str">
        <f t="shared" si="23"/>
        <v>18-25</v>
      </c>
      <c r="AH85" s="3" t="str">
        <f t="shared" si="24"/>
        <v>Large</v>
      </c>
      <c r="AI85" s="3" t="str">
        <f t="shared" si="25"/>
        <v>High</v>
      </c>
      <c r="AJ85" s="3" t="str" cm="1">
        <f t="array" ref="AJ85">_xlfn.IFS(S85&gt;=80000,"VIP",S85&gt;=40000,"Gold",S85&gt;=15000,"Silver",TRUE,"Bronze")</f>
        <v>VIP</v>
      </c>
    </row>
    <row r="86" spans="1:36" x14ac:dyDescent="0.3">
      <c r="A86" s="3" t="s">
        <v>351</v>
      </c>
      <c r="B86" s="15">
        <v>46301</v>
      </c>
      <c r="C86" s="15">
        <v>46306</v>
      </c>
      <c r="D86" s="3" t="s">
        <v>352</v>
      </c>
      <c r="E86" s="3" t="s">
        <v>353</v>
      </c>
      <c r="F86" s="3" t="s">
        <v>52</v>
      </c>
      <c r="G86" s="3">
        <v>41</v>
      </c>
      <c r="H86" s="3" t="s">
        <v>40</v>
      </c>
      <c r="I86" s="3" t="s">
        <v>41</v>
      </c>
      <c r="J86" s="3" t="s">
        <v>42</v>
      </c>
      <c r="K86" s="3" t="s">
        <v>62</v>
      </c>
      <c r="L86" s="3" t="s">
        <v>163</v>
      </c>
      <c r="M86" s="3" t="s">
        <v>45</v>
      </c>
      <c r="N86" s="3" t="s">
        <v>63</v>
      </c>
      <c r="O86" s="3" t="s">
        <v>64</v>
      </c>
      <c r="P86" s="3">
        <v>3</v>
      </c>
      <c r="Q86" s="9">
        <v>62000</v>
      </c>
      <c r="R86" s="6">
        <v>0.2</v>
      </c>
      <c r="S86" s="12">
        <f t="shared" si="13"/>
        <v>148800</v>
      </c>
      <c r="T86" s="12">
        <v>52000</v>
      </c>
      <c r="U86" s="9">
        <f t="shared" si="14"/>
        <v>-7200</v>
      </c>
      <c r="V86" s="6">
        <f t="shared" si="15"/>
        <v>-4.8387096774193547E-2</v>
      </c>
      <c r="W86" s="3" t="s">
        <v>100</v>
      </c>
      <c r="X86" s="3" t="s">
        <v>106</v>
      </c>
      <c r="Y86" s="3">
        <f t="shared" si="16"/>
        <v>5</v>
      </c>
      <c r="Z86" s="3" t="str">
        <f t="shared" si="17"/>
        <v>Premium</v>
      </c>
      <c r="AA86" s="3">
        <v>4</v>
      </c>
      <c r="AB86" s="3" t="str">
        <f t="shared" si="18"/>
        <v>Excellent</v>
      </c>
      <c r="AC86" s="3" t="str">
        <f t="shared" si="19"/>
        <v>October</v>
      </c>
      <c r="AD86" s="3" t="str">
        <f t="shared" si="20"/>
        <v>Q4</v>
      </c>
      <c r="AE86" s="3">
        <f t="shared" si="21"/>
        <v>2026</v>
      </c>
      <c r="AF86" s="3" t="str">
        <f t="shared" si="22"/>
        <v>Tuesday</v>
      </c>
      <c r="AG86" s="3" t="str">
        <f t="shared" si="23"/>
        <v>36-45</v>
      </c>
      <c r="AH86" s="3" t="str">
        <f t="shared" si="24"/>
        <v>Large</v>
      </c>
      <c r="AI86" s="3" t="str">
        <f t="shared" si="25"/>
        <v>High</v>
      </c>
      <c r="AJ86" s="3" t="str" cm="1">
        <f t="array" ref="AJ86">_xlfn.IFS(S86&gt;=80000,"VIP",S86&gt;=40000,"Gold",S86&gt;=15000,"Silver",TRUE,"Bronze")</f>
        <v>VIP</v>
      </c>
    </row>
    <row r="87" spans="1:36" x14ac:dyDescent="0.3">
      <c r="A87" s="3" t="s">
        <v>354</v>
      </c>
      <c r="B87" s="15">
        <v>46286</v>
      </c>
      <c r="C87" s="15">
        <v>46292</v>
      </c>
      <c r="D87" s="3" t="s">
        <v>355</v>
      </c>
      <c r="E87" s="3" t="s">
        <v>356</v>
      </c>
      <c r="F87" s="3" t="s">
        <v>39</v>
      </c>
      <c r="G87" s="3">
        <v>33</v>
      </c>
      <c r="H87" s="3" t="s">
        <v>110</v>
      </c>
      <c r="I87" s="3" t="s">
        <v>111</v>
      </c>
      <c r="J87" s="3" t="s">
        <v>80</v>
      </c>
      <c r="K87" s="3" t="s">
        <v>43</v>
      </c>
      <c r="L87" s="3" t="s">
        <v>44</v>
      </c>
      <c r="M87" s="3" t="s">
        <v>45</v>
      </c>
      <c r="N87" s="3" t="s">
        <v>46</v>
      </c>
      <c r="O87" s="3" t="s">
        <v>47</v>
      </c>
      <c r="P87" s="3">
        <v>4</v>
      </c>
      <c r="Q87" s="9">
        <v>28500</v>
      </c>
      <c r="R87" s="6">
        <v>0.1</v>
      </c>
      <c r="S87" s="12">
        <f t="shared" si="13"/>
        <v>102600</v>
      </c>
      <c r="T87" s="12">
        <v>22000</v>
      </c>
      <c r="U87" s="9">
        <f t="shared" si="14"/>
        <v>14600</v>
      </c>
      <c r="V87" s="6">
        <f t="shared" si="15"/>
        <v>0.14230019493177387</v>
      </c>
      <c r="W87" s="3" t="s">
        <v>48</v>
      </c>
      <c r="X87" s="3" t="s">
        <v>101</v>
      </c>
      <c r="Y87" s="3">
        <f t="shared" si="16"/>
        <v>6</v>
      </c>
      <c r="Z87" s="3" t="str">
        <f t="shared" si="17"/>
        <v>Premium</v>
      </c>
      <c r="AA87" s="3">
        <v>2</v>
      </c>
      <c r="AB87" s="3" t="str">
        <f t="shared" si="18"/>
        <v>Average</v>
      </c>
      <c r="AC87" s="3" t="str">
        <f t="shared" si="19"/>
        <v>September</v>
      </c>
      <c r="AD87" s="3" t="str">
        <f t="shared" si="20"/>
        <v>Q3</v>
      </c>
      <c r="AE87" s="3">
        <f t="shared" si="21"/>
        <v>2026</v>
      </c>
      <c r="AF87" s="3" t="str">
        <f t="shared" si="22"/>
        <v>Monday</v>
      </c>
      <c r="AG87" s="3" t="str">
        <f t="shared" si="23"/>
        <v>26-35</v>
      </c>
      <c r="AH87" s="3" t="str">
        <f t="shared" si="24"/>
        <v>Large</v>
      </c>
      <c r="AI87" s="3" t="str">
        <f t="shared" si="25"/>
        <v>Medium</v>
      </c>
      <c r="AJ87" s="3" t="str" cm="1">
        <f t="array" ref="AJ87">_xlfn.IFS(S87&gt;=80000,"VIP",S87&gt;=40000,"Gold",S87&gt;=15000,"Silver",TRUE,"Bronze")</f>
        <v>VIP</v>
      </c>
    </row>
    <row r="88" spans="1:36" x14ac:dyDescent="0.3">
      <c r="A88" s="3" t="s">
        <v>357</v>
      </c>
      <c r="B88" s="15">
        <v>46371</v>
      </c>
      <c r="C88" s="15">
        <v>46376</v>
      </c>
      <c r="D88" s="3" t="s">
        <v>358</v>
      </c>
      <c r="E88" s="3" t="s">
        <v>359</v>
      </c>
      <c r="F88" s="3" t="s">
        <v>39</v>
      </c>
      <c r="G88" s="3">
        <v>33</v>
      </c>
      <c r="H88" s="3" t="s">
        <v>40</v>
      </c>
      <c r="I88" s="3" t="s">
        <v>41</v>
      </c>
      <c r="J88" s="3" t="s">
        <v>42</v>
      </c>
      <c r="K88" s="3" t="s">
        <v>43</v>
      </c>
      <c r="L88" s="3" t="s">
        <v>44</v>
      </c>
      <c r="M88" s="3" t="s">
        <v>45</v>
      </c>
      <c r="N88" s="3" t="s">
        <v>46</v>
      </c>
      <c r="O88" s="3" t="s">
        <v>47</v>
      </c>
      <c r="P88" s="3">
        <v>5</v>
      </c>
      <c r="Q88" s="9">
        <v>28500</v>
      </c>
      <c r="R88" s="6">
        <v>0.05</v>
      </c>
      <c r="S88" s="12">
        <f t="shared" si="13"/>
        <v>135375</v>
      </c>
      <c r="T88" s="12">
        <v>22000</v>
      </c>
      <c r="U88" s="9">
        <f t="shared" si="14"/>
        <v>25375</v>
      </c>
      <c r="V88" s="6">
        <f t="shared" si="15"/>
        <v>0.18744228993536471</v>
      </c>
      <c r="W88" s="3" t="s">
        <v>48</v>
      </c>
      <c r="X88" s="3" t="s">
        <v>49</v>
      </c>
      <c r="Y88" s="3">
        <f t="shared" si="16"/>
        <v>5</v>
      </c>
      <c r="Z88" s="3" t="str">
        <f t="shared" si="17"/>
        <v>Premium</v>
      </c>
      <c r="AA88" s="3">
        <v>3</v>
      </c>
      <c r="AB88" s="3" t="str">
        <f t="shared" si="18"/>
        <v>Average</v>
      </c>
      <c r="AC88" s="3" t="str">
        <f t="shared" si="19"/>
        <v>December</v>
      </c>
      <c r="AD88" s="3" t="str">
        <f t="shared" si="20"/>
        <v>Q4</v>
      </c>
      <c r="AE88" s="3">
        <f t="shared" si="21"/>
        <v>2026</v>
      </c>
      <c r="AF88" s="3" t="str">
        <f t="shared" si="22"/>
        <v>Tuesday</v>
      </c>
      <c r="AG88" s="3" t="str">
        <f t="shared" si="23"/>
        <v>26-35</v>
      </c>
      <c r="AH88" s="3" t="str">
        <f t="shared" si="24"/>
        <v>Large</v>
      </c>
      <c r="AI88" s="3" t="str">
        <f t="shared" si="25"/>
        <v>Low</v>
      </c>
      <c r="AJ88" s="3" t="str" cm="1">
        <f t="array" ref="AJ88">_xlfn.IFS(S88&gt;=80000,"VIP",S88&gt;=40000,"Gold",S88&gt;=15000,"Silver",TRUE,"Bronze")</f>
        <v>VIP</v>
      </c>
    </row>
    <row r="89" spans="1:36" x14ac:dyDescent="0.3">
      <c r="A89" s="3" t="s">
        <v>360</v>
      </c>
      <c r="B89" s="15">
        <v>46337</v>
      </c>
      <c r="C89" s="15">
        <v>46343</v>
      </c>
      <c r="D89" s="3" t="s">
        <v>361</v>
      </c>
      <c r="E89" s="3" t="s">
        <v>362</v>
      </c>
      <c r="F89" s="3" t="s">
        <v>39</v>
      </c>
      <c r="G89" s="3">
        <v>50</v>
      </c>
      <c r="H89" s="3" t="s">
        <v>60</v>
      </c>
      <c r="I89" s="3" t="s">
        <v>61</v>
      </c>
      <c r="J89" s="3" t="s">
        <v>42</v>
      </c>
      <c r="K89" s="3" t="s">
        <v>81</v>
      </c>
      <c r="L89" s="3" t="s">
        <v>82</v>
      </c>
      <c r="M89" s="3" t="s">
        <v>45</v>
      </c>
      <c r="N89" s="3" t="s">
        <v>83</v>
      </c>
      <c r="O89" s="3" t="s">
        <v>84</v>
      </c>
      <c r="P89" s="3">
        <v>3</v>
      </c>
      <c r="Q89" s="9">
        <v>42000</v>
      </c>
      <c r="R89" s="6">
        <v>0.2</v>
      </c>
      <c r="S89" s="12">
        <f t="shared" si="13"/>
        <v>100800</v>
      </c>
      <c r="T89" s="12">
        <v>35000</v>
      </c>
      <c r="U89" s="9">
        <f t="shared" si="14"/>
        <v>-4200</v>
      </c>
      <c r="V89" s="6">
        <f t="shared" si="15"/>
        <v>-4.1666666666666664E-2</v>
      </c>
      <c r="W89" s="3" t="s">
        <v>92</v>
      </c>
      <c r="X89" s="3" t="s">
        <v>106</v>
      </c>
      <c r="Y89" s="3">
        <f t="shared" si="16"/>
        <v>6</v>
      </c>
      <c r="Z89" s="3" t="str">
        <f t="shared" si="17"/>
        <v>Premium</v>
      </c>
      <c r="AA89" s="3">
        <v>3</v>
      </c>
      <c r="AB89" s="3" t="str">
        <f t="shared" si="18"/>
        <v>Average</v>
      </c>
      <c r="AC89" s="3" t="str">
        <f t="shared" si="19"/>
        <v>November</v>
      </c>
      <c r="AD89" s="3" t="str">
        <f t="shared" si="20"/>
        <v>Q4</v>
      </c>
      <c r="AE89" s="3">
        <f t="shared" si="21"/>
        <v>2026</v>
      </c>
      <c r="AF89" s="3" t="str">
        <f t="shared" si="22"/>
        <v>Wednesday</v>
      </c>
      <c r="AG89" s="3" t="str">
        <f t="shared" si="23"/>
        <v>46+</v>
      </c>
      <c r="AH89" s="3" t="str">
        <f t="shared" si="24"/>
        <v>Large</v>
      </c>
      <c r="AI89" s="3" t="str">
        <f t="shared" si="25"/>
        <v>High</v>
      </c>
      <c r="AJ89" s="3" t="str" cm="1">
        <f t="array" ref="AJ89">_xlfn.IFS(S89&gt;=80000,"VIP",S89&gt;=40000,"Gold",S89&gt;=15000,"Silver",TRUE,"Bronze")</f>
        <v>VIP</v>
      </c>
    </row>
    <row r="90" spans="1:36" x14ac:dyDescent="0.3">
      <c r="A90" s="3" t="s">
        <v>363</v>
      </c>
      <c r="B90" s="15">
        <v>46375</v>
      </c>
      <c r="C90" s="15">
        <v>46379</v>
      </c>
      <c r="D90" s="3" t="s">
        <v>364</v>
      </c>
      <c r="E90" s="3" t="s">
        <v>365</v>
      </c>
      <c r="F90" s="3" t="s">
        <v>52</v>
      </c>
      <c r="G90" s="3">
        <v>44</v>
      </c>
      <c r="H90" s="3" t="s">
        <v>78</v>
      </c>
      <c r="I90" s="3" t="s">
        <v>79</v>
      </c>
      <c r="J90" s="3" t="s">
        <v>80</v>
      </c>
      <c r="K90" s="3" t="s">
        <v>54</v>
      </c>
      <c r="L90" s="3" t="s">
        <v>173</v>
      </c>
      <c r="M90" s="3" t="s">
        <v>45</v>
      </c>
      <c r="N90" s="3" t="s">
        <v>46</v>
      </c>
      <c r="O90" s="3" t="s">
        <v>55</v>
      </c>
      <c r="P90" s="3">
        <v>1</v>
      </c>
      <c r="Q90" s="9">
        <v>79900</v>
      </c>
      <c r="R90" s="6">
        <v>0.12</v>
      </c>
      <c r="S90" s="12">
        <f t="shared" si="13"/>
        <v>70312</v>
      </c>
      <c r="T90" s="12">
        <v>65000</v>
      </c>
      <c r="U90" s="9">
        <f t="shared" si="14"/>
        <v>5312</v>
      </c>
      <c r="V90" s="6">
        <f t="shared" si="15"/>
        <v>7.5548981681647517E-2</v>
      </c>
      <c r="W90" s="3" t="s">
        <v>92</v>
      </c>
      <c r="X90" s="3" t="s">
        <v>49</v>
      </c>
      <c r="Y90" s="3">
        <f t="shared" si="16"/>
        <v>4</v>
      </c>
      <c r="Z90" s="3" t="str">
        <f t="shared" si="17"/>
        <v>Premium</v>
      </c>
      <c r="AA90" s="3">
        <v>5</v>
      </c>
      <c r="AB90" s="3" t="str">
        <f t="shared" si="18"/>
        <v>Excellent</v>
      </c>
      <c r="AC90" s="3" t="str">
        <f t="shared" si="19"/>
        <v>December</v>
      </c>
      <c r="AD90" s="3" t="str">
        <f t="shared" si="20"/>
        <v>Q4</v>
      </c>
      <c r="AE90" s="3">
        <f t="shared" si="21"/>
        <v>2026</v>
      </c>
      <c r="AF90" s="3" t="str">
        <f t="shared" si="22"/>
        <v>Saturday</v>
      </c>
      <c r="AG90" s="3" t="str">
        <f t="shared" si="23"/>
        <v>36-45</v>
      </c>
      <c r="AH90" s="3" t="str">
        <f t="shared" si="24"/>
        <v>Large</v>
      </c>
      <c r="AI90" s="3" t="str">
        <f t="shared" si="25"/>
        <v>Medium</v>
      </c>
      <c r="AJ90" s="3" t="str" cm="1">
        <f t="array" ref="AJ90">_xlfn.IFS(S90&gt;=80000,"VIP",S90&gt;=40000,"Gold",S90&gt;=15000,"Silver",TRUE,"Bronze")</f>
        <v>Gold</v>
      </c>
    </row>
    <row r="91" spans="1:36" x14ac:dyDescent="0.3">
      <c r="A91" s="3" t="s">
        <v>366</v>
      </c>
      <c r="B91" s="15">
        <v>46234</v>
      </c>
      <c r="C91" s="15">
        <v>46236</v>
      </c>
      <c r="D91" s="3" t="s">
        <v>367</v>
      </c>
      <c r="E91" s="3" t="s">
        <v>368</v>
      </c>
      <c r="F91" s="3" t="s">
        <v>39</v>
      </c>
      <c r="G91" s="3">
        <v>45</v>
      </c>
      <c r="H91" s="3" t="s">
        <v>53</v>
      </c>
      <c r="I91" s="3" t="s">
        <v>41</v>
      </c>
      <c r="J91" s="3" t="s">
        <v>42</v>
      </c>
      <c r="K91" s="3" t="s">
        <v>90</v>
      </c>
      <c r="L91" s="3" t="s">
        <v>122</v>
      </c>
      <c r="M91" s="3" t="s">
        <v>45</v>
      </c>
      <c r="N91" s="3" t="s">
        <v>91</v>
      </c>
      <c r="O91" s="3" t="s">
        <v>123</v>
      </c>
      <c r="P91" s="3">
        <v>2</v>
      </c>
      <c r="Q91" s="9">
        <v>2500</v>
      </c>
      <c r="R91" s="6">
        <v>0.05</v>
      </c>
      <c r="S91" s="12">
        <f t="shared" si="13"/>
        <v>4750</v>
      </c>
      <c r="T91" s="12">
        <v>1700</v>
      </c>
      <c r="U91" s="9">
        <f t="shared" si="14"/>
        <v>1350</v>
      </c>
      <c r="V91" s="6">
        <f t="shared" si="15"/>
        <v>0.28421052631578947</v>
      </c>
      <c r="W91" s="3" t="s">
        <v>92</v>
      </c>
      <c r="X91" s="3" t="s">
        <v>101</v>
      </c>
      <c r="Y91" s="3">
        <f t="shared" si="16"/>
        <v>2</v>
      </c>
      <c r="Z91" s="3" t="str">
        <f t="shared" si="17"/>
        <v>Regular</v>
      </c>
      <c r="AA91" s="3">
        <v>3</v>
      </c>
      <c r="AB91" s="3" t="str">
        <f t="shared" si="18"/>
        <v>Average</v>
      </c>
      <c r="AC91" s="3" t="str">
        <f t="shared" si="19"/>
        <v>July</v>
      </c>
      <c r="AD91" s="3" t="str">
        <f t="shared" si="20"/>
        <v>Q3</v>
      </c>
      <c r="AE91" s="3">
        <f t="shared" si="21"/>
        <v>2026</v>
      </c>
      <c r="AF91" s="3" t="str">
        <f t="shared" si="22"/>
        <v>Friday</v>
      </c>
      <c r="AG91" s="3" t="str">
        <f t="shared" si="23"/>
        <v>36-45</v>
      </c>
      <c r="AH91" s="3" t="str">
        <f t="shared" si="24"/>
        <v>Small</v>
      </c>
      <c r="AI91" s="3" t="str">
        <f t="shared" si="25"/>
        <v>Low</v>
      </c>
      <c r="AJ91" s="3" t="str" cm="1">
        <f t="array" ref="AJ91">_xlfn.IFS(S91&gt;=80000,"VIP",S91&gt;=40000,"Gold",S91&gt;=15000,"Silver",TRUE,"Bronze")</f>
        <v>Bronze</v>
      </c>
    </row>
    <row r="92" spans="1:36" x14ac:dyDescent="0.3">
      <c r="A92" s="3" t="s">
        <v>369</v>
      </c>
      <c r="B92" s="15">
        <v>46360</v>
      </c>
      <c r="C92" s="15">
        <v>46365</v>
      </c>
      <c r="D92" s="3" t="s">
        <v>370</v>
      </c>
      <c r="E92" s="3" t="s">
        <v>371</v>
      </c>
      <c r="F92" s="3" t="s">
        <v>52</v>
      </c>
      <c r="G92" s="3">
        <v>31</v>
      </c>
      <c r="H92" s="3" t="s">
        <v>119</v>
      </c>
      <c r="I92" s="3" t="s">
        <v>120</v>
      </c>
      <c r="J92" s="3" t="s">
        <v>121</v>
      </c>
      <c r="K92" s="3" t="s">
        <v>105</v>
      </c>
      <c r="L92" s="3" t="s">
        <v>112</v>
      </c>
      <c r="M92" s="3" t="s">
        <v>113</v>
      </c>
      <c r="N92" s="3" t="s">
        <v>114</v>
      </c>
      <c r="O92" s="3" t="s">
        <v>115</v>
      </c>
      <c r="P92" s="3">
        <v>2</v>
      </c>
      <c r="Q92" s="9">
        <v>3500</v>
      </c>
      <c r="R92" s="6">
        <v>0.2</v>
      </c>
      <c r="S92" s="12">
        <f t="shared" si="13"/>
        <v>5600</v>
      </c>
      <c r="T92" s="12">
        <v>2500</v>
      </c>
      <c r="U92" s="9">
        <f t="shared" si="14"/>
        <v>600</v>
      </c>
      <c r="V92" s="6">
        <f t="shared" si="15"/>
        <v>0.10714285714285714</v>
      </c>
      <c r="W92" s="3" t="s">
        <v>73</v>
      </c>
      <c r="X92" s="3" t="s">
        <v>49</v>
      </c>
      <c r="Y92" s="3">
        <f t="shared" si="16"/>
        <v>5</v>
      </c>
      <c r="Z92" s="3" t="str">
        <f t="shared" si="17"/>
        <v>Regular</v>
      </c>
      <c r="AA92" s="3">
        <v>3</v>
      </c>
      <c r="AB92" s="3" t="str">
        <f t="shared" si="18"/>
        <v>Average</v>
      </c>
      <c r="AC92" s="3" t="str">
        <f t="shared" si="19"/>
        <v>December</v>
      </c>
      <c r="AD92" s="3" t="str">
        <f t="shared" si="20"/>
        <v>Q4</v>
      </c>
      <c r="AE92" s="3">
        <f t="shared" si="21"/>
        <v>2026</v>
      </c>
      <c r="AF92" s="3" t="str">
        <f t="shared" si="22"/>
        <v>Friday</v>
      </c>
      <c r="AG92" s="3" t="str">
        <f t="shared" si="23"/>
        <v>26-35</v>
      </c>
      <c r="AH92" s="3" t="str">
        <f t="shared" si="24"/>
        <v>Small</v>
      </c>
      <c r="AI92" s="3" t="str">
        <f t="shared" si="25"/>
        <v>High</v>
      </c>
      <c r="AJ92" s="3" t="str" cm="1">
        <f t="array" ref="AJ92">_xlfn.IFS(S92&gt;=80000,"VIP",S92&gt;=40000,"Gold",S92&gt;=15000,"Silver",TRUE,"Bronze")</f>
        <v>Bronze</v>
      </c>
    </row>
    <row r="93" spans="1:36" x14ac:dyDescent="0.3">
      <c r="A93" s="3" t="s">
        <v>372</v>
      </c>
      <c r="B93" s="15">
        <v>46358</v>
      </c>
      <c r="C93" s="15">
        <v>46362</v>
      </c>
      <c r="D93" s="3" t="s">
        <v>373</v>
      </c>
      <c r="E93" s="3" t="s">
        <v>374</v>
      </c>
      <c r="F93" s="3" t="s">
        <v>39</v>
      </c>
      <c r="G93" s="3">
        <v>49</v>
      </c>
      <c r="H93" s="3" t="s">
        <v>40</v>
      </c>
      <c r="I93" s="3" t="s">
        <v>41</v>
      </c>
      <c r="J93" s="3" t="s">
        <v>42</v>
      </c>
      <c r="K93" s="3" t="s">
        <v>90</v>
      </c>
      <c r="L93" s="3" t="s">
        <v>122</v>
      </c>
      <c r="M93" s="3" t="s">
        <v>45</v>
      </c>
      <c r="N93" s="3" t="s">
        <v>91</v>
      </c>
      <c r="O93" s="3" t="s">
        <v>123</v>
      </c>
      <c r="P93" s="3">
        <v>5</v>
      </c>
      <c r="Q93" s="9">
        <v>2500</v>
      </c>
      <c r="R93" s="6">
        <v>0.15</v>
      </c>
      <c r="S93" s="12">
        <f t="shared" si="13"/>
        <v>10625</v>
      </c>
      <c r="T93" s="12">
        <v>1700</v>
      </c>
      <c r="U93" s="9">
        <f t="shared" si="14"/>
        <v>2125</v>
      </c>
      <c r="V93" s="6">
        <f t="shared" si="15"/>
        <v>0.2</v>
      </c>
      <c r="W93" s="3" t="s">
        <v>73</v>
      </c>
      <c r="X93" s="3" t="s">
        <v>74</v>
      </c>
      <c r="Y93" s="3">
        <f t="shared" si="16"/>
        <v>4</v>
      </c>
      <c r="Z93" s="3" t="str">
        <f t="shared" si="17"/>
        <v>Regular</v>
      </c>
      <c r="AA93" s="3">
        <v>3</v>
      </c>
      <c r="AB93" s="3" t="str">
        <f t="shared" si="18"/>
        <v>Average</v>
      </c>
      <c r="AC93" s="3" t="str">
        <f t="shared" si="19"/>
        <v>December</v>
      </c>
      <c r="AD93" s="3" t="str">
        <f t="shared" si="20"/>
        <v>Q4</v>
      </c>
      <c r="AE93" s="3">
        <f t="shared" si="21"/>
        <v>2026</v>
      </c>
      <c r="AF93" s="3" t="str">
        <f t="shared" si="22"/>
        <v>Wednesday</v>
      </c>
      <c r="AG93" s="3" t="str">
        <f t="shared" si="23"/>
        <v>46+</v>
      </c>
      <c r="AH93" s="3" t="str">
        <f t="shared" si="24"/>
        <v>Medium</v>
      </c>
      <c r="AI93" s="3" t="str">
        <f t="shared" si="25"/>
        <v>Medium</v>
      </c>
      <c r="AJ93" s="3" t="str" cm="1">
        <f t="array" ref="AJ93">_xlfn.IFS(S93&gt;=80000,"VIP",S93&gt;=40000,"Gold",S93&gt;=15000,"Silver",TRUE,"Bronze")</f>
        <v>Bronze</v>
      </c>
    </row>
    <row r="94" spans="1:36" x14ac:dyDescent="0.3">
      <c r="A94" s="3" t="s">
        <v>375</v>
      </c>
      <c r="B94" s="15">
        <v>46136</v>
      </c>
      <c r="C94" s="15">
        <v>46140</v>
      </c>
      <c r="D94" s="3" t="s">
        <v>376</v>
      </c>
      <c r="E94" s="3" t="s">
        <v>377</v>
      </c>
      <c r="F94" s="3" t="s">
        <v>39</v>
      </c>
      <c r="G94" s="3">
        <v>29</v>
      </c>
      <c r="H94" s="3" t="s">
        <v>78</v>
      </c>
      <c r="I94" s="3" t="s">
        <v>79</v>
      </c>
      <c r="J94" s="3" t="s">
        <v>80</v>
      </c>
      <c r="K94" s="3" t="s">
        <v>90</v>
      </c>
      <c r="L94" s="3" t="s">
        <v>122</v>
      </c>
      <c r="M94" s="3" t="s">
        <v>45</v>
      </c>
      <c r="N94" s="3" t="s">
        <v>91</v>
      </c>
      <c r="O94" s="3" t="s">
        <v>123</v>
      </c>
      <c r="P94" s="3">
        <v>4</v>
      </c>
      <c r="Q94" s="9">
        <v>2500</v>
      </c>
      <c r="R94" s="6">
        <v>0.2</v>
      </c>
      <c r="S94" s="12">
        <f t="shared" si="13"/>
        <v>8000</v>
      </c>
      <c r="T94" s="12">
        <v>1700</v>
      </c>
      <c r="U94" s="9">
        <f t="shared" si="14"/>
        <v>1200</v>
      </c>
      <c r="V94" s="6">
        <f t="shared" si="15"/>
        <v>0.15</v>
      </c>
      <c r="W94" s="3" t="s">
        <v>65</v>
      </c>
      <c r="X94" s="3" t="s">
        <v>106</v>
      </c>
      <c r="Y94" s="3">
        <f t="shared" si="16"/>
        <v>4</v>
      </c>
      <c r="Z94" s="3" t="str">
        <f t="shared" si="17"/>
        <v>Regular</v>
      </c>
      <c r="AA94" s="3">
        <v>2</v>
      </c>
      <c r="AB94" s="3" t="str">
        <f t="shared" si="18"/>
        <v>Average</v>
      </c>
      <c r="AC94" s="3" t="str">
        <f t="shared" si="19"/>
        <v>April</v>
      </c>
      <c r="AD94" s="3" t="str">
        <f t="shared" si="20"/>
        <v>Q2</v>
      </c>
      <c r="AE94" s="3">
        <f t="shared" si="21"/>
        <v>2026</v>
      </c>
      <c r="AF94" s="3" t="str">
        <f t="shared" si="22"/>
        <v>Friday</v>
      </c>
      <c r="AG94" s="3" t="str">
        <f t="shared" si="23"/>
        <v>26-35</v>
      </c>
      <c r="AH94" s="3" t="str">
        <f t="shared" si="24"/>
        <v>Small</v>
      </c>
      <c r="AI94" s="3" t="str">
        <f t="shared" si="25"/>
        <v>High</v>
      </c>
      <c r="AJ94" s="3" t="str" cm="1">
        <f t="array" ref="AJ94">_xlfn.IFS(S94&gt;=80000,"VIP",S94&gt;=40000,"Gold",S94&gt;=15000,"Silver",TRUE,"Bronze")</f>
        <v>Bronze</v>
      </c>
    </row>
    <row r="95" spans="1:36" x14ac:dyDescent="0.3">
      <c r="A95" s="3" t="s">
        <v>378</v>
      </c>
      <c r="B95" s="15">
        <v>46264</v>
      </c>
      <c r="C95" s="15">
        <v>46268</v>
      </c>
      <c r="D95" s="3" t="s">
        <v>379</v>
      </c>
      <c r="E95" s="3" t="s">
        <v>380</v>
      </c>
      <c r="F95" s="3" t="s">
        <v>52</v>
      </c>
      <c r="G95" s="3">
        <v>46</v>
      </c>
      <c r="H95" s="3" t="s">
        <v>119</v>
      </c>
      <c r="I95" s="3" t="s">
        <v>120</v>
      </c>
      <c r="J95" s="3" t="s">
        <v>121</v>
      </c>
      <c r="K95" s="3" t="s">
        <v>70</v>
      </c>
      <c r="L95" s="3" t="s">
        <v>71</v>
      </c>
      <c r="M95" s="3" t="s">
        <v>45</v>
      </c>
      <c r="N95" s="3" t="s">
        <v>63</v>
      </c>
      <c r="O95" s="3" t="s">
        <v>72</v>
      </c>
      <c r="P95" s="3">
        <v>4</v>
      </c>
      <c r="Q95" s="9">
        <v>58000</v>
      </c>
      <c r="R95" s="6">
        <v>0.15</v>
      </c>
      <c r="S95" s="12">
        <f t="shared" si="13"/>
        <v>197200</v>
      </c>
      <c r="T95" s="12">
        <v>49000</v>
      </c>
      <c r="U95" s="9">
        <f t="shared" si="14"/>
        <v>1200</v>
      </c>
      <c r="V95" s="6">
        <f t="shared" si="15"/>
        <v>6.0851926977687626E-3</v>
      </c>
      <c r="W95" s="3" t="s">
        <v>92</v>
      </c>
      <c r="X95" s="3" t="s">
        <v>74</v>
      </c>
      <c r="Y95" s="3">
        <f t="shared" si="16"/>
        <v>4</v>
      </c>
      <c r="Z95" s="3" t="str">
        <f t="shared" si="17"/>
        <v>Premium</v>
      </c>
      <c r="AA95" s="3">
        <v>2</v>
      </c>
      <c r="AB95" s="3" t="str">
        <f t="shared" si="18"/>
        <v>Average</v>
      </c>
      <c r="AC95" s="3" t="str">
        <f t="shared" si="19"/>
        <v>August</v>
      </c>
      <c r="AD95" s="3" t="str">
        <f t="shared" si="20"/>
        <v>Q3</v>
      </c>
      <c r="AE95" s="3">
        <f t="shared" si="21"/>
        <v>2026</v>
      </c>
      <c r="AF95" s="3" t="str">
        <f t="shared" si="22"/>
        <v>Sunday</v>
      </c>
      <c r="AG95" s="3" t="str">
        <f t="shared" si="23"/>
        <v>46+</v>
      </c>
      <c r="AH95" s="3" t="str">
        <f t="shared" si="24"/>
        <v>Large</v>
      </c>
      <c r="AI95" s="3" t="str">
        <f t="shared" si="25"/>
        <v>Medium</v>
      </c>
      <c r="AJ95" s="3" t="str" cm="1">
        <f t="array" ref="AJ95">_xlfn.IFS(S95&gt;=80000,"VIP",S95&gt;=40000,"Gold",S95&gt;=15000,"Silver",TRUE,"Bronze")</f>
        <v>VIP</v>
      </c>
    </row>
    <row r="96" spans="1:36" x14ac:dyDescent="0.3">
      <c r="A96" s="3" t="s">
        <v>381</v>
      </c>
      <c r="B96" s="15">
        <v>46115</v>
      </c>
      <c r="C96" s="15">
        <v>46121</v>
      </c>
      <c r="D96" s="3" t="s">
        <v>382</v>
      </c>
      <c r="E96" s="3" t="s">
        <v>260</v>
      </c>
      <c r="F96" s="3" t="s">
        <v>52</v>
      </c>
      <c r="G96" s="3">
        <v>36</v>
      </c>
      <c r="H96" s="3" t="s">
        <v>119</v>
      </c>
      <c r="I96" s="3" t="s">
        <v>120</v>
      </c>
      <c r="J96" s="3" t="s">
        <v>121</v>
      </c>
      <c r="K96" s="3" t="s">
        <v>43</v>
      </c>
      <c r="L96" s="3" t="s">
        <v>44</v>
      </c>
      <c r="M96" s="3" t="s">
        <v>45</v>
      </c>
      <c r="N96" s="3" t="s">
        <v>46</v>
      </c>
      <c r="O96" s="3" t="s">
        <v>47</v>
      </c>
      <c r="P96" s="3">
        <v>4</v>
      </c>
      <c r="Q96" s="9">
        <v>28500</v>
      </c>
      <c r="R96" s="6">
        <v>0.2</v>
      </c>
      <c r="S96" s="12">
        <f t="shared" si="13"/>
        <v>91200</v>
      </c>
      <c r="T96" s="12">
        <v>22000</v>
      </c>
      <c r="U96" s="9">
        <f t="shared" si="14"/>
        <v>3200</v>
      </c>
      <c r="V96" s="6">
        <f t="shared" si="15"/>
        <v>3.5087719298245612E-2</v>
      </c>
      <c r="W96" s="3" t="s">
        <v>65</v>
      </c>
      <c r="X96" s="3" t="s">
        <v>74</v>
      </c>
      <c r="Y96" s="3">
        <f t="shared" si="16"/>
        <v>6</v>
      </c>
      <c r="Z96" s="3" t="str">
        <f t="shared" si="17"/>
        <v>Premium</v>
      </c>
      <c r="AA96" s="3">
        <v>5</v>
      </c>
      <c r="AB96" s="3" t="str">
        <f t="shared" si="18"/>
        <v>Excellent</v>
      </c>
      <c r="AC96" s="3" t="str">
        <f t="shared" si="19"/>
        <v>April</v>
      </c>
      <c r="AD96" s="3" t="str">
        <f t="shared" si="20"/>
        <v>Q2</v>
      </c>
      <c r="AE96" s="3">
        <f t="shared" si="21"/>
        <v>2026</v>
      </c>
      <c r="AF96" s="3" t="str">
        <f t="shared" si="22"/>
        <v>Friday</v>
      </c>
      <c r="AG96" s="3" t="str">
        <f t="shared" si="23"/>
        <v>36-45</v>
      </c>
      <c r="AH96" s="3" t="str">
        <f t="shared" si="24"/>
        <v>Large</v>
      </c>
      <c r="AI96" s="3" t="str">
        <f t="shared" si="25"/>
        <v>High</v>
      </c>
      <c r="AJ96" s="3" t="str" cm="1">
        <f t="array" ref="AJ96">_xlfn.IFS(S96&gt;=80000,"VIP",S96&gt;=40000,"Gold",S96&gt;=15000,"Silver",TRUE,"Bronze")</f>
        <v>VIP</v>
      </c>
    </row>
    <row r="97" spans="1:36" x14ac:dyDescent="0.3">
      <c r="A97" s="3" t="s">
        <v>383</v>
      </c>
      <c r="B97" s="15">
        <v>46211</v>
      </c>
      <c r="C97" s="15">
        <v>46215</v>
      </c>
      <c r="D97" s="3" t="s">
        <v>384</v>
      </c>
      <c r="E97" s="3" t="s">
        <v>385</v>
      </c>
      <c r="F97" s="3" t="s">
        <v>52</v>
      </c>
      <c r="G97" s="3">
        <v>31</v>
      </c>
      <c r="H97" s="3" t="s">
        <v>110</v>
      </c>
      <c r="I97" s="3" t="s">
        <v>111</v>
      </c>
      <c r="J97" s="3" t="s">
        <v>80</v>
      </c>
      <c r="K97" s="3" t="s">
        <v>105</v>
      </c>
      <c r="L97" s="3" t="s">
        <v>112</v>
      </c>
      <c r="M97" s="3" t="s">
        <v>113</v>
      </c>
      <c r="N97" s="3" t="s">
        <v>114</v>
      </c>
      <c r="O97" s="3" t="s">
        <v>115</v>
      </c>
      <c r="P97" s="3">
        <v>3</v>
      </c>
      <c r="Q97" s="9">
        <v>3500</v>
      </c>
      <c r="R97" s="6">
        <v>0.12</v>
      </c>
      <c r="S97" s="12">
        <f t="shared" si="13"/>
        <v>9240</v>
      </c>
      <c r="T97" s="12">
        <v>2500</v>
      </c>
      <c r="U97" s="9">
        <f t="shared" si="14"/>
        <v>1740</v>
      </c>
      <c r="V97" s="6">
        <f t="shared" si="15"/>
        <v>0.18831168831168832</v>
      </c>
      <c r="W97" s="3" t="s">
        <v>48</v>
      </c>
      <c r="X97" s="3" t="s">
        <v>49</v>
      </c>
      <c r="Y97" s="3">
        <f t="shared" si="16"/>
        <v>4</v>
      </c>
      <c r="Z97" s="3" t="str">
        <f t="shared" si="17"/>
        <v>Regular</v>
      </c>
      <c r="AA97" s="3">
        <v>4</v>
      </c>
      <c r="AB97" s="3" t="str">
        <f t="shared" si="18"/>
        <v>Excellent</v>
      </c>
      <c r="AC97" s="3" t="str">
        <f t="shared" si="19"/>
        <v>July</v>
      </c>
      <c r="AD97" s="3" t="str">
        <f t="shared" si="20"/>
        <v>Q3</v>
      </c>
      <c r="AE97" s="3">
        <f t="shared" si="21"/>
        <v>2026</v>
      </c>
      <c r="AF97" s="3" t="str">
        <f t="shared" si="22"/>
        <v>Wednesday</v>
      </c>
      <c r="AG97" s="3" t="str">
        <f t="shared" si="23"/>
        <v>26-35</v>
      </c>
      <c r="AH97" s="3" t="str">
        <f t="shared" si="24"/>
        <v>Small</v>
      </c>
      <c r="AI97" s="3" t="str">
        <f t="shared" si="25"/>
        <v>Medium</v>
      </c>
      <c r="AJ97" s="3" t="str" cm="1">
        <f t="array" ref="AJ97">_xlfn.IFS(S97&gt;=80000,"VIP",S97&gt;=40000,"Gold",S97&gt;=15000,"Silver",TRUE,"Bronze")</f>
        <v>Bronze</v>
      </c>
    </row>
    <row r="98" spans="1:36" x14ac:dyDescent="0.3">
      <c r="A98" s="3" t="s">
        <v>386</v>
      </c>
      <c r="B98" s="15">
        <v>46156</v>
      </c>
      <c r="C98" s="15">
        <v>46162</v>
      </c>
      <c r="D98" s="3" t="s">
        <v>387</v>
      </c>
      <c r="E98" s="3" t="s">
        <v>388</v>
      </c>
      <c r="F98" s="3" t="s">
        <v>39</v>
      </c>
      <c r="G98" s="3">
        <v>28</v>
      </c>
      <c r="H98" s="3" t="s">
        <v>53</v>
      </c>
      <c r="I98" s="3" t="s">
        <v>41</v>
      </c>
      <c r="J98" s="3" t="s">
        <v>42</v>
      </c>
      <c r="K98" s="3" t="s">
        <v>81</v>
      </c>
      <c r="L98" s="3" t="s">
        <v>82</v>
      </c>
      <c r="M98" s="3" t="s">
        <v>45</v>
      </c>
      <c r="N98" s="3" t="s">
        <v>83</v>
      </c>
      <c r="O98" s="3" t="s">
        <v>84</v>
      </c>
      <c r="P98" s="3">
        <v>3</v>
      </c>
      <c r="Q98" s="9">
        <v>42000</v>
      </c>
      <c r="R98" s="6">
        <v>0.15</v>
      </c>
      <c r="S98" s="12">
        <f t="shared" si="13"/>
        <v>107100</v>
      </c>
      <c r="T98" s="12">
        <v>35000</v>
      </c>
      <c r="U98" s="9">
        <f t="shared" si="14"/>
        <v>2100</v>
      </c>
      <c r="V98" s="6">
        <f t="shared" si="15"/>
        <v>1.9607843137254902E-2</v>
      </c>
      <c r="W98" s="3" t="s">
        <v>73</v>
      </c>
      <c r="X98" s="3" t="s">
        <v>74</v>
      </c>
      <c r="Y98" s="3">
        <f t="shared" si="16"/>
        <v>6</v>
      </c>
      <c r="Z98" s="3" t="str">
        <f t="shared" si="17"/>
        <v>Premium</v>
      </c>
      <c r="AA98" s="3">
        <v>5</v>
      </c>
      <c r="AB98" s="3" t="str">
        <f t="shared" si="18"/>
        <v>Excellent</v>
      </c>
      <c r="AC98" s="3" t="str">
        <f t="shared" si="19"/>
        <v>May</v>
      </c>
      <c r="AD98" s="3" t="str">
        <f t="shared" si="20"/>
        <v>Q2</v>
      </c>
      <c r="AE98" s="3">
        <f t="shared" si="21"/>
        <v>2026</v>
      </c>
      <c r="AF98" s="3" t="str">
        <f t="shared" si="22"/>
        <v>Thursday</v>
      </c>
      <c r="AG98" s="3" t="str">
        <f t="shared" si="23"/>
        <v>26-35</v>
      </c>
      <c r="AH98" s="3" t="str">
        <f t="shared" si="24"/>
        <v>Large</v>
      </c>
      <c r="AI98" s="3" t="str">
        <f t="shared" si="25"/>
        <v>Medium</v>
      </c>
      <c r="AJ98" s="3" t="str" cm="1">
        <f t="array" ref="AJ98">_xlfn.IFS(S98&gt;=80000,"VIP",S98&gt;=40000,"Gold",S98&gt;=15000,"Silver",TRUE,"Bronze")</f>
        <v>VIP</v>
      </c>
    </row>
    <row r="99" spans="1:36" x14ac:dyDescent="0.3">
      <c r="A99" s="3" t="s">
        <v>389</v>
      </c>
      <c r="B99" s="15">
        <v>46278</v>
      </c>
      <c r="C99" s="15">
        <v>46284</v>
      </c>
      <c r="D99" s="3" t="s">
        <v>390</v>
      </c>
      <c r="E99" s="3" t="s">
        <v>137</v>
      </c>
      <c r="F99" s="3" t="s">
        <v>39</v>
      </c>
      <c r="G99" s="3">
        <v>26</v>
      </c>
      <c r="H99" s="3" t="s">
        <v>119</v>
      </c>
      <c r="I99" s="3" t="s">
        <v>120</v>
      </c>
      <c r="J99" s="3" t="s">
        <v>121</v>
      </c>
      <c r="K99" s="3" t="s">
        <v>90</v>
      </c>
      <c r="L99" s="3" t="s">
        <v>122</v>
      </c>
      <c r="M99" s="3" t="s">
        <v>45</v>
      </c>
      <c r="N99" s="3" t="s">
        <v>91</v>
      </c>
      <c r="O99" s="3" t="s">
        <v>123</v>
      </c>
      <c r="P99" s="3">
        <v>4</v>
      </c>
      <c r="Q99" s="9">
        <v>2500</v>
      </c>
      <c r="R99" s="6">
        <v>0.1</v>
      </c>
      <c r="S99" s="12">
        <f t="shared" si="13"/>
        <v>9000</v>
      </c>
      <c r="T99" s="12">
        <v>1700</v>
      </c>
      <c r="U99" s="9">
        <f t="shared" si="14"/>
        <v>2200</v>
      </c>
      <c r="V99" s="6">
        <f t="shared" si="15"/>
        <v>0.24444444444444444</v>
      </c>
      <c r="W99" s="3" t="s">
        <v>73</v>
      </c>
      <c r="X99" s="3" t="s">
        <v>106</v>
      </c>
      <c r="Y99" s="3">
        <f t="shared" si="16"/>
        <v>6</v>
      </c>
      <c r="Z99" s="3" t="str">
        <f t="shared" si="17"/>
        <v>Regular</v>
      </c>
      <c r="AA99" s="3">
        <v>4</v>
      </c>
      <c r="AB99" s="3" t="str">
        <f t="shared" si="18"/>
        <v>Excellent</v>
      </c>
      <c r="AC99" s="3" t="str">
        <f t="shared" si="19"/>
        <v>September</v>
      </c>
      <c r="AD99" s="3" t="str">
        <f t="shared" si="20"/>
        <v>Q3</v>
      </c>
      <c r="AE99" s="3">
        <f t="shared" si="21"/>
        <v>2026</v>
      </c>
      <c r="AF99" s="3" t="str">
        <f t="shared" si="22"/>
        <v>Sunday</v>
      </c>
      <c r="AG99" s="3" t="str">
        <f t="shared" si="23"/>
        <v>26-35</v>
      </c>
      <c r="AH99" s="3" t="str">
        <f t="shared" si="24"/>
        <v>Small</v>
      </c>
      <c r="AI99" s="3" t="str">
        <f t="shared" si="25"/>
        <v>Medium</v>
      </c>
      <c r="AJ99" s="3" t="str" cm="1">
        <f t="array" ref="AJ99">_xlfn.IFS(S99&gt;=80000,"VIP",S99&gt;=40000,"Gold",S99&gt;=15000,"Silver",TRUE,"Bronze")</f>
        <v>Bronze</v>
      </c>
    </row>
    <row r="100" spans="1:36" x14ac:dyDescent="0.3">
      <c r="A100" s="3" t="s">
        <v>391</v>
      </c>
      <c r="B100" s="15">
        <v>46319</v>
      </c>
      <c r="C100" s="15">
        <v>46322</v>
      </c>
      <c r="D100" s="3" t="s">
        <v>392</v>
      </c>
      <c r="E100" s="3" t="s">
        <v>393</v>
      </c>
      <c r="F100" s="3" t="s">
        <v>52</v>
      </c>
      <c r="G100" s="3">
        <v>39</v>
      </c>
      <c r="H100" s="3" t="s">
        <v>53</v>
      </c>
      <c r="I100" s="3" t="s">
        <v>41</v>
      </c>
      <c r="J100" s="3" t="s">
        <v>42</v>
      </c>
      <c r="K100" s="3" t="s">
        <v>90</v>
      </c>
      <c r="L100" s="3" t="s">
        <v>122</v>
      </c>
      <c r="M100" s="3" t="s">
        <v>45</v>
      </c>
      <c r="N100" s="3" t="s">
        <v>91</v>
      </c>
      <c r="O100" s="3" t="s">
        <v>123</v>
      </c>
      <c r="P100" s="3">
        <v>4</v>
      </c>
      <c r="Q100" s="9">
        <v>2500</v>
      </c>
      <c r="R100" s="6">
        <v>0.1</v>
      </c>
      <c r="S100" s="12">
        <f t="shared" si="13"/>
        <v>9000</v>
      </c>
      <c r="T100" s="12">
        <v>1700</v>
      </c>
      <c r="U100" s="9">
        <f t="shared" si="14"/>
        <v>2200</v>
      </c>
      <c r="V100" s="6">
        <f t="shared" si="15"/>
        <v>0.24444444444444444</v>
      </c>
      <c r="W100" s="3" t="s">
        <v>73</v>
      </c>
      <c r="X100" s="3" t="s">
        <v>74</v>
      </c>
      <c r="Y100" s="3">
        <f t="shared" si="16"/>
        <v>3</v>
      </c>
      <c r="Z100" s="3" t="str">
        <f t="shared" si="17"/>
        <v>Regular</v>
      </c>
      <c r="AA100" s="3">
        <v>3</v>
      </c>
      <c r="AB100" s="3" t="str">
        <f t="shared" si="18"/>
        <v>Average</v>
      </c>
      <c r="AC100" s="3" t="str">
        <f t="shared" si="19"/>
        <v>October</v>
      </c>
      <c r="AD100" s="3" t="str">
        <f t="shared" si="20"/>
        <v>Q4</v>
      </c>
      <c r="AE100" s="3">
        <f t="shared" si="21"/>
        <v>2026</v>
      </c>
      <c r="AF100" s="3" t="str">
        <f t="shared" si="22"/>
        <v>Saturday</v>
      </c>
      <c r="AG100" s="3" t="str">
        <f t="shared" si="23"/>
        <v>36-45</v>
      </c>
      <c r="AH100" s="3" t="str">
        <f t="shared" si="24"/>
        <v>Small</v>
      </c>
      <c r="AI100" s="3" t="str">
        <f t="shared" si="25"/>
        <v>Medium</v>
      </c>
      <c r="AJ100" s="3" t="str" cm="1">
        <f t="array" ref="AJ100">_xlfn.IFS(S100&gt;=80000,"VIP",S100&gt;=40000,"Gold",S100&gt;=15000,"Silver",TRUE,"Bronze")</f>
        <v>Bronze</v>
      </c>
    </row>
    <row r="101" spans="1:36" x14ac:dyDescent="0.3">
      <c r="A101" s="3" t="s">
        <v>394</v>
      </c>
      <c r="B101" s="15">
        <v>46315</v>
      </c>
      <c r="C101" s="15">
        <v>46318</v>
      </c>
      <c r="D101" s="3" t="s">
        <v>395</v>
      </c>
      <c r="E101" s="3" t="s">
        <v>38</v>
      </c>
      <c r="F101" s="3" t="s">
        <v>52</v>
      </c>
      <c r="G101" s="3">
        <v>41</v>
      </c>
      <c r="H101" s="3" t="s">
        <v>88</v>
      </c>
      <c r="I101" s="3" t="s">
        <v>89</v>
      </c>
      <c r="J101" s="3" t="s">
        <v>80</v>
      </c>
      <c r="K101" s="3" t="s">
        <v>90</v>
      </c>
      <c r="L101" s="3" t="s">
        <v>122</v>
      </c>
      <c r="M101" s="3" t="s">
        <v>45</v>
      </c>
      <c r="N101" s="3" t="s">
        <v>91</v>
      </c>
      <c r="O101" s="3" t="s">
        <v>123</v>
      </c>
      <c r="P101" s="3">
        <v>4</v>
      </c>
      <c r="Q101" s="9">
        <v>2500</v>
      </c>
      <c r="R101" s="6">
        <v>0.15</v>
      </c>
      <c r="S101" s="12">
        <f t="shared" si="13"/>
        <v>8500</v>
      </c>
      <c r="T101" s="12">
        <v>1700</v>
      </c>
      <c r="U101" s="9">
        <f t="shared" si="14"/>
        <v>1700</v>
      </c>
      <c r="V101" s="6">
        <f t="shared" si="15"/>
        <v>0.2</v>
      </c>
      <c r="W101" s="3" t="s">
        <v>65</v>
      </c>
      <c r="X101" s="3" t="s">
        <v>49</v>
      </c>
      <c r="Y101" s="3">
        <f t="shared" si="16"/>
        <v>3</v>
      </c>
      <c r="Z101" s="3" t="str">
        <f t="shared" si="17"/>
        <v>Regular</v>
      </c>
      <c r="AA101" s="3">
        <v>3</v>
      </c>
      <c r="AB101" s="3" t="str">
        <f t="shared" si="18"/>
        <v>Average</v>
      </c>
      <c r="AC101" s="3" t="str">
        <f t="shared" si="19"/>
        <v>October</v>
      </c>
      <c r="AD101" s="3" t="str">
        <f t="shared" si="20"/>
        <v>Q4</v>
      </c>
      <c r="AE101" s="3">
        <f t="shared" si="21"/>
        <v>2026</v>
      </c>
      <c r="AF101" s="3" t="str">
        <f t="shared" si="22"/>
        <v>Tuesday</v>
      </c>
      <c r="AG101" s="3" t="str">
        <f t="shared" si="23"/>
        <v>36-45</v>
      </c>
      <c r="AH101" s="3" t="str">
        <f t="shared" si="24"/>
        <v>Small</v>
      </c>
      <c r="AI101" s="3" t="str">
        <f t="shared" si="25"/>
        <v>Medium</v>
      </c>
      <c r="AJ101" s="3" t="str" cm="1">
        <f t="array" ref="AJ101">_xlfn.IFS(S101&gt;=80000,"VIP",S101&gt;=40000,"Gold",S101&gt;=15000,"Silver",TRUE,"Bronze")</f>
        <v>Bronze</v>
      </c>
    </row>
    <row r="102" spans="1:36" x14ac:dyDescent="0.3">
      <c r="A102" s="3" t="s">
        <v>396</v>
      </c>
      <c r="B102" s="15">
        <v>46158</v>
      </c>
      <c r="C102" s="15">
        <v>46164</v>
      </c>
      <c r="D102" s="3" t="s">
        <v>397</v>
      </c>
      <c r="E102" s="3" t="s">
        <v>314</v>
      </c>
      <c r="F102" s="3" t="s">
        <v>52</v>
      </c>
      <c r="G102" s="3">
        <v>46</v>
      </c>
      <c r="H102" s="3" t="s">
        <v>68</v>
      </c>
      <c r="I102" s="3" t="s">
        <v>68</v>
      </c>
      <c r="J102" s="3" t="s">
        <v>69</v>
      </c>
      <c r="K102" s="3" t="s">
        <v>70</v>
      </c>
      <c r="L102" s="3" t="s">
        <v>71</v>
      </c>
      <c r="M102" s="3" t="s">
        <v>45</v>
      </c>
      <c r="N102" s="3" t="s">
        <v>63</v>
      </c>
      <c r="O102" s="3" t="s">
        <v>72</v>
      </c>
      <c r="P102" s="3">
        <v>5</v>
      </c>
      <c r="Q102" s="9">
        <v>58000</v>
      </c>
      <c r="R102" s="6">
        <v>0.08</v>
      </c>
      <c r="S102" s="12">
        <f t="shared" si="13"/>
        <v>266800</v>
      </c>
      <c r="T102" s="12">
        <v>49000</v>
      </c>
      <c r="U102" s="9">
        <f t="shared" si="14"/>
        <v>21800</v>
      </c>
      <c r="V102" s="6">
        <f t="shared" si="15"/>
        <v>8.1709145427286356E-2</v>
      </c>
      <c r="W102" s="3" t="s">
        <v>56</v>
      </c>
      <c r="X102" s="3" t="s">
        <v>106</v>
      </c>
      <c r="Y102" s="3">
        <f t="shared" si="16"/>
        <v>6</v>
      </c>
      <c r="Z102" s="3" t="str">
        <f t="shared" si="17"/>
        <v>Premium</v>
      </c>
      <c r="AA102" s="3">
        <v>5</v>
      </c>
      <c r="AB102" s="3" t="str">
        <f t="shared" si="18"/>
        <v>Excellent</v>
      </c>
      <c r="AC102" s="3" t="str">
        <f t="shared" si="19"/>
        <v>May</v>
      </c>
      <c r="AD102" s="3" t="str">
        <f t="shared" si="20"/>
        <v>Q2</v>
      </c>
      <c r="AE102" s="3">
        <f t="shared" si="21"/>
        <v>2026</v>
      </c>
      <c r="AF102" s="3" t="str">
        <f t="shared" si="22"/>
        <v>Saturday</v>
      </c>
      <c r="AG102" s="3" t="str">
        <f t="shared" si="23"/>
        <v>46+</v>
      </c>
      <c r="AH102" s="3" t="str">
        <f t="shared" si="24"/>
        <v>Large</v>
      </c>
      <c r="AI102" s="3" t="str">
        <f t="shared" si="25"/>
        <v>Medium</v>
      </c>
      <c r="AJ102" s="3" t="str" cm="1">
        <f t="array" ref="AJ102">_xlfn.IFS(S102&gt;=80000,"VIP",S102&gt;=40000,"Gold",S102&gt;=15000,"Silver",TRUE,"Bronze")</f>
        <v>VIP</v>
      </c>
    </row>
    <row r="103" spans="1:36" x14ac:dyDescent="0.3">
      <c r="A103" s="3" t="s">
        <v>398</v>
      </c>
      <c r="B103" s="15">
        <v>46384</v>
      </c>
      <c r="C103" s="15">
        <v>46386</v>
      </c>
      <c r="D103" s="3" t="s">
        <v>399</v>
      </c>
      <c r="E103" s="3" t="s">
        <v>87</v>
      </c>
      <c r="F103" s="3" t="s">
        <v>39</v>
      </c>
      <c r="G103" s="3">
        <v>46</v>
      </c>
      <c r="H103" s="3" t="s">
        <v>40</v>
      </c>
      <c r="I103" s="3" t="s">
        <v>41</v>
      </c>
      <c r="J103" s="3" t="s">
        <v>42</v>
      </c>
      <c r="K103" s="3" t="s">
        <v>43</v>
      </c>
      <c r="L103" s="3" t="s">
        <v>44</v>
      </c>
      <c r="M103" s="3" t="s">
        <v>45</v>
      </c>
      <c r="N103" s="3" t="s">
        <v>46</v>
      </c>
      <c r="O103" s="3" t="s">
        <v>47</v>
      </c>
      <c r="P103" s="3">
        <v>1</v>
      </c>
      <c r="Q103" s="9">
        <v>28500</v>
      </c>
      <c r="R103" s="6">
        <v>0.2</v>
      </c>
      <c r="S103" s="12">
        <f t="shared" si="13"/>
        <v>22800</v>
      </c>
      <c r="T103" s="12">
        <v>22000</v>
      </c>
      <c r="U103" s="9">
        <f t="shared" si="14"/>
        <v>800</v>
      </c>
      <c r="V103" s="6">
        <f t="shared" si="15"/>
        <v>3.5087719298245612E-2</v>
      </c>
      <c r="W103" s="3" t="s">
        <v>48</v>
      </c>
      <c r="X103" s="3" t="s">
        <v>49</v>
      </c>
      <c r="Y103" s="3">
        <f t="shared" si="16"/>
        <v>2</v>
      </c>
      <c r="Z103" s="3" t="str">
        <f t="shared" si="17"/>
        <v>Regular</v>
      </c>
      <c r="AA103" s="3">
        <v>2</v>
      </c>
      <c r="AB103" s="3" t="str">
        <f t="shared" si="18"/>
        <v>Average</v>
      </c>
      <c r="AC103" s="3" t="str">
        <f t="shared" si="19"/>
        <v>December</v>
      </c>
      <c r="AD103" s="3" t="str">
        <f t="shared" si="20"/>
        <v>Q4</v>
      </c>
      <c r="AE103" s="3">
        <f t="shared" si="21"/>
        <v>2026</v>
      </c>
      <c r="AF103" s="3" t="str">
        <f t="shared" si="22"/>
        <v>Monday</v>
      </c>
      <c r="AG103" s="3" t="str">
        <f t="shared" si="23"/>
        <v>46+</v>
      </c>
      <c r="AH103" s="3" t="str">
        <f t="shared" si="24"/>
        <v>Medium</v>
      </c>
      <c r="AI103" s="3" t="str">
        <f t="shared" si="25"/>
        <v>High</v>
      </c>
      <c r="AJ103" s="3" t="str" cm="1">
        <f t="array" ref="AJ103">_xlfn.IFS(S103&gt;=80000,"VIP",S103&gt;=40000,"Gold",S103&gt;=15000,"Silver",TRUE,"Bronze")</f>
        <v>Silver</v>
      </c>
    </row>
    <row r="104" spans="1:36" x14ac:dyDescent="0.3">
      <c r="A104" s="3" t="s">
        <v>400</v>
      </c>
      <c r="B104" s="15">
        <v>46312</v>
      </c>
      <c r="C104" s="15">
        <v>46316</v>
      </c>
      <c r="D104" s="3" t="s">
        <v>401</v>
      </c>
      <c r="E104" s="3" t="s">
        <v>402</v>
      </c>
      <c r="F104" s="3" t="s">
        <v>39</v>
      </c>
      <c r="G104" s="3">
        <v>29</v>
      </c>
      <c r="H104" s="3" t="s">
        <v>88</v>
      </c>
      <c r="I104" s="3" t="s">
        <v>89</v>
      </c>
      <c r="J104" s="3" t="s">
        <v>80</v>
      </c>
      <c r="K104" s="3" t="s">
        <v>81</v>
      </c>
      <c r="L104" s="3" t="s">
        <v>82</v>
      </c>
      <c r="M104" s="3" t="s">
        <v>45</v>
      </c>
      <c r="N104" s="3" t="s">
        <v>83</v>
      </c>
      <c r="O104" s="3" t="s">
        <v>84</v>
      </c>
      <c r="P104" s="3">
        <v>3</v>
      </c>
      <c r="Q104" s="9">
        <v>42000</v>
      </c>
      <c r="R104" s="6">
        <v>0.15</v>
      </c>
      <c r="S104" s="12">
        <f t="shared" si="13"/>
        <v>107100</v>
      </c>
      <c r="T104" s="12">
        <v>35000</v>
      </c>
      <c r="U104" s="9">
        <f t="shared" si="14"/>
        <v>2100</v>
      </c>
      <c r="V104" s="6">
        <f t="shared" si="15"/>
        <v>1.9607843137254902E-2</v>
      </c>
      <c r="W104" s="3" t="s">
        <v>92</v>
      </c>
      <c r="X104" s="3" t="s">
        <v>49</v>
      </c>
      <c r="Y104" s="3">
        <f t="shared" si="16"/>
        <v>4</v>
      </c>
      <c r="Z104" s="3" t="str">
        <f t="shared" si="17"/>
        <v>Premium</v>
      </c>
      <c r="AA104" s="3">
        <v>3</v>
      </c>
      <c r="AB104" s="3" t="str">
        <f t="shared" si="18"/>
        <v>Average</v>
      </c>
      <c r="AC104" s="3" t="str">
        <f t="shared" si="19"/>
        <v>October</v>
      </c>
      <c r="AD104" s="3" t="str">
        <f t="shared" si="20"/>
        <v>Q4</v>
      </c>
      <c r="AE104" s="3">
        <f t="shared" si="21"/>
        <v>2026</v>
      </c>
      <c r="AF104" s="3" t="str">
        <f t="shared" si="22"/>
        <v>Saturday</v>
      </c>
      <c r="AG104" s="3" t="str">
        <f t="shared" si="23"/>
        <v>26-35</v>
      </c>
      <c r="AH104" s="3" t="str">
        <f t="shared" si="24"/>
        <v>Large</v>
      </c>
      <c r="AI104" s="3" t="str">
        <f t="shared" si="25"/>
        <v>Medium</v>
      </c>
      <c r="AJ104" s="3" t="str" cm="1">
        <f t="array" ref="AJ104">_xlfn.IFS(S104&gt;=80000,"VIP",S104&gt;=40000,"Gold",S104&gt;=15000,"Silver",TRUE,"Bronze")</f>
        <v>VIP</v>
      </c>
    </row>
    <row r="105" spans="1:36" x14ac:dyDescent="0.3">
      <c r="A105" s="3" t="s">
        <v>403</v>
      </c>
      <c r="B105" s="15">
        <v>46300</v>
      </c>
      <c r="C105" s="15">
        <v>46302</v>
      </c>
      <c r="D105" s="3" t="s">
        <v>404</v>
      </c>
      <c r="E105" s="3" t="s">
        <v>405</v>
      </c>
      <c r="F105" s="3" t="s">
        <v>39</v>
      </c>
      <c r="G105" s="3">
        <v>22</v>
      </c>
      <c r="H105" s="3" t="s">
        <v>88</v>
      </c>
      <c r="I105" s="3" t="s">
        <v>89</v>
      </c>
      <c r="J105" s="3" t="s">
        <v>80</v>
      </c>
      <c r="K105" s="3" t="s">
        <v>81</v>
      </c>
      <c r="L105" s="3" t="s">
        <v>82</v>
      </c>
      <c r="M105" s="3" t="s">
        <v>45</v>
      </c>
      <c r="N105" s="3" t="s">
        <v>83</v>
      </c>
      <c r="O105" s="3" t="s">
        <v>84</v>
      </c>
      <c r="P105" s="3">
        <v>3</v>
      </c>
      <c r="Q105" s="9">
        <v>42000</v>
      </c>
      <c r="R105" s="6">
        <v>0.15</v>
      </c>
      <c r="S105" s="12">
        <f t="shared" si="13"/>
        <v>107100</v>
      </c>
      <c r="T105" s="12">
        <v>35000</v>
      </c>
      <c r="U105" s="9">
        <f t="shared" si="14"/>
        <v>2100</v>
      </c>
      <c r="V105" s="6">
        <f t="shared" si="15"/>
        <v>1.9607843137254902E-2</v>
      </c>
      <c r="W105" s="3" t="s">
        <v>65</v>
      </c>
      <c r="X105" s="3" t="s">
        <v>101</v>
      </c>
      <c r="Y105" s="3">
        <f t="shared" si="16"/>
        <v>2</v>
      </c>
      <c r="Z105" s="3" t="str">
        <f t="shared" si="17"/>
        <v>Premium</v>
      </c>
      <c r="AA105" s="3">
        <v>2</v>
      </c>
      <c r="AB105" s="3" t="str">
        <f t="shared" si="18"/>
        <v>Average</v>
      </c>
      <c r="AC105" s="3" t="str">
        <f t="shared" si="19"/>
        <v>October</v>
      </c>
      <c r="AD105" s="3" t="str">
        <f t="shared" si="20"/>
        <v>Q4</v>
      </c>
      <c r="AE105" s="3">
        <f t="shared" si="21"/>
        <v>2026</v>
      </c>
      <c r="AF105" s="3" t="str">
        <f t="shared" si="22"/>
        <v>Monday</v>
      </c>
      <c r="AG105" s="3" t="str">
        <f t="shared" si="23"/>
        <v>18-25</v>
      </c>
      <c r="AH105" s="3" t="str">
        <f t="shared" si="24"/>
        <v>Large</v>
      </c>
      <c r="AI105" s="3" t="str">
        <f t="shared" si="25"/>
        <v>Medium</v>
      </c>
      <c r="AJ105" s="3" t="str" cm="1">
        <f t="array" ref="AJ105">_xlfn.IFS(S105&gt;=80000,"VIP",S105&gt;=40000,"Gold",S105&gt;=15000,"Silver",TRUE,"Bronze")</f>
        <v>VIP</v>
      </c>
    </row>
    <row r="106" spans="1:36" x14ac:dyDescent="0.3">
      <c r="A106" s="3" t="s">
        <v>406</v>
      </c>
      <c r="B106" s="15">
        <v>46179</v>
      </c>
      <c r="C106" s="15">
        <v>46184</v>
      </c>
      <c r="D106" s="3" t="s">
        <v>407</v>
      </c>
      <c r="E106" s="3" t="s">
        <v>385</v>
      </c>
      <c r="F106" s="3" t="s">
        <v>52</v>
      </c>
      <c r="G106" s="3">
        <v>26</v>
      </c>
      <c r="H106" s="3" t="s">
        <v>60</v>
      </c>
      <c r="I106" s="3" t="s">
        <v>61</v>
      </c>
      <c r="J106" s="3" t="s">
        <v>42</v>
      </c>
      <c r="K106" s="3" t="s">
        <v>70</v>
      </c>
      <c r="L106" s="3" t="s">
        <v>71</v>
      </c>
      <c r="M106" s="3" t="s">
        <v>45</v>
      </c>
      <c r="N106" s="3" t="s">
        <v>63</v>
      </c>
      <c r="O106" s="3" t="s">
        <v>72</v>
      </c>
      <c r="P106" s="3">
        <v>5</v>
      </c>
      <c r="Q106" s="9">
        <v>58000</v>
      </c>
      <c r="R106" s="6">
        <v>0.08</v>
      </c>
      <c r="S106" s="12">
        <f t="shared" si="13"/>
        <v>266800</v>
      </c>
      <c r="T106" s="12">
        <v>49000</v>
      </c>
      <c r="U106" s="9">
        <f t="shared" si="14"/>
        <v>21800</v>
      </c>
      <c r="V106" s="6">
        <f t="shared" si="15"/>
        <v>8.1709145427286356E-2</v>
      </c>
      <c r="W106" s="3" t="s">
        <v>56</v>
      </c>
      <c r="X106" s="3" t="s">
        <v>74</v>
      </c>
      <c r="Y106" s="3">
        <f t="shared" si="16"/>
        <v>5</v>
      </c>
      <c r="Z106" s="3" t="str">
        <f t="shared" si="17"/>
        <v>Premium</v>
      </c>
      <c r="AA106" s="3">
        <v>5</v>
      </c>
      <c r="AB106" s="3" t="str">
        <f t="shared" si="18"/>
        <v>Excellent</v>
      </c>
      <c r="AC106" s="3" t="str">
        <f t="shared" si="19"/>
        <v>June</v>
      </c>
      <c r="AD106" s="3" t="str">
        <f t="shared" si="20"/>
        <v>Q2</v>
      </c>
      <c r="AE106" s="3">
        <f t="shared" si="21"/>
        <v>2026</v>
      </c>
      <c r="AF106" s="3" t="str">
        <f t="shared" si="22"/>
        <v>Saturday</v>
      </c>
      <c r="AG106" s="3" t="str">
        <f t="shared" si="23"/>
        <v>26-35</v>
      </c>
      <c r="AH106" s="3" t="str">
        <f t="shared" si="24"/>
        <v>Large</v>
      </c>
      <c r="AI106" s="3" t="str">
        <f t="shared" si="25"/>
        <v>Medium</v>
      </c>
      <c r="AJ106" s="3" t="str" cm="1">
        <f t="array" ref="AJ106">_xlfn.IFS(S106&gt;=80000,"VIP",S106&gt;=40000,"Gold",S106&gt;=15000,"Silver",TRUE,"Bronze")</f>
        <v>VIP</v>
      </c>
    </row>
    <row r="107" spans="1:36" x14ac:dyDescent="0.3">
      <c r="A107" s="3" t="s">
        <v>408</v>
      </c>
      <c r="B107" s="15">
        <v>46256</v>
      </c>
      <c r="C107" s="15">
        <v>46260</v>
      </c>
      <c r="D107" s="3" t="s">
        <v>409</v>
      </c>
      <c r="E107" s="3" t="s">
        <v>59</v>
      </c>
      <c r="F107" s="3" t="s">
        <v>52</v>
      </c>
      <c r="G107" s="3">
        <v>26</v>
      </c>
      <c r="H107" s="3" t="s">
        <v>53</v>
      </c>
      <c r="I107" s="3" t="s">
        <v>41</v>
      </c>
      <c r="J107" s="3" t="s">
        <v>42</v>
      </c>
      <c r="K107" s="3" t="s">
        <v>81</v>
      </c>
      <c r="L107" s="3" t="s">
        <v>82</v>
      </c>
      <c r="M107" s="3" t="s">
        <v>45</v>
      </c>
      <c r="N107" s="3" t="s">
        <v>83</v>
      </c>
      <c r="O107" s="3" t="s">
        <v>84</v>
      </c>
      <c r="P107" s="3">
        <v>3</v>
      </c>
      <c r="Q107" s="9">
        <v>42000</v>
      </c>
      <c r="R107" s="6">
        <v>0.1</v>
      </c>
      <c r="S107" s="12">
        <f t="shared" si="13"/>
        <v>113400</v>
      </c>
      <c r="T107" s="12">
        <v>35000</v>
      </c>
      <c r="U107" s="9">
        <f t="shared" si="14"/>
        <v>8400</v>
      </c>
      <c r="V107" s="6">
        <f t="shared" si="15"/>
        <v>7.407407407407407E-2</v>
      </c>
      <c r="W107" s="3" t="s">
        <v>92</v>
      </c>
      <c r="X107" s="3" t="s">
        <v>74</v>
      </c>
      <c r="Y107" s="3">
        <f t="shared" si="16"/>
        <v>4</v>
      </c>
      <c r="Z107" s="3" t="str">
        <f t="shared" si="17"/>
        <v>Premium</v>
      </c>
      <c r="AA107" s="3">
        <v>5</v>
      </c>
      <c r="AB107" s="3" t="str">
        <f t="shared" si="18"/>
        <v>Excellent</v>
      </c>
      <c r="AC107" s="3" t="str">
        <f t="shared" si="19"/>
        <v>August</v>
      </c>
      <c r="AD107" s="3" t="str">
        <f t="shared" si="20"/>
        <v>Q3</v>
      </c>
      <c r="AE107" s="3">
        <f t="shared" si="21"/>
        <v>2026</v>
      </c>
      <c r="AF107" s="3" t="str">
        <f t="shared" si="22"/>
        <v>Saturday</v>
      </c>
      <c r="AG107" s="3" t="str">
        <f t="shared" si="23"/>
        <v>26-35</v>
      </c>
      <c r="AH107" s="3" t="str">
        <f t="shared" si="24"/>
        <v>Large</v>
      </c>
      <c r="AI107" s="3" t="str">
        <f t="shared" si="25"/>
        <v>Medium</v>
      </c>
      <c r="AJ107" s="3" t="str" cm="1">
        <f t="array" ref="AJ107">_xlfn.IFS(S107&gt;=80000,"VIP",S107&gt;=40000,"Gold",S107&gt;=15000,"Silver",TRUE,"Bronze")</f>
        <v>VIP</v>
      </c>
    </row>
    <row r="108" spans="1:36" x14ac:dyDescent="0.3">
      <c r="A108" s="3" t="s">
        <v>410</v>
      </c>
      <c r="B108" s="15">
        <v>46203</v>
      </c>
      <c r="C108" s="15">
        <v>46207</v>
      </c>
      <c r="D108" s="3" t="s">
        <v>411</v>
      </c>
      <c r="E108" s="3" t="s">
        <v>412</v>
      </c>
      <c r="F108" s="3" t="s">
        <v>39</v>
      </c>
      <c r="G108" s="3">
        <v>47</v>
      </c>
      <c r="H108" s="3" t="s">
        <v>119</v>
      </c>
      <c r="I108" s="3" t="s">
        <v>120</v>
      </c>
      <c r="J108" s="3" t="s">
        <v>121</v>
      </c>
      <c r="K108" s="3" t="s">
        <v>96</v>
      </c>
      <c r="L108" s="3" t="s">
        <v>166</v>
      </c>
      <c r="M108" s="3" t="s">
        <v>97</v>
      </c>
      <c r="N108" s="3" t="s">
        <v>98</v>
      </c>
      <c r="O108" s="3" t="s">
        <v>99</v>
      </c>
      <c r="P108" s="3">
        <v>2</v>
      </c>
      <c r="Q108" s="9">
        <v>4500</v>
      </c>
      <c r="R108" s="6">
        <v>0.1</v>
      </c>
      <c r="S108" s="12">
        <f t="shared" si="13"/>
        <v>8100</v>
      </c>
      <c r="T108" s="12">
        <v>3000</v>
      </c>
      <c r="U108" s="9">
        <f t="shared" si="14"/>
        <v>2100</v>
      </c>
      <c r="V108" s="6">
        <f t="shared" si="15"/>
        <v>0.25925925925925924</v>
      </c>
      <c r="W108" s="3" t="s">
        <v>73</v>
      </c>
      <c r="X108" s="3" t="s">
        <v>106</v>
      </c>
      <c r="Y108" s="3">
        <f t="shared" si="16"/>
        <v>4</v>
      </c>
      <c r="Z108" s="3" t="str">
        <f t="shared" si="17"/>
        <v>Regular</v>
      </c>
      <c r="AA108" s="3">
        <v>3</v>
      </c>
      <c r="AB108" s="3" t="str">
        <f t="shared" si="18"/>
        <v>Average</v>
      </c>
      <c r="AC108" s="3" t="str">
        <f t="shared" si="19"/>
        <v>June</v>
      </c>
      <c r="AD108" s="3" t="str">
        <f t="shared" si="20"/>
        <v>Q2</v>
      </c>
      <c r="AE108" s="3">
        <f t="shared" si="21"/>
        <v>2026</v>
      </c>
      <c r="AF108" s="3" t="str">
        <f t="shared" si="22"/>
        <v>Tuesday</v>
      </c>
      <c r="AG108" s="3" t="str">
        <f t="shared" si="23"/>
        <v>46+</v>
      </c>
      <c r="AH108" s="3" t="str">
        <f t="shared" si="24"/>
        <v>Small</v>
      </c>
      <c r="AI108" s="3" t="str">
        <f t="shared" si="25"/>
        <v>Medium</v>
      </c>
      <c r="AJ108" s="3" t="str" cm="1">
        <f t="array" ref="AJ108">_xlfn.IFS(S108&gt;=80000,"VIP",S108&gt;=40000,"Gold",S108&gt;=15000,"Silver",TRUE,"Bronze")</f>
        <v>Bronze</v>
      </c>
    </row>
    <row r="109" spans="1:36" x14ac:dyDescent="0.3">
      <c r="A109" s="3" t="s">
        <v>413</v>
      </c>
      <c r="B109" s="15">
        <v>46190</v>
      </c>
      <c r="C109" s="15">
        <v>46192</v>
      </c>
      <c r="D109" s="3" t="s">
        <v>414</v>
      </c>
      <c r="E109" s="3" t="s">
        <v>393</v>
      </c>
      <c r="F109" s="3" t="s">
        <v>52</v>
      </c>
      <c r="G109" s="3">
        <v>33</v>
      </c>
      <c r="H109" s="3" t="s">
        <v>68</v>
      </c>
      <c r="I109" s="3" t="s">
        <v>68</v>
      </c>
      <c r="J109" s="3" t="s">
        <v>69</v>
      </c>
      <c r="K109" s="3" t="s">
        <v>70</v>
      </c>
      <c r="L109" s="3" t="s">
        <v>71</v>
      </c>
      <c r="M109" s="3" t="s">
        <v>45</v>
      </c>
      <c r="N109" s="3" t="s">
        <v>63</v>
      </c>
      <c r="O109" s="3" t="s">
        <v>72</v>
      </c>
      <c r="P109" s="3">
        <v>5</v>
      </c>
      <c r="Q109" s="9">
        <v>58000</v>
      </c>
      <c r="R109" s="6">
        <v>0.15</v>
      </c>
      <c r="S109" s="12">
        <f t="shared" si="13"/>
        <v>246500</v>
      </c>
      <c r="T109" s="12">
        <v>49000</v>
      </c>
      <c r="U109" s="9">
        <f t="shared" si="14"/>
        <v>1500</v>
      </c>
      <c r="V109" s="6">
        <f t="shared" si="15"/>
        <v>6.0851926977687626E-3</v>
      </c>
      <c r="W109" s="3" t="s">
        <v>100</v>
      </c>
      <c r="X109" s="3" t="s">
        <v>74</v>
      </c>
      <c r="Y109" s="3">
        <f t="shared" si="16"/>
        <v>2</v>
      </c>
      <c r="Z109" s="3" t="str">
        <f t="shared" si="17"/>
        <v>Premium</v>
      </c>
      <c r="AA109" s="3">
        <v>2</v>
      </c>
      <c r="AB109" s="3" t="str">
        <f t="shared" si="18"/>
        <v>Average</v>
      </c>
      <c r="AC109" s="3" t="str">
        <f t="shared" si="19"/>
        <v>June</v>
      </c>
      <c r="AD109" s="3" t="str">
        <f t="shared" si="20"/>
        <v>Q2</v>
      </c>
      <c r="AE109" s="3">
        <f t="shared" si="21"/>
        <v>2026</v>
      </c>
      <c r="AF109" s="3" t="str">
        <f t="shared" si="22"/>
        <v>Wednesday</v>
      </c>
      <c r="AG109" s="3" t="str">
        <f t="shared" si="23"/>
        <v>26-35</v>
      </c>
      <c r="AH109" s="3" t="str">
        <f t="shared" si="24"/>
        <v>Large</v>
      </c>
      <c r="AI109" s="3" t="str">
        <f t="shared" si="25"/>
        <v>Medium</v>
      </c>
      <c r="AJ109" s="3" t="str" cm="1">
        <f t="array" ref="AJ109">_xlfn.IFS(S109&gt;=80000,"VIP",S109&gt;=40000,"Gold",S109&gt;=15000,"Silver",TRUE,"Bronze")</f>
        <v>VIP</v>
      </c>
    </row>
    <row r="110" spans="1:36" x14ac:dyDescent="0.3">
      <c r="A110" s="3" t="s">
        <v>415</v>
      </c>
      <c r="B110" s="15">
        <v>46241</v>
      </c>
      <c r="C110" s="15">
        <v>46244</v>
      </c>
      <c r="D110" s="3" t="s">
        <v>416</v>
      </c>
      <c r="E110" s="3" t="s">
        <v>248</v>
      </c>
      <c r="F110" s="3" t="s">
        <v>52</v>
      </c>
      <c r="G110" s="3">
        <v>44</v>
      </c>
      <c r="H110" s="3" t="s">
        <v>40</v>
      </c>
      <c r="I110" s="3" t="s">
        <v>41</v>
      </c>
      <c r="J110" s="3" t="s">
        <v>42</v>
      </c>
      <c r="K110" s="3" t="s">
        <v>105</v>
      </c>
      <c r="L110" s="3" t="s">
        <v>112</v>
      </c>
      <c r="M110" s="3" t="s">
        <v>113</v>
      </c>
      <c r="N110" s="3" t="s">
        <v>114</v>
      </c>
      <c r="O110" s="3" t="s">
        <v>115</v>
      </c>
      <c r="P110" s="3">
        <v>4</v>
      </c>
      <c r="Q110" s="9">
        <v>3500</v>
      </c>
      <c r="R110" s="6">
        <v>0.05</v>
      </c>
      <c r="S110" s="12">
        <f t="shared" si="13"/>
        <v>13300</v>
      </c>
      <c r="T110" s="12">
        <v>2500</v>
      </c>
      <c r="U110" s="9">
        <f t="shared" si="14"/>
        <v>3300</v>
      </c>
      <c r="V110" s="6">
        <f t="shared" si="15"/>
        <v>0.24812030075187969</v>
      </c>
      <c r="W110" s="3" t="s">
        <v>56</v>
      </c>
      <c r="X110" s="3" t="s">
        <v>74</v>
      </c>
      <c r="Y110" s="3">
        <f t="shared" si="16"/>
        <v>3</v>
      </c>
      <c r="Z110" s="3" t="str">
        <f t="shared" si="17"/>
        <v>Regular</v>
      </c>
      <c r="AA110" s="3">
        <v>4</v>
      </c>
      <c r="AB110" s="3" t="str">
        <f t="shared" si="18"/>
        <v>Excellent</v>
      </c>
      <c r="AC110" s="3" t="str">
        <f t="shared" si="19"/>
        <v>August</v>
      </c>
      <c r="AD110" s="3" t="str">
        <f t="shared" si="20"/>
        <v>Q3</v>
      </c>
      <c r="AE110" s="3">
        <f t="shared" si="21"/>
        <v>2026</v>
      </c>
      <c r="AF110" s="3" t="str">
        <f t="shared" si="22"/>
        <v>Friday</v>
      </c>
      <c r="AG110" s="3" t="str">
        <f t="shared" si="23"/>
        <v>36-45</v>
      </c>
      <c r="AH110" s="3" t="str">
        <f t="shared" si="24"/>
        <v>Medium</v>
      </c>
      <c r="AI110" s="3" t="str">
        <f t="shared" si="25"/>
        <v>Low</v>
      </c>
      <c r="AJ110" s="3" t="str" cm="1">
        <f t="array" ref="AJ110">_xlfn.IFS(S110&gt;=80000,"VIP",S110&gt;=40000,"Gold",S110&gt;=15000,"Silver",TRUE,"Bronze")</f>
        <v>Bronze</v>
      </c>
    </row>
    <row r="111" spans="1:36" x14ac:dyDescent="0.3">
      <c r="A111" s="3" t="s">
        <v>417</v>
      </c>
      <c r="B111" s="15">
        <v>46070</v>
      </c>
      <c r="C111" s="15">
        <v>46074</v>
      </c>
      <c r="D111" s="3" t="s">
        <v>418</v>
      </c>
      <c r="E111" s="3" t="s">
        <v>137</v>
      </c>
      <c r="F111" s="3" t="s">
        <v>39</v>
      </c>
      <c r="G111" s="3">
        <v>27</v>
      </c>
      <c r="H111" s="3" t="s">
        <v>78</v>
      </c>
      <c r="I111" s="3" t="s">
        <v>79</v>
      </c>
      <c r="J111" s="3" t="s">
        <v>80</v>
      </c>
      <c r="K111" s="3" t="s">
        <v>96</v>
      </c>
      <c r="L111" s="3" t="s">
        <v>166</v>
      </c>
      <c r="M111" s="3" t="s">
        <v>97</v>
      </c>
      <c r="N111" s="3" t="s">
        <v>98</v>
      </c>
      <c r="O111" s="3" t="s">
        <v>99</v>
      </c>
      <c r="P111" s="3">
        <v>1</v>
      </c>
      <c r="Q111" s="9">
        <v>4500</v>
      </c>
      <c r="R111" s="6">
        <v>0.12</v>
      </c>
      <c r="S111" s="12">
        <f t="shared" si="13"/>
        <v>3960</v>
      </c>
      <c r="T111" s="12">
        <v>3000</v>
      </c>
      <c r="U111" s="9">
        <f t="shared" si="14"/>
        <v>960</v>
      </c>
      <c r="V111" s="6">
        <f t="shared" si="15"/>
        <v>0.24242424242424243</v>
      </c>
      <c r="W111" s="3" t="s">
        <v>92</v>
      </c>
      <c r="X111" s="3" t="s">
        <v>106</v>
      </c>
      <c r="Y111" s="3">
        <f t="shared" si="16"/>
        <v>4</v>
      </c>
      <c r="Z111" s="3" t="str">
        <f t="shared" si="17"/>
        <v>Regular</v>
      </c>
      <c r="AA111" s="3">
        <v>3</v>
      </c>
      <c r="AB111" s="3" t="str">
        <f t="shared" si="18"/>
        <v>Average</v>
      </c>
      <c r="AC111" s="3" t="str">
        <f t="shared" si="19"/>
        <v>February</v>
      </c>
      <c r="AD111" s="3" t="str">
        <f t="shared" si="20"/>
        <v>Q1</v>
      </c>
      <c r="AE111" s="3">
        <f t="shared" si="21"/>
        <v>2026</v>
      </c>
      <c r="AF111" s="3" t="str">
        <f t="shared" si="22"/>
        <v>Tuesday</v>
      </c>
      <c r="AG111" s="3" t="str">
        <f t="shared" si="23"/>
        <v>26-35</v>
      </c>
      <c r="AH111" s="3" t="str">
        <f t="shared" si="24"/>
        <v>Small</v>
      </c>
      <c r="AI111" s="3" t="str">
        <f t="shared" si="25"/>
        <v>Medium</v>
      </c>
      <c r="AJ111" s="3" t="str" cm="1">
        <f t="array" ref="AJ111">_xlfn.IFS(S111&gt;=80000,"VIP",S111&gt;=40000,"Gold",S111&gt;=15000,"Silver",TRUE,"Bronze")</f>
        <v>Bronze</v>
      </c>
    </row>
    <row r="112" spans="1:36" x14ac:dyDescent="0.3">
      <c r="A112" s="3" t="s">
        <v>419</v>
      </c>
      <c r="B112" s="15">
        <v>46107</v>
      </c>
      <c r="C112" s="15">
        <v>46109</v>
      </c>
      <c r="D112" s="3" t="s">
        <v>420</v>
      </c>
      <c r="E112" s="3" t="s">
        <v>421</v>
      </c>
      <c r="F112" s="3" t="s">
        <v>39</v>
      </c>
      <c r="G112" s="3">
        <v>40</v>
      </c>
      <c r="H112" s="3" t="s">
        <v>110</v>
      </c>
      <c r="I112" s="3" t="s">
        <v>111</v>
      </c>
      <c r="J112" s="3" t="s">
        <v>80</v>
      </c>
      <c r="K112" s="3" t="s">
        <v>96</v>
      </c>
      <c r="L112" s="3" t="s">
        <v>166</v>
      </c>
      <c r="M112" s="3" t="s">
        <v>97</v>
      </c>
      <c r="N112" s="3" t="s">
        <v>98</v>
      </c>
      <c r="O112" s="3" t="s">
        <v>99</v>
      </c>
      <c r="P112" s="3">
        <v>5</v>
      </c>
      <c r="Q112" s="9">
        <v>4500</v>
      </c>
      <c r="R112" s="6">
        <v>0.2</v>
      </c>
      <c r="S112" s="12">
        <f t="shared" si="13"/>
        <v>18000</v>
      </c>
      <c r="T112" s="12">
        <v>3000</v>
      </c>
      <c r="U112" s="9">
        <f t="shared" si="14"/>
        <v>3000</v>
      </c>
      <c r="V112" s="6">
        <f t="shared" si="15"/>
        <v>0.16666666666666666</v>
      </c>
      <c r="W112" s="3" t="s">
        <v>73</v>
      </c>
      <c r="X112" s="3" t="s">
        <v>74</v>
      </c>
      <c r="Y112" s="3">
        <f t="shared" si="16"/>
        <v>2</v>
      </c>
      <c r="Z112" s="3" t="str">
        <f t="shared" si="17"/>
        <v>Regular</v>
      </c>
      <c r="AA112" s="3">
        <v>5</v>
      </c>
      <c r="AB112" s="3" t="str">
        <f t="shared" si="18"/>
        <v>Excellent</v>
      </c>
      <c r="AC112" s="3" t="str">
        <f t="shared" si="19"/>
        <v>March</v>
      </c>
      <c r="AD112" s="3" t="str">
        <f t="shared" si="20"/>
        <v>Q1</v>
      </c>
      <c r="AE112" s="3">
        <f t="shared" si="21"/>
        <v>2026</v>
      </c>
      <c r="AF112" s="3" t="str">
        <f t="shared" si="22"/>
        <v>Thursday</v>
      </c>
      <c r="AG112" s="3" t="str">
        <f t="shared" si="23"/>
        <v>36-45</v>
      </c>
      <c r="AH112" s="3" t="str">
        <f t="shared" si="24"/>
        <v>Medium</v>
      </c>
      <c r="AI112" s="3" t="str">
        <f t="shared" si="25"/>
        <v>High</v>
      </c>
      <c r="AJ112" s="3" t="str" cm="1">
        <f t="array" ref="AJ112">_xlfn.IFS(S112&gt;=80000,"VIP",S112&gt;=40000,"Gold",S112&gt;=15000,"Silver",TRUE,"Bronze")</f>
        <v>Silver</v>
      </c>
    </row>
    <row r="113" spans="1:36" x14ac:dyDescent="0.3">
      <c r="A113" s="3" t="s">
        <v>422</v>
      </c>
      <c r="B113" s="15">
        <v>46139</v>
      </c>
      <c r="C113" s="15">
        <v>46141</v>
      </c>
      <c r="D113" s="3" t="s">
        <v>423</v>
      </c>
      <c r="E113" s="3" t="s">
        <v>87</v>
      </c>
      <c r="F113" s="3" t="s">
        <v>39</v>
      </c>
      <c r="G113" s="3">
        <v>32</v>
      </c>
      <c r="H113" s="3" t="s">
        <v>78</v>
      </c>
      <c r="I113" s="3" t="s">
        <v>79</v>
      </c>
      <c r="J113" s="3" t="s">
        <v>80</v>
      </c>
      <c r="K113" s="3" t="s">
        <v>105</v>
      </c>
      <c r="L113" s="3" t="s">
        <v>112</v>
      </c>
      <c r="M113" s="3" t="s">
        <v>113</v>
      </c>
      <c r="N113" s="3" t="s">
        <v>114</v>
      </c>
      <c r="O113" s="3" t="s">
        <v>115</v>
      </c>
      <c r="P113" s="3">
        <v>5</v>
      </c>
      <c r="Q113" s="9">
        <v>3500</v>
      </c>
      <c r="R113" s="6">
        <v>0.12</v>
      </c>
      <c r="S113" s="12">
        <f t="shared" si="13"/>
        <v>15400</v>
      </c>
      <c r="T113" s="12">
        <v>2500</v>
      </c>
      <c r="U113" s="9">
        <f t="shared" si="14"/>
        <v>2900</v>
      </c>
      <c r="V113" s="6">
        <f t="shared" si="15"/>
        <v>0.18831168831168832</v>
      </c>
      <c r="W113" s="3" t="s">
        <v>100</v>
      </c>
      <c r="X113" s="3" t="s">
        <v>49</v>
      </c>
      <c r="Y113" s="3">
        <f t="shared" si="16"/>
        <v>2</v>
      </c>
      <c r="Z113" s="3" t="str">
        <f t="shared" si="17"/>
        <v>Regular</v>
      </c>
      <c r="AA113" s="3">
        <v>2</v>
      </c>
      <c r="AB113" s="3" t="str">
        <f t="shared" si="18"/>
        <v>Average</v>
      </c>
      <c r="AC113" s="3" t="str">
        <f t="shared" si="19"/>
        <v>April</v>
      </c>
      <c r="AD113" s="3" t="str">
        <f t="shared" si="20"/>
        <v>Q2</v>
      </c>
      <c r="AE113" s="3">
        <f t="shared" si="21"/>
        <v>2026</v>
      </c>
      <c r="AF113" s="3" t="str">
        <f t="shared" si="22"/>
        <v>Monday</v>
      </c>
      <c r="AG113" s="3" t="str">
        <f t="shared" si="23"/>
        <v>26-35</v>
      </c>
      <c r="AH113" s="3" t="str">
        <f t="shared" si="24"/>
        <v>Medium</v>
      </c>
      <c r="AI113" s="3" t="str">
        <f t="shared" si="25"/>
        <v>Medium</v>
      </c>
      <c r="AJ113" s="3" t="str" cm="1">
        <f t="array" ref="AJ113">_xlfn.IFS(S113&gt;=80000,"VIP",S113&gt;=40000,"Gold",S113&gt;=15000,"Silver",TRUE,"Bronze")</f>
        <v>Silver</v>
      </c>
    </row>
    <row r="114" spans="1:36" x14ac:dyDescent="0.3">
      <c r="A114" s="3" t="s">
        <v>424</v>
      </c>
      <c r="B114" s="15">
        <v>46227</v>
      </c>
      <c r="C114" s="15">
        <v>46229</v>
      </c>
      <c r="D114" s="3" t="s">
        <v>425</v>
      </c>
      <c r="E114" s="3" t="s">
        <v>180</v>
      </c>
      <c r="F114" s="3" t="s">
        <v>52</v>
      </c>
      <c r="G114" s="3">
        <v>39</v>
      </c>
      <c r="H114" s="3" t="s">
        <v>88</v>
      </c>
      <c r="I114" s="3" t="s">
        <v>89</v>
      </c>
      <c r="J114" s="3" t="s">
        <v>80</v>
      </c>
      <c r="K114" s="3" t="s">
        <v>81</v>
      </c>
      <c r="L114" s="3" t="s">
        <v>82</v>
      </c>
      <c r="M114" s="3" t="s">
        <v>45</v>
      </c>
      <c r="N114" s="3" t="s">
        <v>83</v>
      </c>
      <c r="O114" s="3" t="s">
        <v>84</v>
      </c>
      <c r="P114" s="3">
        <v>4</v>
      </c>
      <c r="Q114" s="9">
        <v>42000</v>
      </c>
      <c r="R114" s="6">
        <v>0.1</v>
      </c>
      <c r="S114" s="12">
        <f t="shared" si="13"/>
        <v>151200</v>
      </c>
      <c r="T114" s="12">
        <v>35000</v>
      </c>
      <c r="U114" s="9">
        <f t="shared" si="14"/>
        <v>11200</v>
      </c>
      <c r="V114" s="6">
        <f t="shared" si="15"/>
        <v>7.407407407407407E-2</v>
      </c>
      <c r="W114" s="3" t="s">
        <v>73</v>
      </c>
      <c r="X114" s="3" t="s">
        <v>49</v>
      </c>
      <c r="Y114" s="3">
        <f t="shared" si="16"/>
        <v>2</v>
      </c>
      <c r="Z114" s="3" t="str">
        <f t="shared" si="17"/>
        <v>Premium</v>
      </c>
      <c r="AA114" s="3">
        <v>4</v>
      </c>
      <c r="AB114" s="3" t="str">
        <f t="shared" si="18"/>
        <v>Excellent</v>
      </c>
      <c r="AC114" s="3" t="str">
        <f t="shared" si="19"/>
        <v>July</v>
      </c>
      <c r="AD114" s="3" t="str">
        <f t="shared" si="20"/>
        <v>Q3</v>
      </c>
      <c r="AE114" s="3">
        <f t="shared" si="21"/>
        <v>2026</v>
      </c>
      <c r="AF114" s="3" t="str">
        <f t="shared" si="22"/>
        <v>Friday</v>
      </c>
      <c r="AG114" s="3" t="str">
        <f t="shared" si="23"/>
        <v>36-45</v>
      </c>
      <c r="AH114" s="3" t="str">
        <f t="shared" si="24"/>
        <v>Large</v>
      </c>
      <c r="AI114" s="3" t="str">
        <f t="shared" si="25"/>
        <v>Medium</v>
      </c>
      <c r="AJ114" s="3" t="str" cm="1">
        <f t="array" ref="AJ114">_xlfn.IFS(S114&gt;=80000,"VIP",S114&gt;=40000,"Gold",S114&gt;=15000,"Silver",TRUE,"Bronze")</f>
        <v>VIP</v>
      </c>
    </row>
    <row r="115" spans="1:36" x14ac:dyDescent="0.3">
      <c r="A115" s="3" t="s">
        <v>426</v>
      </c>
      <c r="B115" s="15">
        <v>46176</v>
      </c>
      <c r="C115" s="15">
        <v>46180</v>
      </c>
      <c r="D115" s="3" t="s">
        <v>427</v>
      </c>
      <c r="E115" s="3" t="s">
        <v>306</v>
      </c>
      <c r="F115" s="3" t="s">
        <v>52</v>
      </c>
      <c r="G115" s="3">
        <v>39</v>
      </c>
      <c r="H115" s="3" t="s">
        <v>60</v>
      </c>
      <c r="I115" s="3" t="s">
        <v>61</v>
      </c>
      <c r="J115" s="3" t="s">
        <v>42</v>
      </c>
      <c r="K115" s="3" t="s">
        <v>70</v>
      </c>
      <c r="L115" s="3" t="s">
        <v>71</v>
      </c>
      <c r="M115" s="3" t="s">
        <v>45</v>
      </c>
      <c r="N115" s="3" t="s">
        <v>63</v>
      </c>
      <c r="O115" s="3" t="s">
        <v>72</v>
      </c>
      <c r="P115" s="3">
        <v>4</v>
      </c>
      <c r="Q115" s="9">
        <v>58000</v>
      </c>
      <c r="R115" s="6">
        <v>0.08</v>
      </c>
      <c r="S115" s="12">
        <f t="shared" si="13"/>
        <v>213440</v>
      </c>
      <c r="T115" s="12">
        <v>49000</v>
      </c>
      <c r="U115" s="9">
        <f t="shared" si="14"/>
        <v>17440</v>
      </c>
      <c r="V115" s="6">
        <f t="shared" si="15"/>
        <v>8.1709145427286356E-2</v>
      </c>
      <c r="W115" s="3" t="s">
        <v>48</v>
      </c>
      <c r="X115" s="3" t="s">
        <v>101</v>
      </c>
      <c r="Y115" s="3">
        <f t="shared" si="16"/>
        <v>4</v>
      </c>
      <c r="Z115" s="3" t="str">
        <f t="shared" si="17"/>
        <v>Premium</v>
      </c>
      <c r="AA115" s="3">
        <v>5</v>
      </c>
      <c r="AB115" s="3" t="str">
        <f t="shared" si="18"/>
        <v>Excellent</v>
      </c>
      <c r="AC115" s="3" t="str">
        <f t="shared" si="19"/>
        <v>June</v>
      </c>
      <c r="AD115" s="3" t="str">
        <f t="shared" si="20"/>
        <v>Q2</v>
      </c>
      <c r="AE115" s="3">
        <f t="shared" si="21"/>
        <v>2026</v>
      </c>
      <c r="AF115" s="3" t="str">
        <f t="shared" si="22"/>
        <v>Wednesday</v>
      </c>
      <c r="AG115" s="3" t="str">
        <f t="shared" si="23"/>
        <v>36-45</v>
      </c>
      <c r="AH115" s="3" t="str">
        <f t="shared" si="24"/>
        <v>Large</v>
      </c>
      <c r="AI115" s="3" t="str">
        <f t="shared" si="25"/>
        <v>Medium</v>
      </c>
      <c r="AJ115" s="3" t="str" cm="1">
        <f t="array" ref="AJ115">_xlfn.IFS(S115&gt;=80000,"VIP",S115&gt;=40000,"Gold",S115&gt;=15000,"Silver",TRUE,"Bronze")</f>
        <v>VIP</v>
      </c>
    </row>
    <row r="116" spans="1:36" x14ac:dyDescent="0.3">
      <c r="A116" s="3" t="s">
        <v>428</v>
      </c>
      <c r="B116" s="15">
        <v>46148</v>
      </c>
      <c r="C116" s="15">
        <v>46152</v>
      </c>
      <c r="D116" s="3" t="s">
        <v>429</v>
      </c>
      <c r="E116" s="3" t="s">
        <v>159</v>
      </c>
      <c r="F116" s="3" t="s">
        <v>39</v>
      </c>
      <c r="G116" s="3">
        <v>26</v>
      </c>
      <c r="H116" s="3" t="s">
        <v>60</v>
      </c>
      <c r="I116" s="3" t="s">
        <v>61</v>
      </c>
      <c r="J116" s="3" t="s">
        <v>42</v>
      </c>
      <c r="K116" s="3" t="s">
        <v>43</v>
      </c>
      <c r="L116" s="3" t="s">
        <v>44</v>
      </c>
      <c r="M116" s="3" t="s">
        <v>45</v>
      </c>
      <c r="N116" s="3" t="s">
        <v>46</v>
      </c>
      <c r="O116" s="3" t="s">
        <v>47</v>
      </c>
      <c r="P116" s="3">
        <v>4</v>
      </c>
      <c r="Q116" s="9">
        <v>28500</v>
      </c>
      <c r="R116" s="6">
        <v>0.15</v>
      </c>
      <c r="S116" s="12">
        <f t="shared" si="13"/>
        <v>96900</v>
      </c>
      <c r="T116" s="12">
        <v>22000</v>
      </c>
      <c r="U116" s="9">
        <f t="shared" si="14"/>
        <v>8900</v>
      </c>
      <c r="V116" s="6">
        <f t="shared" si="15"/>
        <v>9.1847265221878222E-2</v>
      </c>
      <c r="W116" s="3" t="s">
        <v>73</v>
      </c>
      <c r="X116" s="3" t="s">
        <v>49</v>
      </c>
      <c r="Y116" s="3">
        <f t="shared" si="16"/>
        <v>4</v>
      </c>
      <c r="Z116" s="3" t="str">
        <f t="shared" si="17"/>
        <v>Premium</v>
      </c>
      <c r="AA116" s="3">
        <v>3</v>
      </c>
      <c r="AB116" s="3" t="str">
        <f t="shared" si="18"/>
        <v>Average</v>
      </c>
      <c r="AC116" s="3" t="str">
        <f t="shared" si="19"/>
        <v>May</v>
      </c>
      <c r="AD116" s="3" t="str">
        <f t="shared" si="20"/>
        <v>Q2</v>
      </c>
      <c r="AE116" s="3">
        <f t="shared" si="21"/>
        <v>2026</v>
      </c>
      <c r="AF116" s="3" t="str">
        <f t="shared" si="22"/>
        <v>Wednesday</v>
      </c>
      <c r="AG116" s="3" t="str">
        <f t="shared" si="23"/>
        <v>26-35</v>
      </c>
      <c r="AH116" s="3" t="str">
        <f t="shared" si="24"/>
        <v>Large</v>
      </c>
      <c r="AI116" s="3" t="str">
        <f t="shared" si="25"/>
        <v>Medium</v>
      </c>
      <c r="AJ116" s="3" t="str" cm="1">
        <f t="array" ref="AJ116">_xlfn.IFS(S116&gt;=80000,"VIP",S116&gt;=40000,"Gold",S116&gt;=15000,"Silver",TRUE,"Bronze")</f>
        <v>VIP</v>
      </c>
    </row>
    <row r="117" spans="1:36" x14ac:dyDescent="0.3">
      <c r="A117" s="3" t="s">
        <v>430</v>
      </c>
      <c r="B117" s="15">
        <v>46266</v>
      </c>
      <c r="C117" s="15">
        <v>46268</v>
      </c>
      <c r="D117" s="3" t="s">
        <v>431</v>
      </c>
      <c r="E117" s="3" t="s">
        <v>432</v>
      </c>
      <c r="F117" s="3" t="s">
        <v>52</v>
      </c>
      <c r="G117" s="3">
        <v>38</v>
      </c>
      <c r="H117" s="3" t="s">
        <v>40</v>
      </c>
      <c r="I117" s="3" t="s">
        <v>41</v>
      </c>
      <c r="J117" s="3" t="s">
        <v>42</v>
      </c>
      <c r="K117" s="3" t="s">
        <v>96</v>
      </c>
      <c r="L117" s="3" t="s">
        <v>166</v>
      </c>
      <c r="M117" s="3" t="s">
        <v>97</v>
      </c>
      <c r="N117" s="3" t="s">
        <v>98</v>
      </c>
      <c r="O117" s="3" t="s">
        <v>99</v>
      </c>
      <c r="P117" s="3">
        <v>1</v>
      </c>
      <c r="Q117" s="9">
        <v>4500</v>
      </c>
      <c r="R117" s="6">
        <v>0.05</v>
      </c>
      <c r="S117" s="12">
        <f t="shared" si="13"/>
        <v>4275</v>
      </c>
      <c r="T117" s="12">
        <v>3000</v>
      </c>
      <c r="U117" s="9">
        <f t="shared" si="14"/>
        <v>1275</v>
      </c>
      <c r="V117" s="6">
        <f t="shared" si="15"/>
        <v>0.2982456140350877</v>
      </c>
      <c r="W117" s="3" t="s">
        <v>73</v>
      </c>
      <c r="X117" s="3" t="s">
        <v>101</v>
      </c>
      <c r="Y117" s="3">
        <f t="shared" si="16"/>
        <v>2</v>
      </c>
      <c r="Z117" s="3" t="str">
        <f t="shared" si="17"/>
        <v>Regular</v>
      </c>
      <c r="AA117" s="3">
        <v>4</v>
      </c>
      <c r="AB117" s="3" t="str">
        <f t="shared" si="18"/>
        <v>Excellent</v>
      </c>
      <c r="AC117" s="3" t="str">
        <f t="shared" si="19"/>
        <v>September</v>
      </c>
      <c r="AD117" s="3" t="str">
        <f t="shared" si="20"/>
        <v>Q3</v>
      </c>
      <c r="AE117" s="3">
        <f t="shared" si="21"/>
        <v>2026</v>
      </c>
      <c r="AF117" s="3" t="str">
        <f t="shared" si="22"/>
        <v>Tuesday</v>
      </c>
      <c r="AG117" s="3" t="str">
        <f t="shared" si="23"/>
        <v>36-45</v>
      </c>
      <c r="AH117" s="3" t="str">
        <f t="shared" si="24"/>
        <v>Small</v>
      </c>
      <c r="AI117" s="3" t="str">
        <f t="shared" si="25"/>
        <v>Low</v>
      </c>
      <c r="AJ117" s="3" t="str" cm="1">
        <f t="array" ref="AJ117">_xlfn.IFS(S117&gt;=80000,"VIP",S117&gt;=40000,"Gold",S117&gt;=15000,"Silver",TRUE,"Bronze")</f>
        <v>Bronze</v>
      </c>
    </row>
    <row r="118" spans="1:36" x14ac:dyDescent="0.3">
      <c r="A118" s="3" t="s">
        <v>433</v>
      </c>
      <c r="B118" s="15">
        <v>46239</v>
      </c>
      <c r="C118" s="15">
        <v>46243</v>
      </c>
      <c r="D118" s="3" t="s">
        <v>434</v>
      </c>
      <c r="E118" s="3" t="s">
        <v>175</v>
      </c>
      <c r="F118" s="3" t="s">
        <v>52</v>
      </c>
      <c r="G118" s="3">
        <v>37</v>
      </c>
      <c r="H118" s="3" t="s">
        <v>78</v>
      </c>
      <c r="I118" s="3" t="s">
        <v>79</v>
      </c>
      <c r="J118" s="3" t="s">
        <v>80</v>
      </c>
      <c r="K118" s="3" t="s">
        <v>54</v>
      </c>
      <c r="L118" s="3" t="s">
        <v>173</v>
      </c>
      <c r="M118" s="3" t="s">
        <v>45</v>
      </c>
      <c r="N118" s="3" t="s">
        <v>46</v>
      </c>
      <c r="O118" s="3" t="s">
        <v>55</v>
      </c>
      <c r="P118" s="3">
        <v>2</v>
      </c>
      <c r="Q118" s="9">
        <v>79900</v>
      </c>
      <c r="R118" s="6">
        <v>0.05</v>
      </c>
      <c r="S118" s="12">
        <f t="shared" si="13"/>
        <v>151810</v>
      </c>
      <c r="T118" s="12">
        <v>65000</v>
      </c>
      <c r="U118" s="9">
        <f t="shared" si="14"/>
        <v>21810</v>
      </c>
      <c r="V118" s="6">
        <f t="shared" si="15"/>
        <v>0.14366642513668401</v>
      </c>
      <c r="W118" s="3" t="s">
        <v>48</v>
      </c>
      <c r="X118" s="3" t="s">
        <v>49</v>
      </c>
      <c r="Y118" s="3">
        <f t="shared" si="16"/>
        <v>4</v>
      </c>
      <c r="Z118" s="3" t="str">
        <f t="shared" si="17"/>
        <v>Premium</v>
      </c>
      <c r="AA118" s="3">
        <v>2</v>
      </c>
      <c r="AB118" s="3" t="str">
        <f t="shared" si="18"/>
        <v>Average</v>
      </c>
      <c r="AC118" s="3" t="str">
        <f t="shared" si="19"/>
        <v>August</v>
      </c>
      <c r="AD118" s="3" t="str">
        <f t="shared" si="20"/>
        <v>Q3</v>
      </c>
      <c r="AE118" s="3">
        <f t="shared" si="21"/>
        <v>2026</v>
      </c>
      <c r="AF118" s="3" t="str">
        <f t="shared" si="22"/>
        <v>Wednesday</v>
      </c>
      <c r="AG118" s="3" t="str">
        <f t="shared" si="23"/>
        <v>36-45</v>
      </c>
      <c r="AH118" s="3" t="str">
        <f t="shared" si="24"/>
        <v>Large</v>
      </c>
      <c r="AI118" s="3" t="str">
        <f t="shared" si="25"/>
        <v>Low</v>
      </c>
      <c r="AJ118" s="3" t="str" cm="1">
        <f t="array" ref="AJ118">_xlfn.IFS(S118&gt;=80000,"VIP",S118&gt;=40000,"Gold",S118&gt;=15000,"Silver",TRUE,"Bronze")</f>
        <v>VIP</v>
      </c>
    </row>
    <row r="119" spans="1:36" x14ac:dyDescent="0.3">
      <c r="A119" s="3" t="s">
        <v>435</v>
      </c>
      <c r="B119" s="15">
        <v>46277</v>
      </c>
      <c r="C119" s="15">
        <v>46282</v>
      </c>
      <c r="D119" s="3" t="s">
        <v>436</v>
      </c>
      <c r="E119" s="3" t="s">
        <v>266</v>
      </c>
      <c r="F119" s="3" t="s">
        <v>39</v>
      </c>
      <c r="G119" s="3">
        <v>42</v>
      </c>
      <c r="H119" s="3" t="s">
        <v>88</v>
      </c>
      <c r="I119" s="3" t="s">
        <v>89</v>
      </c>
      <c r="J119" s="3" t="s">
        <v>80</v>
      </c>
      <c r="K119" s="3" t="s">
        <v>90</v>
      </c>
      <c r="L119" s="3" t="s">
        <v>122</v>
      </c>
      <c r="M119" s="3" t="s">
        <v>45</v>
      </c>
      <c r="N119" s="3" t="s">
        <v>91</v>
      </c>
      <c r="O119" s="3" t="s">
        <v>123</v>
      </c>
      <c r="P119" s="3">
        <v>1</v>
      </c>
      <c r="Q119" s="9">
        <v>2500</v>
      </c>
      <c r="R119" s="6">
        <v>0.1</v>
      </c>
      <c r="S119" s="12">
        <f t="shared" si="13"/>
        <v>2250</v>
      </c>
      <c r="T119" s="12">
        <v>1700</v>
      </c>
      <c r="U119" s="9">
        <f t="shared" si="14"/>
        <v>550</v>
      </c>
      <c r="V119" s="6">
        <f t="shared" si="15"/>
        <v>0.24444444444444444</v>
      </c>
      <c r="W119" s="3" t="s">
        <v>100</v>
      </c>
      <c r="X119" s="3" t="s">
        <v>106</v>
      </c>
      <c r="Y119" s="3">
        <f t="shared" si="16"/>
        <v>5</v>
      </c>
      <c r="Z119" s="3" t="str">
        <f t="shared" si="17"/>
        <v>Regular</v>
      </c>
      <c r="AA119" s="3">
        <v>4</v>
      </c>
      <c r="AB119" s="3" t="str">
        <f t="shared" si="18"/>
        <v>Excellent</v>
      </c>
      <c r="AC119" s="3" t="str">
        <f t="shared" si="19"/>
        <v>September</v>
      </c>
      <c r="AD119" s="3" t="str">
        <f t="shared" si="20"/>
        <v>Q3</v>
      </c>
      <c r="AE119" s="3">
        <f t="shared" si="21"/>
        <v>2026</v>
      </c>
      <c r="AF119" s="3" t="str">
        <f t="shared" si="22"/>
        <v>Saturday</v>
      </c>
      <c r="AG119" s="3" t="str">
        <f t="shared" si="23"/>
        <v>36-45</v>
      </c>
      <c r="AH119" s="3" t="str">
        <f t="shared" si="24"/>
        <v>Small</v>
      </c>
      <c r="AI119" s="3" t="str">
        <f t="shared" si="25"/>
        <v>Medium</v>
      </c>
      <c r="AJ119" s="3" t="str" cm="1">
        <f t="array" ref="AJ119">_xlfn.IFS(S119&gt;=80000,"VIP",S119&gt;=40000,"Gold",S119&gt;=15000,"Silver",TRUE,"Bronze")</f>
        <v>Bronze</v>
      </c>
    </row>
    <row r="120" spans="1:36" x14ac:dyDescent="0.3">
      <c r="A120" s="3" t="s">
        <v>437</v>
      </c>
      <c r="B120" s="15">
        <v>46024</v>
      </c>
      <c r="C120" s="15">
        <v>46029</v>
      </c>
      <c r="D120" s="3" t="s">
        <v>438</v>
      </c>
      <c r="E120" s="3" t="s">
        <v>209</v>
      </c>
      <c r="F120" s="3" t="s">
        <v>52</v>
      </c>
      <c r="G120" s="3">
        <v>39</v>
      </c>
      <c r="H120" s="3" t="s">
        <v>60</v>
      </c>
      <c r="I120" s="3" t="s">
        <v>61</v>
      </c>
      <c r="J120" s="3" t="s">
        <v>42</v>
      </c>
      <c r="K120" s="3" t="s">
        <v>81</v>
      </c>
      <c r="L120" s="3" t="s">
        <v>82</v>
      </c>
      <c r="M120" s="3" t="s">
        <v>45</v>
      </c>
      <c r="N120" s="3" t="s">
        <v>83</v>
      </c>
      <c r="O120" s="3" t="s">
        <v>84</v>
      </c>
      <c r="P120" s="3">
        <v>4</v>
      </c>
      <c r="Q120" s="9">
        <v>42000</v>
      </c>
      <c r="R120" s="6">
        <v>0.08</v>
      </c>
      <c r="S120" s="12">
        <f t="shared" si="13"/>
        <v>154560</v>
      </c>
      <c r="T120" s="12">
        <v>35000</v>
      </c>
      <c r="U120" s="9">
        <f t="shared" si="14"/>
        <v>14560</v>
      </c>
      <c r="V120" s="6">
        <f t="shared" si="15"/>
        <v>9.420289855072464E-2</v>
      </c>
      <c r="W120" s="3" t="s">
        <v>92</v>
      </c>
      <c r="X120" s="3" t="s">
        <v>101</v>
      </c>
      <c r="Y120" s="3">
        <f t="shared" si="16"/>
        <v>5</v>
      </c>
      <c r="Z120" s="3" t="str">
        <f t="shared" si="17"/>
        <v>Premium</v>
      </c>
      <c r="AA120" s="3">
        <v>4</v>
      </c>
      <c r="AB120" s="3" t="str">
        <f t="shared" si="18"/>
        <v>Excellent</v>
      </c>
      <c r="AC120" s="3" t="str">
        <f t="shared" si="19"/>
        <v>January</v>
      </c>
      <c r="AD120" s="3" t="str">
        <f t="shared" si="20"/>
        <v>Q1</v>
      </c>
      <c r="AE120" s="3">
        <f t="shared" si="21"/>
        <v>2026</v>
      </c>
      <c r="AF120" s="3" t="str">
        <f t="shared" si="22"/>
        <v>Friday</v>
      </c>
      <c r="AG120" s="3" t="str">
        <f t="shared" si="23"/>
        <v>36-45</v>
      </c>
      <c r="AH120" s="3" t="str">
        <f t="shared" si="24"/>
        <v>Large</v>
      </c>
      <c r="AI120" s="3" t="str">
        <f t="shared" si="25"/>
        <v>Medium</v>
      </c>
      <c r="AJ120" s="3" t="str" cm="1">
        <f t="array" ref="AJ120">_xlfn.IFS(S120&gt;=80000,"VIP",S120&gt;=40000,"Gold",S120&gt;=15000,"Silver",TRUE,"Bronze")</f>
        <v>VIP</v>
      </c>
    </row>
    <row r="121" spans="1:36" x14ac:dyDescent="0.3">
      <c r="A121" s="3" t="s">
        <v>439</v>
      </c>
      <c r="B121" s="15">
        <v>46279</v>
      </c>
      <c r="C121" s="15">
        <v>46282</v>
      </c>
      <c r="D121" s="3" t="s">
        <v>440</v>
      </c>
      <c r="E121" s="3" t="s">
        <v>441</v>
      </c>
      <c r="F121" s="3" t="s">
        <v>52</v>
      </c>
      <c r="G121" s="3">
        <v>35</v>
      </c>
      <c r="H121" s="3" t="s">
        <v>68</v>
      </c>
      <c r="I121" s="3" t="s">
        <v>68</v>
      </c>
      <c r="J121" s="3" t="s">
        <v>69</v>
      </c>
      <c r="K121" s="3" t="s">
        <v>90</v>
      </c>
      <c r="L121" s="3" t="s">
        <v>122</v>
      </c>
      <c r="M121" s="3" t="s">
        <v>45</v>
      </c>
      <c r="N121" s="3" t="s">
        <v>91</v>
      </c>
      <c r="O121" s="3" t="s">
        <v>123</v>
      </c>
      <c r="P121" s="3">
        <v>4</v>
      </c>
      <c r="Q121" s="9">
        <v>2500</v>
      </c>
      <c r="R121" s="6">
        <v>0.12</v>
      </c>
      <c r="S121" s="12">
        <f t="shared" si="13"/>
        <v>8800</v>
      </c>
      <c r="T121" s="12">
        <v>1700</v>
      </c>
      <c r="U121" s="9">
        <f t="shared" si="14"/>
        <v>2000</v>
      </c>
      <c r="V121" s="6">
        <f t="shared" si="15"/>
        <v>0.22727272727272727</v>
      </c>
      <c r="W121" s="3" t="s">
        <v>92</v>
      </c>
      <c r="X121" s="3" t="s">
        <v>74</v>
      </c>
      <c r="Y121" s="3">
        <f t="shared" si="16"/>
        <v>3</v>
      </c>
      <c r="Z121" s="3" t="str">
        <f t="shared" si="17"/>
        <v>Regular</v>
      </c>
      <c r="AA121" s="3">
        <v>5</v>
      </c>
      <c r="AB121" s="3" t="str">
        <f t="shared" si="18"/>
        <v>Excellent</v>
      </c>
      <c r="AC121" s="3" t="str">
        <f t="shared" si="19"/>
        <v>September</v>
      </c>
      <c r="AD121" s="3" t="str">
        <f t="shared" si="20"/>
        <v>Q3</v>
      </c>
      <c r="AE121" s="3">
        <f t="shared" si="21"/>
        <v>2026</v>
      </c>
      <c r="AF121" s="3" t="str">
        <f t="shared" si="22"/>
        <v>Monday</v>
      </c>
      <c r="AG121" s="3" t="str">
        <f t="shared" si="23"/>
        <v>26-35</v>
      </c>
      <c r="AH121" s="3" t="str">
        <f t="shared" si="24"/>
        <v>Small</v>
      </c>
      <c r="AI121" s="3" t="str">
        <f t="shared" si="25"/>
        <v>Medium</v>
      </c>
      <c r="AJ121" s="3" t="str" cm="1">
        <f t="array" ref="AJ121">_xlfn.IFS(S121&gt;=80000,"VIP",S121&gt;=40000,"Gold",S121&gt;=15000,"Silver",TRUE,"Bronze")</f>
        <v>Bronze</v>
      </c>
    </row>
    <row r="122" spans="1:36" x14ac:dyDescent="0.3">
      <c r="A122" s="3" t="s">
        <v>442</v>
      </c>
      <c r="B122" s="15">
        <v>46241</v>
      </c>
      <c r="C122" s="15">
        <v>46244</v>
      </c>
      <c r="D122" s="3" t="s">
        <v>443</v>
      </c>
      <c r="E122" s="3" t="s">
        <v>421</v>
      </c>
      <c r="F122" s="3" t="s">
        <v>52</v>
      </c>
      <c r="G122" s="3">
        <v>34</v>
      </c>
      <c r="H122" s="3" t="s">
        <v>88</v>
      </c>
      <c r="I122" s="3" t="s">
        <v>89</v>
      </c>
      <c r="J122" s="3" t="s">
        <v>80</v>
      </c>
      <c r="K122" s="3" t="s">
        <v>81</v>
      </c>
      <c r="L122" s="3" t="s">
        <v>82</v>
      </c>
      <c r="M122" s="3" t="s">
        <v>45</v>
      </c>
      <c r="N122" s="3" t="s">
        <v>83</v>
      </c>
      <c r="O122" s="3" t="s">
        <v>84</v>
      </c>
      <c r="P122" s="3">
        <v>2</v>
      </c>
      <c r="Q122" s="9">
        <v>42000</v>
      </c>
      <c r="R122" s="6">
        <v>0.15</v>
      </c>
      <c r="S122" s="12">
        <f t="shared" si="13"/>
        <v>71400</v>
      </c>
      <c r="T122" s="12">
        <v>35000</v>
      </c>
      <c r="U122" s="9">
        <f t="shared" si="14"/>
        <v>1400</v>
      </c>
      <c r="V122" s="6">
        <f t="shared" si="15"/>
        <v>1.9607843137254902E-2</v>
      </c>
      <c r="W122" s="3" t="s">
        <v>73</v>
      </c>
      <c r="X122" s="3" t="s">
        <v>74</v>
      </c>
      <c r="Y122" s="3">
        <f t="shared" si="16"/>
        <v>3</v>
      </c>
      <c r="Z122" s="3" t="str">
        <f t="shared" si="17"/>
        <v>Premium</v>
      </c>
      <c r="AA122" s="3">
        <v>3</v>
      </c>
      <c r="AB122" s="3" t="str">
        <f t="shared" si="18"/>
        <v>Average</v>
      </c>
      <c r="AC122" s="3" t="str">
        <f t="shared" si="19"/>
        <v>August</v>
      </c>
      <c r="AD122" s="3" t="str">
        <f t="shared" si="20"/>
        <v>Q3</v>
      </c>
      <c r="AE122" s="3">
        <f t="shared" si="21"/>
        <v>2026</v>
      </c>
      <c r="AF122" s="3" t="str">
        <f t="shared" si="22"/>
        <v>Friday</v>
      </c>
      <c r="AG122" s="3" t="str">
        <f t="shared" si="23"/>
        <v>26-35</v>
      </c>
      <c r="AH122" s="3" t="str">
        <f t="shared" si="24"/>
        <v>Large</v>
      </c>
      <c r="AI122" s="3" t="str">
        <f t="shared" si="25"/>
        <v>Medium</v>
      </c>
      <c r="AJ122" s="3" t="str" cm="1">
        <f t="array" ref="AJ122">_xlfn.IFS(S122&gt;=80000,"VIP",S122&gt;=40000,"Gold",S122&gt;=15000,"Silver",TRUE,"Bronze")</f>
        <v>Gold</v>
      </c>
    </row>
    <row r="123" spans="1:36" x14ac:dyDescent="0.3">
      <c r="A123" s="3" t="s">
        <v>444</v>
      </c>
      <c r="B123" s="15">
        <v>46271</v>
      </c>
      <c r="C123" s="15">
        <v>46273</v>
      </c>
      <c r="D123" s="3" t="s">
        <v>445</v>
      </c>
      <c r="E123" s="3" t="s">
        <v>38</v>
      </c>
      <c r="F123" s="3" t="s">
        <v>39</v>
      </c>
      <c r="G123" s="3">
        <v>45</v>
      </c>
      <c r="H123" s="3" t="s">
        <v>53</v>
      </c>
      <c r="I123" s="3" t="s">
        <v>41</v>
      </c>
      <c r="J123" s="3" t="s">
        <v>42</v>
      </c>
      <c r="K123" s="3" t="s">
        <v>90</v>
      </c>
      <c r="L123" s="3" t="s">
        <v>122</v>
      </c>
      <c r="M123" s="3" t="s">
        <v>45</v>
      </c>
      <c r="N123" s="3" t="s">
        <v>91</v>
      </c>
      <c r="O123" s="3" t="s">
        <v>123</v>
      </c>
      <c r="P123" s="3">
        <v>2</v>
      </c>
      <c r="Q123" s="9">
        <v>2500</v>
      </c>
      <c r="R123" s="6">
        <v>0.15</v>
      </c>
      <c r="S123" s="12">
        <f t="shared" si="13"/>
        <v>4250</v>
      </c>
      <c r="T123" s="12">
        <v>1700</v>
      </c>
      <c r="U123" s="9">
        <f t="shared" si="14"/>
        <v>850</v>
      </c>
      <c r="V123" s="6">
        <f t="shared" si="15"/>
        <v>0.2</v>
      </c>
      <c r="W123" s="3" t="s">
        <v>92</v>
      </c>
      <c r="X123" s="3" t="s">
        <v>106</v>
      </c>
      <c r="Y123" s="3">
        <f t="shared" si="16"/>
        <v>2</v>
      </c>
      <c r="Z123" s="3" t="str">
        <f t="shared" si="17"/>
        <v>Regular</v>
      </c>
      <c r="AA123" s="3">
        <v>2</v>
      </c>
      <c r="AB123" s="3" t="str">
        <f t="shared" si="18"/>
        <v>Average</v>
      </c>
      <c r="AC123" s="3" t="str">
        <f t="shared" si="19"/>
        <v>September</v>
      </c>
      <c r="AD123" s="3" t="str">
        <f t="shared" si="20"/>
        <v>Q3</v>
      </c>
      <c r="AE123" s="3">
        <f t="shared" si="21"/>
        <v>2026</v>
      </c>
      <c r="AF123" s="3" t="str">
        <f t="shared" si="22"/>
        <v>Sunday</v>
      </c>
      <c r="AG123" s="3" t="str">
        <f t="shared" si="23"/>
        <v>36-45</v>
      </c>
      <c r="AH123" s="3" t="str">
        <f t="shared" si="24"/>
        <v>Small</v>
      </c>
      <c r="AI123" s="3" t="str">
        <f t="shared" si="25"/>
        <v>Medium</v>
      </c>
      <c r="AJ123" s="3" t="str" cm="1">
        <f t="array" ref="AJ123">_xlfn.IFS(S123&gt;=80000,"VIP",S123&gt;=40000,"Gold",S123&gt;=15000,"Silver",TRUE,"Bronze")</f>
        <v>Bronze</v>
      </c>
    </row>
    <row r="124" spans="1:36" x14ac:dyDescent="0.3">
      <c r="A124" s="3" t="s">
        <v>446</v>
      </c>
      <c r="B124" s="15">
        <v>46255</v>
      </c>
      <c r="C124" s="15">
        <v>46258</v>
      </c>
      <c r="D124" s="3" t="s">
        <v>447</v>
      </c>
      <c r="E124" s="3" t="s">
        <v>448</v>
      </c>
      <c r="F124" s="3" t="s">
        <v>39</v>
      </c>
      <c r="G124" s="3">
        <v>43</v>
      </c>
      <c r="H124" s="3" t="s">
        <v>40</v>
      </c>
      <c r="I124" s="3" t="s">
        <v>41</v>
      </c>
      <c r="J124" s="3" t="s">
        <v>42</v>
      </c>
      <c r="K124" s="3" t="s">
        <v>62</v>
      </c>
      <c r="L124" s="3" t="s">
        <v>163</v>
      </c>
      <c r="M124" s="3" t="s">
        <v>45</v>
      </c>
      <c r="N124" s="3" t="s">
        <v>63</v>
      </c>
      <c r="O124" s="3" t="s">
        <v>64</v>
      </c>
      <c r="P124" s="3">
        <v>4</v>
      </c>
      <c r="Q124" s="9">
        <v>62000</v>
      </c>
      <c r="R124" s="6">
        <v>0.15</v>
      </c>
      <c r="S124" s="12">
        <f t="shared" si="13"/>
        <v>210800</v>
      </c>
      <c r="T124" s="12">
        <v>52000</v>
      </c>
      <c r="U124" s="9">
        <f t="shared" si="14"/>
        <v>2800</v>
      </c>
      <c r="V124" s="6">
        <f t="shared" si="15"/>
        <v>1.3282732447817837E-2</v>
      </c>
      <c r="W124" s="3" t="s">
        <v>92</v>
      </c>
      <c r="X124" s="3" t="s">
        <v>106</v>
      </c>
      <c r="Y124" s="3">
        <f t="shared" si="16"/>
        <v>3</v>
      </c>
      <c r="Z124" s="3" t="str">
        <f t="shared" si="17"/>
        <v>Premium</v>
      </c>
      <c r="AA124" s="3">
        <v>4</v>
      </c>
      <c r="AB124" s="3" t="str">
        <f t="shared" si="18"/>
        <v>Excellent</v>
      </c>
      <c r="AC124" s="3" t="str">
        <f t="shared" si="19"/>
        <v>August</v>
      </c>
      <c r="AD124" s="3" t="str">
        <f t="shared" si="20"/>
        <v>Q3</v>
      </c>
      <c r="AE124" s="3">
        <f t="shared" si="21"/>
        <v>2026</v>
      </c>
      <c r="AF124" s="3" t="str">
        <f t="shared" si="22"/>
        <v>Friday</v>
      </c>
      <c r="AG124" s="3" t="str">
        <f t="shared" si="23"/>
        <v>36-45</v>
      </c>
      <c r="AH124" s="3" t="str">
        <f t="shared" si="24"/>
        <v>Large</v>
      </c>
      <c r="AI124" s="3" t="str">
        <f t="shared" si="25"/>
        <v>Medium</v>
      </c>
      <c r="AJ124" s="3" t="str" cm="1">
        <f t="array" ref="AJ124">_xlfn.IFS(S124&gt;=80000,"VIP",S124&gt;=40000,"Gold",S124&gt;=15000,"Silver",TRUE,"Bronze")</f>
        <v>VIP</v>
      </c>
    </row>
    <row r="125" spans="1:36" x14ac:dyDescent="0.3">
      <c r="A125" s="3" t="s">
        <v>449</v>
      </c>
      <c r="B125" s="15">
        <v>46161</v>
      </c>
      <c r="C125" s="15">
        <v>46164</v>
      </c>
      <c r="D125" s="3" t="s">
        <v>450</v>
      </c>
      <c r="E125" s="3" t="s">
        <v>451</v>
      </c>
      <c r="F125" s="3" t="s">
        <v>39</v>
      </c>
      <c r="G125" s="3">
        <v>32</v>
      </c>
      <c r="H125" s="3" t="s">
        <v>53</v>
      </c>
      <c r="I125" s="3" t="s">
        <v>41</v>
      </c>
      <c r="J125" s="3" t="s">
        <v>42</v>
      </c>
      <c r="K125" s="3" t="s">
        <v>54</v>
      </c>
      <c r="L125" s="3" t="s">
        <v>173</v>
      </c>
      <c r="M125" s="3" t="s">
        <v>45</v>
      </c>
      <c r="N125" s="3" t="s">
        <v>46</v>
      </c>
      <c r="O125" s="3" t="s">
        <v>55</v>
      </c>
      <c r="P125" s="3">
        <v>2</v>
      </c>
      <c r="Q125" s="9">
        <v>79900</v>
      </c>
      <c r="R125" s="6">
        <v>0.2</v>
      </c>
      <c r="S125" s="12">
        <f t="shared" si="13"/>
        <v>127840</v>
      </c>
      <c r="T125" s="12">
        <v>65000</v>
      </c>
      <c r="U125" s="9">
        <f t="shared" si="14"/>
        <v>-2160</v>
      </c>
      <c r="V125" s="6">
        <f t="shared" si="15"/>
        <v>-1.6896120150187734E-2</v>
      </c>
      <c r="W125" s="3" t="s">
        <v>100</v>
      </c>
      <c r="X125" s="3" t="s">
        <v>74</v>
      </c>
      <c r="Y125" s="3">
        <f t="shared" si="16"/>
        <v>3</v>
      </c>
      <c r="Z125" s="3" t="str">
        <f t="shared" si="17"/>
        <v>Premium</v>
      </c>
      <c r="AA125" s="3">
        <v>2</v>
      </c>
      <c r="AB125" s="3" t="str">
        <f t="shared" si="18"/>
        <v>Average</v>
      </c>
      <c r="AC125" s="3" t="str">
        <f t="shared" si="19"/>
        <v>May</v>
      </c>
      <c r="AD125" s="3" t="str">
        <f t="shared" si="20"/>
        <v>Q2</v>
      </c>
      <c r="AE125" s="3">
        <f t="shared" si="21"/>
        <v>2026</v>
      </c>
      <c r="AF125" s="3" t="str">
        <f t="shared" si="22"/>
        <v>Tuesday</v>
      </c>
      <c r="AG125" s="3" t="str">
        <f t="shared" si="23"/>
        <v>26-35</v>
      </c>
      <c r="AH125" s="3" t="str">
        <f t="shared" si="24"/>
        <v>Large</v>
      </c>
      <c r="AI125" s="3" t="str">
        <f t="shared" si="25"/>
        <v>High</v>
      </c>
      <c r="AJ125" s="3" t="str" cm="1">
        <f t="array" ref="AJ125">_xlfn.IFS(S125&gt;=80000,"VIP",S125&gt;=40000,"Gold",S125&gt;=15000,"Silver",TRUE,"Bronze")</f>
        <v>VIP</v>
      </c>
    </row>
    <row r="126" spans="1:36" x14ac:dyDescent="0.3">
      <c r="A126" s="3" t="s">
        <v>452</v>
      </c>
      <c r="B126" s="15">
        <v>46034</v>
      </c>
      <c r="C126" s="15">
        <v>46038</v>
      </c>
      <c r="D126" s="3" t="s">
        <v>453</v>
      </c>
      <c r="E126" s="3" t="s">
        <v>338</v>
      </c>
      <c r="F126" s="3" t="s">
        <v>52</v>
      </c>
      <c r="G126" s="3">
        <v>32</v>
      </c>
      <c r="H126" s="3" t="s">
        <v>68</v>
      </c>
      <c r="I126" s="3" t="s">
        <v>68</v>
      </c>
      <c r="J126" s="3" t="s">
        <v>69</v>
      </c>
      <c r="K126" s="3" t="s">
        <v>81</v>
      </c>
      <c r="L126" s="3" t="s">
        <v>82</v>
      </c>
      <c r="M126" s="3" t="s">
        <v>45</v>
      </c>
      <c r="N126" s="3" t="s">
        <v>83</v>
      </c>
      <c r="O126" s="3" t="s">
        <v>84</v>
      </c>
      <c r="P126" s="3">
        <v>4</v>
      </c>
      <c r="Q126" s="9">
        <v>42000</v>
      </c>
      <c r="R126" s="6">
        <v>0.15</v>
      </c>
      <c r="S126" s="12">
        <f t="shared" si="13"/>
        <v>142800</v>
      </c>
      <c r="T126" s="12">
        <v>35000</v>
      </c>
      <c r="U126" s="9">
        <f t="shared" si="14"/>
        <v>2800</v>
      </c>
      <c r="V126" s="6">
        <f t="shared" si="15"/>
        <v>1.9607843137254902E-2</v>
      </c>
      <c r="W126" s="3" t="s">
        <v>73</v>
      </c>
      <c r="X126" s="3" t="s">
        <v>101</v>
      </c>
      <c r="Y126" s="3">
        <f t="shared" si="16"/>
        <v>4</v>
      </c>
      <c r="Z126" s="3" t="str">
        <f t="shared" si="17"/>
        <v>Premium</v>
      </c>
      <c r="AA126" s="3">
        <v>5</v>
      </c>
      <c r="AB126" s="3" t="str">
        <f t="shared" si="18"/>
        <v>Excellent</v>
      </c>
      <c r="AC126" s="3" t="str">
        <f t="shared" si="19"/>
        <v>January</v>
      </c>
      <c r="AD126" s="3" t="str">
        <f t="shared" si="20"/>
        <v>Q1</v>
      </c>
      <c r="AE126" s="3">
        <f t="shared" si="21"/>
        <v>2026</v>
      </c>
      <c r="AF126" s="3" t="str">
        <f t="shared" si="22"/>
        <v>Monday</v>
      </c>
      <c r="AG126" s="3" t="str">
        <f t="shared" si="23"/>
        <v>26-35</v>
      </c>
      <c r="AH126" s="3" t="str">
        <f t="shared" si="24"/>
        <v>Large</v>
      </c>
      <c r="AI126" s="3" t="str">
        <f t="shared" si="25"/>
        <v>Medium</v>
      </c>
      <c r="AJ126" s="3" t="str" cm="1">
        <f t="array" ref="AJ126">_xlfn.IFS(S126&gt;=80000,"VIP",S126&gt;=40000,"Gold",S126&gt;=15000,"Silver",TRUE,"Bronze")</f>
        <v>VIP</v>
      </c>
    </row>
    <row r="127" spans="1:36" x14ac:dyDescent="0.3">
      <c r="A127" s="3" t="s">
        <v>454</v>
      </c>
      <c r="B127" s="15">
        <v>46267</v>
      </c>
      <c r="C127" s="15">
        <v>46270</v>
      </c>
      <c r="D127" s="3" t="s">
        <v>455</v>
      </c>
      <c r="E127" s="3" t="s">
        <v>188</v>
      </c>
      <c r="F127" s="3" t="s">
        <v>52</v>
      </c>
      <c r="G127" s="3">
        <v>45</v>
      </c>
      <c r="H127" s="3" t="s">
        <v>78</v>
      </c>
      <c r="I127" s="3" t="s">
        <v>79</v>
      </c>
      <c r="J127" s="3" t="s">
        <v>80</v>
      </c>
      <c r="K127" s="3" t="s">
        <v>62</v>
      </c>
      <c r="L127" s="3" t="s">
        <v>163</v>
      </c>
      <c r="M127" s="3" t="s">
        <v>45</v>
      </c>
      <c r="N127" s="3" t="s">
        <v>63</v>
      </c>
      <c r="O127" s="3" t="s">
        <v>64</v>
      </c>
      <c r="P127" s="3">
        <v>2</v>
      </c>
      <c r="Q127" s="9">
        <v>62000</v>
      </c>
      <c r="R127" s="6">
        <v>0.1</v>
      </c>
      <c r="S127" s="12">
        <f t="shared" si="13"/>
        <v>111600</v>
      </c>
      <c r="T127" s="12">
        <v>52000</v>
      </c>
      <c r="U127" s="9">
        <f t="shared" si="14"/>
        <v>7600</v>
      </c>
      <c r="V127" s="6">
        <f t="shared" si="15"/>
        <v>6.8100358422939072E-2</v>
      </c>
      <c r="W127" s="3" t="s">
        <v>65</v>
      </c>
      <c r="X127" s="3" t="s">
        <v>74</v>
      </c>
      <c r="Y127" s="3">
        <f t="shared" si="16"/>
        <v>3</v>
      </c>
      <c r="Z127" s="3" t="str">
        <f t="shared" si="17"/>
        <v>Premium</v>
      </c>
      <c r="AA127" s="3">
        <v>5</v>
      </c>
      <c r="AB127" s="3" t="str">
        <f t="shared" si="18"/>
        <v>Excellent</v>
      </c>
      <c r="AC127" s="3" t="str">
        <f t="shared" si="19"/>
        <v>September</v>
      </c>
      <c r="AD127" s="3" t="str">
        <f t="shared" si="20"/>
        <v>Q3</v>
      </c>
      <c r="AE127" s="3">
        <f t="shared" si="21"/>
        <v>2026</v>
      </c>
      <c r="AF127" s="3" t="str">
        <f t="shared" si="22"/>
        <v>Wednesday</v>
      </c>
      <c r="AG127" s="3" t="str">
        <f t="shared" si="23"/>
        <v>36-45</v>
      </c>
      <c r="AH127" s="3" t="str">
        <f t="shared" si="24"/>
        <v>Large</v>
      </c>
      <c r="AI127" s="3" t="str">
        <f t="shared" si="25"/>
        <v>Medium</v>
      </c>
      <c r="AJ127" s="3" t="str" cm="1">
        <f t="array" ref="AJ127">_xlfn.IFS(S127&gt;=80000,"VIP",S127&gt;=40000,"Gold",S127&gt;=15000,"Silver",TRUE,"Bronze")</f>
        <v>VIP</v>
      </c>
    </row>
    <row r="128" spans="1:36" x14ac:dyDescent="0.3">
      <c r="A128" s="3" t="s">
        <v>456</v>
      </c>
      <c r="B128" s="15">
        <v>46028</v>
      </c>
      <c r="C128" s="15">
        <v>46030</v>
      </c>
      <c r="D128" s="3" t="s">
        <v>457</v>
      </c>
      <c r="E128" s="3" t="s">
        <v>353</v>
      </c>
      <c r="F128" s="3" t="s">
        <v>39</v>
      </c>
      <c r="G128" s="3">
        <v>35</v>
      </c>
      <c r="H128" s="3" t="s">
        <v>78</v>
      </c>
      <c r="I128" s="3" t="s">
        <v>79</v>
      </c>
      <c r="J128" s="3" t="s">
        <v>80</v>
      </c>
      <c r="K128" s="3" t="s">
        <v>43</v>
      </c>
      <c r="L128" s="3" t="s">
        <v>44</v>
      </c>
      <c r="M128" s="3" t="s">
        <v>45</v>
      </c>
      <c r="N128" s="3" t="s">
        <v>46</v>
      </c>
      <c r="O128" s="3" t="s">
        <v>47</v>
      </c>
      <c r="P128" s="3">
        <v>3</v>
      </c>
      <c r="Q128" s="9">
        <v>28500</v>
      </c>
      <c r="R128" s="6">
        <v>0.15</v>
      </c>
      <c r="S128" s="12">
        <f t="shared" si="13"/>
        <v>72675</v>
      </c>
      <c r="T128" s="12">
        <v>22000</v>
      </c>
      <c r="U128" s="9">
        <f t="shared" si="14"/>
        <v>6675</v>
      </c>
      <c r="V128" s="6">
        <f t="shared" si="15"/>
        <v>9.1847265221878222E-2</v>
      </c>
      <c r="W128" s="3" t="s">
        <v>56</v>
      </c>
      <c r="X128" s="3" t="s">
        <v>106</v>
      </c>
      <c r="Y128" s="3">
        <f t="shared" si="16"/>
        <v>2</v>
      </c>
      <c r="Z128" s="3" t="str">
        <f t="shared" si="17"/>
        <v>Premium</v>
      </c>
      <c r="AA128" s="3">
        <v>5</v>
      </c>
      <c r="AB128" s="3" t="str">
        <f t="shared" si="18"/>
        <v>Excellent</v>
      </c>
      <c r="AC128" s="3" t="str">
        <f t="shared" si="19"/>
        <v>January</v>
      </c>
      <c r="AD128" s="3" t="str">
        <f t="shared" si="20"/>
        <v>Q1</v>
      </c>
      <c r="AE128" s="3">
        <f t="shared" si="21"/>
        <v>2026</v>
      </c>
      <c r="AF128" s="3" t="str">
        <f t="shared" si="22"/>
        <v>Tuesday</v>
      </c>
      <c r="AG128" s="3" t="str">
        <f t="shared" si="23"/>
        <v>26-35</v>
      </c>
      <c r="AH128" s="3" t="str">
        <f t="shared" si="24"/>
        <v>Large</v>
      </c>
      <c r="AI128" s="3" t="str">
        <f t="shared" si="25"/>
        <v>Medium</v>
      </c>
      <c r="AJ128" s="3" t="str" cm="1">
        <f t="array" ref="AJ128">_xlfn.IFS(S128&gt;=80000,"VIP",S128&gt;=40000,"Gold",S128&gt;=15000,"Silver",TRUE,"Bronze")</f>
        <v>Gold</v>
      </c>
    </row>
    <row r="129" spans="1:36" x14ac:dyDescent="0.3">
      <c r="A129" s="3" t="s">
        <v>458</v>
      </c>
      <c r="B129" s="15">
        <v>46040</v>
      </c>
      <c r="C129" s="15">
        <v>46046</v>
      </c>
      <c r="D129" s="3" t="s">
        <v>459</v>
      </c>
      <c r="E129" s="3" t="s">
        <v>460</v>
      </c>
      <c r="F129" s="3" t="s">
        <v>52</v>
      </c>
      <c r="G129" s="3">
        <v>29</v>
      </c>
      <c r="H129" s="3" t="s">
        <v>40</v>
      </c>
      <c r="I129" s="3" t="s">
        <v>41</v>
      </c>
      <c r="J129" s="3" t="s">
        <v>42</v>
      </c>
      <c r="K129" s="3" t="s">
        <v>81</v>
      </c>
      <c r="L129" s="3" t="s">
        <v>82</v>
      </c>
      <c r="M129" s="3" t="s">
        <v>45</v>
      </c>
      <c r="N129" s="3" t="s">
        <v>83</v>
      </c>
      <c r="O129" s="3" t="s">
        <v>84</v>
      </c>
      <c r="P129" s="3">
        <v>4</v>
      </c>
      <c r="Q129" s="9">
        <v>42000</v>
      </c>
      <c r="R129" s="6">
        <v>0.15</v>
      </c>
      <c r="S129" s="12">
        <f t="shared" si="13"/>
        <v>142800</v>
      </c>
      <c r="T129" s="12">
        <v>35000</v>
      </c>
      <c r="U129" s="9">
        <f t="shared" si="14"/>
        <v>2800</v>
      </c>
      <c r="V129" s="6">
        <f t="shared" si="15"/>
        <v>1.9607843137254902E-2</v>
      </c>
      <c r="W129" s="3" t="s">
        <v>65</v>
      </c>
      <c r="X129" s="3" t="s">
        <v>49</v>
      </c>
      <c r="Y129" s="3">
        <f t="shared" si="16"/>
        <v>6</v>
      </c>
      <c r="Z129" s="3" t="str">
        <f t="shared" si="17"/>
        <v>Premium</v>
      </c>
      <c r="AA129" s="3">
        <v>5</v>
      </c>
      <c r="AB129" s="3" t="str">
        <f t="shared" si="18"/>
        <v>Excellent</v>
      </c>
      <c r="AC129" s="3" t="str">
        <f t="shared" si="19"/>
        <v>January</v>
      </c>
      <c r="AD129" s="3" t="str">
        <f t="shared" si="20"/>
        <v>Q1</v>
      </c>
      <c r="AE129" s="3">
        <f t="shared" si="21"/>
        <v>2026</v>
      </c>
      <c r="AF129" s="3" t="str">
        <f t="shared" si="22"/>
        <v>Sunday</v>
      </c>
      <c r="AG129" s="3" t="str">
        <f t="shared" si="23"/>
        <v>26-35</v>
      </c>
      <c r="AH129" s="3" t="str">
        <f t="shared" si="24"/>
        <v>Large</v>
      </c>
      <c r="AI129" s="3" t="str">
        <f t="shared" si="25"/>
        <v>Medium</v>
      </c>
      <c r="AJ129" s="3" t="str" cm="1">
        <f t="array" ref="AJ129">_xlfn.IFS(S129&gt;=80000,"VIP",S129&gt;=40000,"Gold",S129&gt;=15000,"Silver",TRUE,"Bronze")</f>
        <v>VIP</v>
      </c>
    </row>
    <row r="130" spans="1:36" x14ac:dyDescent="0.3">
      <c r="A130" s="3" t="s">
        <v>461</v>
      </c>
      <c r="B130" s="15">
        <v>46110</v>
      </c>
      <c r="C130" s="15">
        <v>46114</v>
      </c>
      <c r="D130" s="3" t="s">
        <v>462</v>
      </c>
      <c r="E130" s="3" t="s">
        <v>463</v>
      </c>
      <c r="F130" s="3" t="s">
        <v>52</v>
      </c>
      <c r="G130" s="3">
        <v>45</v>
      </c>
      <c r="H130" s="3" t="s">
        <v>110</v>
      </c>
      <c r="I130" s="3" t="s">
        <v>111</v>
      </c>
      <c r="J130" s="3" t="s">
        <v>80</v>
      </c>
      <c r="K130" s="3" t="s">
        <v>105</v>
      </c>
      <c r="L130" s="3" t="s">
        <v>112</v>
      </c>
      <c r="M130" s="3" t="s">
        <v>113</v>
      </c>
      <c r="N130" s="3" t="s">
        <v>114</v>
      </c>
      <c r="O130" s="3" t="s">
        <v>115</v>
      </c>
      <c r="P130" s="3">
        <v>5</v>
      </c>
      <c r="Q130" s="9">
        <v>3500</v>
      </c>
      <c r="R130" s="6">
        <v>0.05</v>
      </c>
      <c r="S130" s="12">
        <f t="shared" ref="S130:S193" si="26">P130*Q130*(1-R130)</f>
        <v>16625</v>
      </c>
      <c r="T130" s="12">
        <v>2500</v>
      </c>
      <c r="U130" s="9">
        <f t="shared" ref="U130:U193" si="27">S130-(T130*P130)</f>
        <v>4125</v>
      </c>
      <c r="V130" s="6">
        <f t="shared" ref="V130:V193" si="28">U130/S130</f>
        <v>0.24812030075187969</v>
      </c>
      <c r="W130" s="3" t="s">
        <v>100</v>
      </c>
      <c r="X130" s="3" t="s">
        <v>101</v>
      </c>
      <c r="Y130" s="3">
        <f t="shared" ref="Y130:Y193" si="29">C130-B130</f>
        <v>4</v>
      </c>
      <c r="Z130" s="3" t="str">
        <f t="shared" ref="Z130:Z193" si="30">IF(S130&gt;=50000,"Premium","Regular")</f>
        <v>Regular</v>
      </c>
      <c r="AA130" s="3">
        <v>4</v>
      </c>
      <c r="AB130" s="3" t="str">
        <f t="shared" ref="AB130:AB193" si="31">IF(AA130&gt;=4,"Excellent","Average")</f>
        <v>Excellent</v>
      </c>
      <c r="AC130" s="3" t="str">
        <f t="shared" ref="AC130:AC193" si="32">TEXT(B130,"mmmm")</f>
        <v>March</v>
      </c>
      <c r="AD130" s="3" t="str">
        <f t="shared" ref="AD130:AD193" si="33">"Q"&amp;ROUNDUP(MONTH(B130)/3,0)</f>
        <v>Q1</v>
      </c>
      <c r="AE130" s="3">
        <f t="shared" ref="AE130:AE193" si="34">YEAR(B130)</f>
        <v>2026</v>
      </c>
      <c r="AF130" s="3" t="str">
        <f t="shared" ref="AF130:AF193" si="35">TEXT(B130,"dddd")</f>
        <v>Sunday</v>
      </c>
      <c r="AG130" s="3" t="str">
        <f t="shared" ref="AG130:AG193" si="36">IF(G130&lt;=25,"18-25",IF(G130&lt;=35,"26-35",IF(G130&lt;=45,"36-45","46+")))</f>
        <v>36-45</v>
      </c>
      <c r="AH130" s="3" t="str">
        <f t="shared" ref="AH130:AH193" si="37">IF(S130&lt;10000,"Small",IF(S130&lt;30000,"Medium","Large"))</f>
        <v>Medium</v>
      </c>
      <c r="AI130" s="3" t="str">
        <f t="shared" ref="AI130:AI193" si="38">IF(R130&lt;=5%,"Low",IF(R130&lt;=15%,"Medium","High"))</f>
        <v>Low</v>
      </c>
      <c r="AJ130" s="3" t="str" cm="1">
        <f t="array" ref="AJ130">_xlfn.IFS(S130&gt;=80000,"VIP",S130&gt;=40000,"Gold",S130&gt;=15000,"Silver",TRUE,"Bronze")</f>
        <v>Silver</v>
      </c>
    </row>
    <row r="131" spans="1:36" x14ac:dyDescent="0.3">
      <c r="A131" s="3" t="s">
        <v>464</v>
      </c>
      <c r="B131" s="15">
        <v>46282</v>
      </c>
      <c r="C131" s="15">
        <v>46288</v>
      </c>
      <c r="D131" s="3" t="s">
        <v>465</v>
      </c>
      <c r="E131" s="3" t="s">
        <v>466</v>
      </c>
      <c r="F131" s="3" t="s">
        <v>39</v>
      </c>
      <c r="G131" s="3">
        <v>34</v>
      </c>
      <c r="H131" s="3" t="s">
        <v>119</v>
      </c>
      <c r="I131" s="3" t="s">
        <v>120</v>
      </c>
      <c r="J131" s="3" t="s">
        <v>121</v>
      </c>
      <c r="K131" s="3" t="s">
        <v>43</v>
      </c>
      <c r="L131" s="3" t="s">
        <v>44</v>
      </c>
      <c r="M131" s="3" t="s">
        <v>45</v>
      </c>
      <c r="N131" s="3" t="s">
        <v>46</v>
      </c>
      <c r="O131" s="3" t="s">
        <v>47</v>
      </c>
      <c r="P131" s="3">
        <v>3</v>
      </c>
      <c r="Q131" s="9">
        <v>28500</v>
      </c>
      <c r="R131" s="6">
        <v>0.15</v>
      </c>
      <c r="S131" s="12">
        <f t="shared" si="26"/>
        <v>72675</v>
      </c>
      <c r="T131" s="12">
        <v>22000</v>
      </c>
      <c r="U131" s="9">
        <f t="shared" si="27"/>
        <v>6675</v>
      </c>
      <c r="V131" s="6">
        <f t="shared" si="28"/>
        <v>9.1847265221878222E-2</v>
      </c>
      <c r="W131" s="3" t="s">
        <v>56</v>
      </c>
      <c r="X131" s="3" t="s">
        <v>49</v>
      </c>
      <c r="Y131" s="3">
        <f t="shared" si="29"/>
        <v>6</v>
      </c>
      <c r="Z131" s="3" t="str">
        <f t="shared" si="30"/>
        <v>Premium</v>
      </c>
      <c r="AA131" s="3">
        <v>5</v>
      </c>
      <c r="AB131" s="3" t="str">
        <f t="shared" si="31"/>
        <v>Excellent</v>
      </c>
      <c r="AC131" s="3" t="str">
        <f t="shared" si="32"/>
        <v>September</v>
      </c>
      <c r="AD131" s="3" t="str">
        <f t="shared" si="33"/>
        <v>Q3</v>
      </c>
      <c r="AE131" s="3">
        <f t="shared" si="34"/>
        <v>2026</v>
      </c>
      <c r="AF131" s="3" t="str">
        <f t="shared" si="35"/>
        <v>Thursday</v>
      </c>
      <c r="AG131" s="3" t="str">
        <f t="shared" si="36"/>
        <v>26-35</v>
      </c>
      <c r="AH131" s="3" t="str">
        <f t="shared" si="37"/>
        <v>Large</v>
      </c>
      <c r="AI131" s="3" t="str">
        <f t="shared" si="38"/>
        <v>Medium</v>
      </c>
      <c r="AJ131" s="3" t="str" cm="1">
        <f t="array" ref="AJ131">_xlfn.IFS(S131&gt;=80000,"VIP",S131&gt;=40000,"Gold",S131&gt;=15000,"Silver",TRUE,"Bronze")</f>
        <v>Gold</v>
      </c>
    </row>
    <row r="132" spans="1:36" x14ac:dyDescent="0.3">
      <c r="A132" s="3" t="s">
        <v>467</v>
      </c>
      <c r="B132" s="15">
        <v>46161</v>
      </c>
      <c r="C132" s="15">
        <v>46166</v>
      </c>
      <c r="D132" s="3" t="s">
        <v>468</v>
      </c>
      <c r="E132" s="3" t="s">
        <v>469</v>
      </c>
      <c r="F132" s="3" t="s">
        <v>52</v>
      </c>
      <c r="G132" s="3">
        <v>31</v>
      </c>
      <c r="H132" s="3" t="s">
        <v>53</v>
      </c>
      <c r="I132" s="3" t="s">
        <v>41</v>
      </c>
      <c r="J132" s="3" t="s">
        <v>42</v>
      </c>
      <c r="K132" s="3" t="s">
        <v>70</v>
      </c>
      <c r="L132" s="3" t="s">
        <v>71</v>
      </c>
      <c r="M132" s="3" t="s">
        <v>45</v>
      </c>
      <c r="N132" s="3" t="s">
        <v>63</v>
      </c>
      <c r="O132" s="3" t="s">
        <v>72</v>
      </c>
      <c r="P132" s="3">
        <v>4</v>
      </c>
      <c r="Q132" s="9">
        <v>58000</v>
      </c>
      <c r="R132" s="6">
        <v>0.1</v>
      </c>
      <c r="S132" s="12">
        <f t="shared" si="26"/>
        <v>208800</v>
      </c>
      <c r="T132" s="12">
        <v>49000</v>
      </c>
      <c r="U132" s="9">
        <f t="shared" si="27"/>
        <v>12800</v>
      </c>
      <c r="V132" s="6">
        <f t="shared" si="28"/>
        <v>6.1302681992337162E-2</v>
      </c>
      <c r="W132" s="3" t="s">
        <v>48</v>
      </c>
      <c r="X132" s="3" t="s">
        <v>49</v>
      </c>
      <c r="Y132" s="3">
        <f t="shared" si="29"/>
        <v>5</v>
      </c>
      <c r="Z132" s="3" t="str">
        <f t="shared" si="30"/>
        <v>Premium</v>
      </c>
      <c r="AA132" s="3">
        <v>4</v>
      </c>
      <c r="AB132" s="3" t="str">
        <f t="shared" si="31"/>
        <v>Excellent</v>
      </c>
      <c r="AC132" s="3" t="str">
        <f t="shared" si="32"/>
        <v>May</v>
      </c>
      <c r="AD132" s="3" t="str">
        <f t="shared" si="33"/>
        <v>Q2</v>
      </c>
      <c r="AE132" s="3">
        <f t="shared" si="34"/>
        <v>2026</v>
      </c>
      <c r="AF132" s="3" t="str">
        <f t="shared" si="35"/>
        <v>Tuesday</v>
      </c>
      <c r="AG132" s="3" t="str">
        <f t="shared" si="36"/>
        <v>26-35</v>
      </c>
      <c r="AH132" s="3" t="str">
        <f t="shared" si="37"/>
        <v>Large</v>
      </c>
      <c r="AI132" s="3" t="str">
        <f t="shared" si="38"/>
        <v>Medium</v>
      </c>
      <c r="AJ132" s="3" t="str" cm="1">
        <f t="array" ref="AJ132">_xlfn.IFS(S132&gt;=80000,"VIP",S132&gt;=40000,"Gold",S132&gt;=15000,"Silver",TRUE,"Bronze")</f>
        <v>VIP</v>
      </c>
    </row>
    <row r="133" spans="1:36" x14ac:dyDescent="0.3">
      <c r="A133" s="3" t="s">
        <v>470</v>
      </c>
      <c r="B133" s="15">
        <v>46231</v>
      </c>
      <c r="C133" s="15">
        <v>46237</v>
      </c>
      <c r="D133" s="3" t="s">
        <v>471</v>
      </c>
      <c r="E133" s="3" t="s">
        <v>109</v>
      </c>
      <c r="F133" s="3" t="s">
        <v>52</v>
      </c>
      <c r="G133" s="3">
        <v>41</v>
      </c>
      <c r="H133" s="3" t="s">
        <v>78</v>
      </c>
      <c r="I133" s="3" t="s">
        <v>79</v>
      </c>
      <c r="J133" s="3" t="s">
        <v>80</v>
      </c>
      <c r="K133" s="3" t="s">
        <v>81</v>
      </c>
      <c r="L133" s="3" t="s">
        <v>82</v>
      </c>
      <c r="M133" s="3" t="s">
        <v>45</v>
      </c>
      <c r="N133" s="3" t="s">
        <v>83</v>
      </c>
      <c r="O133" s="3" t="s">
        <v>84</v>
      </c>
      <c r="P133" s="3">
        <v>2</v>
      </c>
      <c r="Q133" s="9">
        <v>42000</v>
      </c>
      <c r="R133" s="6">
        <v>0.2</v>
      </c>
      <c r="S133" s="12">
        <f t="shared" si="26"/>
        <v>67200</v>
      </c>
      <c r="T133" s="12">
        <v>35000</v>
      </c>
      <c r="U133" s="9">
        <f t="shared" si="27"/>
        <v>-2800</v>
      </c>
      <c r="V133" s="6">
        <f t="shared" si="28"/>
        <v>-4.1666666666666664E-2</v>
      </c>
      <c r="W133" s="3" t="s">
        <v>65</v>
      </c>
      <c r="X133" s="3" t="s">
        <v>49</v>
      </c>
      <c r="Y133" s="3">
        <f t="shared" si="29"/>
        <v>6</v>
      </c>
      <c r="Z133" s="3" t="str">
        <f t="shared" si="30"/>
        <v>Premium</v>
      </c>
      <c r="AA133" s="3">
        <v>2</v>
      </c>
      <c r="AB133" s="3" t="str">
        <f t="shared" si="31"/>
        <v>Average</v>
      </c>
      <c r="AC133" s="3" t="str">
        <f t="shared" si="32"/>
        <v>July</v>
      </c>
      <c r="AD133" s="3" t="str">
        <f t="shared" si="33"/>
        <v>Q3</v>
      </c>
      <c r="AE133" s="3">
        <f t="shared" si="34"/>
        <v>2026</v>
      </c>
      <c r="AF133" s="3" t="str">
        <f t="shared" si="35"/>
        <v>Tuesday</v>
      </c>
      <c r="AG133" s="3" t="str">
        <f t="shared" si="36"/>
        <v>36-45</v>
      </c>
      <c r="AH133" s="3" t="str">
        <f t="shared" si="37"/>
        <v>Large</v>
      </c>
      <c r="AI133" s="3" t="str">
        <f t="shared" si="38"/>
        <v>High</v>
      </c>
      <c r="AJ133" s="3" t="str" cm="1">
        <f t="array" ref="AJ133">_xlfn.IFS(S133&gt;=80000,"VIP",S133&gt;=40000,"Gold",S133&gt;=15000,"Silver",TRUE,"Bronze")</f>
        <v>Gold</v>
      </c>
    </row>
    <row r="134" spans="1:36" x14ac:dyDescent="0.3">
      <c r="A134" s="3" t="s">
        <v>472</v>
      </c>
      <c r="B134" s="15">
        <v>46214</v>
      </c>
      <c r="C134" s="15">
        <v>46216</v>
      </c>
      <c r="D134" s="3" t="s">
        <v>473</v>
      </c>
      <c r="E134" s="3" t="s">
        <v>474</v>
      </c>
      <c r="F134" s="3" t="s">
        <v>52</v>
      </c>
      <c r="G134" s="3">
        <v>20</v>
      </c>
      <c r="H134" s="3" t="s">
        <v>78</v>
      </c>
      <c r="I134" s="3" t="s">
        <v>79</v>
      </c>
      <c r="J134" s="3" t="s">
        <v>80</v>
      </c>
      <c r="K134" s="3" t="s">
        <v>96</v>
      </c>
      <c r="L134" s="3" t="s">
        <v>166</v>
      </c>
      <c r="M134" s="3" t="s">
        <v>97</v>
      </c>
      <c r="N134" s="3" t="s">
        <v>98</v>
      </c>
      <c r="O134" s="3" t="s">
        <v>99</v>
      </c>
      <c r="P134" s="3">
        <v>4</v>
      </c>
      <c r="Q134" s="9">
        <v>4500</v>
      </c>
      <c r="R134" s="6">
        <v>0.15</v>
      </c>
      <c r="S134" s="12">
        <f t="shared" si="26"/>
        <v>15300</v>
      </c>
      <c r="T134" s="12">
        <v>3000</v>
      </c>
      <c r="U134" s="9">
        <f t="shared" si="27"/>
        <v>3300</v>
      </c>
      <c r="V134" s="6">
        <f t="shared" si="28"/>
        <v>0.21568627450980393</v>
      </c>
      <c r="W134" s="3" t="s">
        <v>48</v>
      </c>
      <c r="X134" s="3" t="s">
        <v>74</v>
      </c>
      <c r="Y134" s="3">
        <f t="shared" si="29"/>
        <v>2</v>
      </c>
      <c r="Z134" s="3" t="str">
        <f t="shared" si="30"/>
        <v>Regular</v>
      </c>
      <c r="AA134" s="3">
        <v>5</v>
      </c>
      <c r="AB134" s="3" t="str">
        <f t="shared" si="31"/>
        <v>Excellent</v>
      </c>
      <c r="AC134" s="3" t="str">
        <f t="shared" si="32"/>
        <v>July</v>
      </c>
      <c r="AD134" s="3" t="str">
        <f t="shared" si="33"/>
        <v>Q3</v>
      </c>
      <c r="AE134" s="3">
        <f t="shared" si="34"/>
        <v>2026</v>
      </c>
      <c r="AF134" s="3" t="str">
        <f t="shared" si="35"/>
        <v>Saturday</v>
      </c>
      <c r="AG134" s="3" t="str">
        <f t="shared" si="36"/>
        <v>18-25</v>
      </c>
      <c r="AH134" s="3" t="str">
        <f t="shared" si="37"/>
        <v>Medium</v>
      </c>
      <c r="AI134" s="3" t="str">
        <f t="shared" si="38"/>
        <v>Medium</v>
      </c>
      <c r="AJ134" s="3" t="str" cm="1">
        <f t="array" ref="AJ134">_xlfn.IFS(S134&gt;=80000,"VIP",S134&gt;=40000,"Gold",S134&gt;=15000,"Silver",TRUE,"Bronze")</f>
        <v>Silver</v>
      </c>
    </row>
    <row r="135" spans="1:36" x14ac:dyDescent="0.3">
      <c r="A135" s="3" t="s">
        <v>475</v>
      </c>
      <c r="B135" s="15">
        <v>46215</v>
      </c>
      <c r="C135" s="15">
        <v>46220</v>
      </c>
      <c r="D135" s="3" t="s">
        <v>476</v>
      </c>
      <c r="E135" s="3" t="s">
        <v>170</v>
      </c>
      <c r="F135" s="3" t="s">
        <v>52</v>
      </c>
      <c r="G135" s="3">
        <v>27</v>
      </c>
      <c r="H135" s="3" t="s">
        <v>119</v>
      </c>
      <c r="I135" s="3" t="s">
        <v>120</v>
      </c>
      <c r="J135" s="3" t="s">
        <v>121</v>
      </c>
      <c r="K135" s="3" t="s">
        <v>90</v>
      </c>
      <c r="L135" s="3" t="s">
        <v>122</v>
      </c>
      <c r="M135" s="3" t="s">
        <v>45</v>
      </c>
      <c r="N135" s="3" t="s">
        <v>91</v>
      </c>
      <c r="O135" s="3" t="s">
        <v>123</v>
      </c>
      <c r="P135" s="3">
        <v>2</v>
      </c>
      <c r="Q135" s="9">
        <v>2500</v>
      </c>
      <c r="R135" s="6">
        <v>0.12</v>
      </c>
      <c r="S135" s="12">
        <f t="shared" si="26"/>
        <v>4400</v>
      </c>
      <c r="T135" s="12">
        <v>1700</v>
      </c>
      <c r="U135" s="9">
        <f t="shared" si="27"/>
        <v>1000</v>
      </c>
      <c r="V135" s="6">
        <f t="shared" si="28"/>
        <v>0.22727272727272727</v>
      </c>
      <c r="W135" s="3" t="s">
        <v>48</v>
      </c>
      <c r="X135" s="3" t="s">
        <v>74</v>
      </c>
      <c r="Y135" s="3">
        <f t="shared" si="29"/>
        <v>5</v>
      </c>
      <c r="Z135" s="3" t="str">
        <f t="shared" si="30"/>
        <v>Regular</v>
      </c>
      <c r="AA135" s="3">
        <v>5</v>
      </c>
      <c r="AB135" s="3" t="str">
        <f t="shared" si="31"/>
        <v>Excellent</v>
      </c>
      <c r="AC135" s="3" t="str">
        <f t="shared" si="32"/>
        <v>July</v>
      </c>
      <c r="AD135" s="3" t="str">
        <f t="shared" si="33"/>
        <v>Q3</v>
      </c>
      <c r="AE135" s="3">
        <f t="shared" si="34"/>
        <v>2026</v>
      </c>
      <c r="AF135" s="3" t="str">
        <f t="shared" si="35"/>
        <v>Sunday</v>
      </c>
      <c r="AG135" s="3" t="str">
        <f t="shared" si="36"/>
        <v>26-35</v>
      </c>
      <c r="AH135" s="3" t="str">
        <f t="shared" si="37"/>
        <v>Small</v>
      </c>
      <c r="AI135" s="3" t="str">
        <f t="shared" si="38"/>
        <v>Medium</v>
      </c>
      <c r="AJ135" s="3" t="str" cm="1">
        <f t="array" ref="AJ135">_xlfn.IFS(S135&gt;=80000,"VIP",S135&gt;=40000,"Gold",S135&gt;=15000,"Silver",TRUE,"Bronze")</f>
        <v>Bronze</v>
      </c>
    </row>
    <row r="136" spans="1:36" x14ac:dyDescent="0.3">
      <c r="A136" s="3" t="s">
        <v>477</v>
      </c>
      <c r="B136" s="15">
        <v>46381</v>
      </c>
      <c r="C136" s="15">
        <v>46387</v>
      </c>
      <c r="D136" s="3" t="s">
        <v>478</v>
      </c>
      <c r="E136" s="3" t="s">
        <v>385</v>
      </c>
      <c r="F136" s="3" t="s">
        <v>52</v>
      </c>
      <c r="G136" s="3">
        <v>21</v>
      </c>
      <c r="H136" s="3" t="s">
        <v>60</v>
      </c>
      <c r="I136" s="3" t="s">
        <v>61</v>
      </c>
      <c r="J136" s="3" t="s">
        <v>42</v>
      </c>
      <c r="K136" s="3" t="s">
        <v>90</v>
      </c>
      <c r="L136" s="3" t="s">
        <v>122</v>
      </c>
      <c r="M136" s="3" t="s">
        <v>45</v>
      </c>
      <c r="N136" s="3" t="s">
        <v>91</v>
      </c>
      <c r="O136" s="3" t="s">
        <v>123</v>
      </c>
      <c r="P136" s="3">
        <v>1</v>
      </c>
      <c r="Q136" s="9">
        <v>2500</v>
      </c>
      <c r="R136" s="6">
        <v>0.08</v>
      </c>
      <c r="S136" s="12">
        <f t="shared" si="26"/>
        <v>2300</v>
      </c>
      <c r="T136" s="12">
        <v>1700</v>
      </c>
      <c r="U136" s="9">
        <f t="shared" si="27"/>
        <v>600</v>
      </c>
      <c r="V136" s="6">
        <f t="shared" si="28"/>
        <v>0.2608695652173913</v>
      </c>
      <c r="W136" s="3" t="s">
        <v>56</v>
      </c>
      <c r="X136" s="3" t="s">
        <v>106</v>
      </c>
      <c r="Y136" s="3">
        <f t="shared" si="29"/>
        <v>6</v>
      </c>
      <c r="Z136" s="3" t="str">
        <f t="shared" si="30"/>
        <v>Regular</v>
      </c>
      <c r="AA136" s="3">
        <v>2</v>
      </c>
      <c r="AB136" s="3" t="str">
        <f t="shared" si="31"/>
        <v>Average</v>
      </c>
      <c r="AC136" s="3" t="str">
        <f t="shared" si="32"/>
        <v>December</v>
      </c>
      <c r="AD136" s="3" t="str">
        <f t="shared" si="33"/>
        <v>Q4</v>
      </c>
      <c r="AE136" s="3">
        <f t="shared" si="34"/>
        <v>2026</v>
      </c>
      <c r="AF136" s="3" t="str">
        <f t="shared" si="35"/>
        <v>Friday</v>
      </c>
      <c r="AG136" s="3" t="str">
        <f t="shared" si="36"/>
        <v>18-25</v>
      </c>
      <c r="AH136" s="3" t="str">
        <f t="shared" si="37"/>
        <v>Small</v>
      </c>
      <c r="AI136" s="3" t="str">
        <f t="shared" si="38"/>
        <v>Medium</v>
      </c>
      <c r="AJ136" s="3" t="str" cm="1">
        <f t="array" ref="AJ136">_xlfn.IFS(S136&gt;=80000,"VIP",S136&gt;=40000,"Gold",S136&gt;=15000,"Silver",TRUE,"Bronze")</f>
        <v>Bronze</v>
      </c>
    </row>
    <row r="137" spans="1:36" x14ac:dyDescent="0.3">
      <c r="A137" s="3" t="s">
        <v>479</v>
      </c>
      <c r="B137" s="15">
        <v>46318</v>
      </c>
      <c r="C137" s="15">
        <v>46320</v>
      </c>
      <c r="D137" s="3" t="s">
        <v>480</v>
      </c>
      <c r="E137" s="3" t="s">
        <v>388</v>
      </c>
      <c r="F137" s="3" t="s">
        <v>39</v>
      </c>
      <c r="G137" s="3">
        <v>23</v>
      </c>
      <c r="H137" s="3" t="s">
        <v>60</v>
      </c>
      <c r="I137" s="3" t="s">
        <v>61</v>
      </c>
      <c r="J137" s="3" t="s">
        <v>42</v>
      </c>
      <c r="K137" s="3" t="s">
        <v>70</v>
      </c>
      <c r="L137" s="3" t="s">
        <v>71</v>
      </c>
      <c r="M137" s="3" t="s">
        <v>45</v>
      </c>
      <c r="N137" s="3" t="s">
        <v>63</v>
      </c>
      <c r="O137" s="3" t="s">
        <v>72</v>
      </c>
      <c r="P137" s="3">
        <v>3</v>
      </c>
      <c r="Q137" s="9">
        <v>58000</v>
      </c>
      <c r="R137" s="6">
        <v>0.1</v>
      </c>
      <c r="S137" s="12">
        <f t="shared" si="26"/>
        <v>156600</v>
      </c>
      <c r="T137" s="12">
        <v>49000</v>
      </c>
      <c r="U137" s="9">
        <f t="shared" si="27"/>
        <v>9600</v>
      </c>
      <c r="V137" s="6">
        <f t="shared" si="28"/>
        <v>6.1302681992337162E-2</v>
      </c>
      <c r="W137" s="3" t="s">
        <v>73</v>
      </c>
      <c r="X137" s="3" t="s">
        <v>106</v>
      </c>
      <c r="Y137" s="3">
        <f t="shared" si="29"/>
        <v>2</v>
      </c>
      <c r="Z137" s="3" t="str">
        <f t="shared" si="30"/>
        <v>Premium</v>
      </c>
      <c r="AA137" s="3">
        <v>4</v>
      </c>
      <c r="AB137" s="3" t="str">
        <f t="shared" si="31"/>
        <v>Excellent</v>
      </c>
      <c r="AC137" s="3" t="str">
        <f t="shared" si="32"/>
        <v>October</v>
      </c>
      <c r="AD137" s="3" t="str">
        <f t="shared" si="33"/>
        <v>Q4</v>
      </c>
      <c r="AE137" s="3">
        <f t="shared" si="34"/>
        <v>2026</v>
      </c>
      <c r="AF137" s="3" t="str">
        <f t="shared" si="35"/>
        <v>Friday</v>
      </c>
      <c r="AG137" s="3" t="str">
        <f t="shared" si="36"/>
        <v>18-25</v>
      </c>
      <c r="AH137" s="3" t="str">
        <f t="shared" si="37"/>
        <v>Large</v>
      </c>
      <c r="AI137" s="3" t="str">
        <f t="shared" si="38"/>
        <v>Medium</v>
      </c>
      <c r="AJ137" s="3" t="str" cm="1">
        <f t="array" ref="AJ137">_xlfn.IFS(S137&gt;=80000,"VIP",S137&gt;=40000,"Gold",S137&gt;=15000,"Silver",TRUE,"Bronze")</f>
        <v>VIP</v>
      </c>
    </row>
    <row r="138" spans="1:36" x14ac:dyDescent="0.3">
      <c r="A138" s="3" t="s">
        <v>481</v>
      </c>
      <c r="B138" s="15">
        <v>46031</v>
      </c>
      <c r="C138" s="15">
        <v>46037</v>
      </c>
      <c r="D138" s="3" t="s">
        <v>482</v>
      </c>
      <c r="E138" s="3" t="s">
        <v>483</v>
      </c>
      <c r="F138" s="3" t="s">
        <v>52</v>
      </c>
      <c r="G138" s="3">
        <v>39</v>
      </c>
      <c r="H138" s="3" t="s">
        <v>40</v>
      </c>
      <c r="I138" s="3" t="s">
        <v>41</v>
      </c>
      <c r="J138" s="3" t="s">
        <v>42</v>
      </c>
      <c r="K138" s="3" t="s">
        <v>54</v>
      </c>
      <c r="L138" s="3" t="s">
        <v>173</v>
      </c>
      <c r="M138" s="3" t="s">
        <v>45</v>
      </c>
      <c r="N138" s="3" t="s">
        <v>46</v>
      </c>
      <c r="O138" s="3" t="s">
        <v>55</v>
      </c>
      <c r="P138" s="3">
        <v>4</v>
      </c>
      <c r="Q138" s="9">
        <v>79900</v>
      </c>
      <c r="R138" s="6">
        <v>0.15</v>
      </c>
      <c r="S138" s="12">
        <f t="shared" si="26"/>
        <v>271660</v>
      </c>
      <c r="T138" s="12">
        <v>65000</v>
      </c>
      <c r="U138" s="9">
        <f t="shared" si="27"/>
        <v>11660</v>
      </c>
      <c r="V138" s="6">
        <f t="shared" si="28"/>
        <v>4.292129868217625E-2</v>
      </c>
      <c r="W138" s="3" t="s">
        <v>92</v>
      </c>
      <c r="X138" s="3" t="s">
        <v>74</v>
      </c>
      <c r="Y138" s="3">
        <f t="shared" si="29"/>
        <v>6</v>
      </c>
      <c r="Z138" s="3" t="str">
        <f t="shared" si="30"/>
        <v>Premium</v>
      </c>
      <c r="AA138" s="3">
        <v>4</v>
      </c>
      <c r="AB138" s="3" t="str">
        <f t="shared" si="31"/>
        <v>Excellent</v>
      </c>
      <c r="AC138" s="3" t="str">
        <f t="shared" si="32"/>
        <v>January</v>
      </c>
      <c r="AD138" s="3" t="str">
        <f t="shared" si="33"/>
        <v>Q1</v>
      </c>
      <c r="AE138" s="3">
        <f t="shared" si="34"/>
        <v>2026</v>
      </c>
      <c r="AF138" s="3" t="str">
        <f t="shared" si="35"/>
        <v>Friday</v>
      </c>
      <c r="AG138" s="3" t="str">
        <f t="shared" si="36"/>
        <v>36-45</v>
      </c>
      <c r="AH138" s="3" t="str">
        <f t="shared" si="37"/>
        <v>Large</v>
      </c>
      <c r="AI138" s="3" t="str">
        <f t="shared" si="38"/>
        <v>Medium</v>
      </c>
      <c r="AJ138" s="3" t="str" cm="1">
        <f t="array" ref="AJ138">_xlfn.IFS(S138&gt;=80000,"VIP",S138&gt;=40000,"Gold",S138&gt;=15000,"Silver",TRUE,"Bronze")</f>
        <v>VIP</v>
      </c>
    </row>
    <row r="139" spans="1:36" x14ac:dyDescent="0.3">
      <c r="A139" s="3" t="s">
        <v>484</v>
      </c>
      <c r="B139" s="15">
        <v>46142</v>
      </c>
      <c r="C139" s="15">
        <v>46144</v>
      </c>
      <c r="D139" s="3" t="s">
        <v>485</v>
      </c>
      <c r="E139" s="3" t="s">
        <v>294</v>
      </c>
      <c r="F139" s="3" t="s">
        <v>39</v>
      </c>
      <c r="G139" s="3">
        <v>48</v>
      </c>
      <c r="H139" s="3" t="s">
        <v>40</v>
      </c>
      <c r="I139" s="3" t="s">
        <v>41</v>
      </c>
      <c r="J139" s="3" t="s">
        <v>42</v>
      </c>
      <c r="K139" s="3" t="s">
        <v>62</v>
      </c>
      <c r="L139" s="3" t="s">
        <v>163</v>
      </c>
      <c r="M139" s="3" t="s">
        <v>45</v>
      </c>
      <c r="N139" s="3" t="s">
        <v>63</v>
      </c>
      <c r="O139" s="3" t="s">
        <v>64</v>
      </c>
      <c r="P139" s="3">
        <v>1</v>
      </c>
      <c r="Q139" s="9">
        <v>62000</v>
      </c>
      <c r="R139" s="6">
        <v>0.1</v>
      </c>
      <c r="S139" s="12">
        <f t="shared" si="26"/>
        <v>55800</v>
      </c>
      <c r="T139" s="12">
        <v>52000</v>
      </c>
      <c r="U139" s="9">
        <f t="shared" si="27"/>
        <v>3800</v>
      </c>
      <c r="V139" s="6">
        <f t="shared" si="28"/>
        <v>6.8100358422939072E-2</v>
      </c>
      <c r="W139" s="3" t="s">
        <v>100</v>
      </c>
      <c r="X139" s="3" t="s">
        <v>101</v>
      </c>
      <c r="Y139" s="3">
        <f t="shared" si="29"/>
        <v>2</v>
      </c>
      <c r="Z139" s="3" t="str">
        <f t="shared" si="30"/>
        <v>Premium</v>
      </c>
      <c r="AA139" s="3">
        <v>2</v>
      </c>
      <c r="AB139" s="3" t="str">
        <f t="shared" si="31"/>
        <v>Average</v>
      </c>
      <c r="AC139" s="3" t="str">
        <f t="shared" si="32"/>
        <v>April</v>
      </c>
      <c r="AD139" s="3" t="str">
        <f t="shared" si="33"/>
        <v>Q2</v>
      </c>
      <c r="AE139" s="3">
        <f t="shared" si="34"/>
        <v>2026</v>
      </c>
      <c r="AF139" s="3" t="str">
        <f t="shared" si="35"/>
        <v>Thursday</v>
      </c>
      <c r="AG139" s="3" t="str">
        <f t="shared" si="36"/>
        <v>46+</v>
      </c>
      <c r="AH139" s="3" t="str">
        <f t="shared" si="37"/>
        <v>Large</v>
      </c>
      <c r="AI139" s="3" t="str">
        <f t="shared" si="38"/>
        <v>Medium</v>
      </c>
      <c r="AJ139" s="3" t="str" cm="1">
        <f t="array" ref="AJ139">_xlfn.IFS(S139&gt;=80000,"VIP",S139&gt;=40000,"Gold",S139&gt;=15000,"Silver",TRUE,"Bronze")</f>
        <v>Gold</v>
      </c>
    </row>
    <row r="140" spans="1:36" x14ac:dyDescent="0.3">
      <c r="A140" s="3" t="s">
        <v>486</v>
      </c>
      <c r="B140" s="15">
        <v>46266</v>
      </c>
      <c r="C140" s="15">
        <v>46272</v>
      </c>
      <c r="D140" s="3" t="s">
        <v>487</v>
      </c>
      <c r="E140" s="3" t="s">
        <v>488</v>
      </c>
      <c r="F140" s="3" t="s">
        <v>39</v>
      </c>
      <c r="G140" s="3">
        <v>31</v>
      </c>
      <c r="H140" s="3" t="s">
        <v>78</v>
      </c>
      <c r="I140" s="3" t="s">
        <v>79</v>
      </c>
      <c r="J140" s="3" t="s">
        <v>80</v>
      </c>
      <c r="K140" s="3" t="s">
        <v>70</v>
      </c>
      <c r="L140" s="3" t="s">
        <v>71</v>
      </c>
      <c r="M140" s="3" t="s">
        <v>45</v>
      </c>
      <c r="N140" s="3" t="s">
        <v>63</v>
      </c>
      <c r="O140" s="3" t="s">
        <v>72</v>
      </c>
      <c r="P140" s="3">
        <v>4</v>
      </c>
      <c r="Q140" s="9">
        <v>58000</v>
      </c>
      <c r="R140" s="6">
        <v>0.1</v>
      </c>
      <c r="S140" s="12">
        <f t="shared" si="26"/>
        <v>208800</v>
      </c>
      <c r="T140" s="12">
        <v>49000</v>
      </c>
      <c r="U140" s="9">
        <f t="shared" si="27"/>
        <v>12800</v>
      </c>
      <c r="V140" s="6">
        <f t="shared" si="28"/>
        <v>6.1302681992337162E-2</v>
      </c>
      <c r="W140" s="3" t="s">
        <v>65</v>
      </c>
      <c r="X140" s="3" t="s">
        <v>106</v>
      </c>
      <c r="Y140" s="3">
        <f t="shared" si="29"/>
        <v>6</v>
      </c>
      <c r="Z140" s="3" t="str">
        <f t="shared" si="30"/>
        <v>Premium</v>
      </c>
      <c r="AA140" s="3">
        <v>4</v>
      </c>
      <c r="AB140" s="3" t="str">
        <f t="shared" si="31"/>
        <v>Excellent</v>
      </c>
      <c r="AC140" s="3" t="str">
        <f t="shared" si="32"/>
        <v>September</v>
      </c>
      <c r="AD140" s="3" t="str">
        <f t="shared" si="33"/>
        <v>Q3</v>
      </c>
      <c r="AE140" s="3">
        <f t="shared" si="34"/>
        <v>2026</v>
      </c>
      <c r="AF140" s="3" t="str">
        <f t="shared" si="35"/>
        <v>Tuesday</v>
      </c>
      <c r="AG140" s="3" t="str">
        <f t="shared" si="36"/>
        <v>26-35</v>
      </c>
      <c r="AH140" s="3" t="str">
        <f t="shared" si="37"/>
        <v>Large</v>
      </c>
      <c r="AI140" s="3" t="str">
        <f t="shared" si="38"/>
        <v>Medium</v>
      </c>
      <c r="AJ140" s="3" t="str" cm="1">
        <f t="array" ref="AJ140">_xlfn.IFS(S140&gt;=80000,"VIP",S140&gt;=40000,"Gold",S140&gt;=15000,"Silver",TRUE,"Bronze")</f>
        <v>VIP</v>
      </c>
    </row>
    <row r="141" spans="1:36" x14ac:dyDescent="0.3">
      <c r="A141" s="3" t="s">
        <v>489</v>
      </c>
      <c r="B141" s="15">
        <v>46129</v>
      </c>
      <c r="C141" s="15">
        <v>46131</v>
      </c>
      <c r="D141" s="3" t="s">
        <v>490</v>
      </c>
      <c r="E141" s="3" t="s">
        <v>483</v>
      </c>
      <c r="F141" s="3" t="s">
        <v>52</v>
      </c>
      <c r="G141" s="3">
        <v>40</v>
      </c>
      <c r="H141" s="3" t="s">
        <v>68</v>
      </c>
      <c r="I141" s="3" t="s">
        <v>68</v>
      </c>
      <c r="J141" s="3" t="s">
        <v>69</v>
      </c>
      <c r="K141" s="3" t="s">
        <v>105</v>
      </c>
      <c r="L141" s="3" t="s">
        <v>112</v>
      </c>
      <c r="M141" s="3" t="s">
        <v>113</v>
      </c>
      <c r="N141" s="3" t="s">
        <v>114</v>
      </c>
      <c r="O141" s="3" t="s">
        <v>115</v>
      </c>
      <c r="P141" s="3">
        <v>2</v>
      </c>
      <c r="Q141" s="9">
        <v>3500</v>
      </c>
      <c r="R141" s="6">
        <v>0.1</v>
      </c>
      <c r="S141" s="12">
        <f t="shared" si="26"/>
        <v>6300</v>
      </c>
      <c r="T141" s="12">
        <v>2500</v>
      </c>
      <c r="U141" s="9">
        <f t="shared" si="27"/>
        <v>1300</v>
      </c>
      <c r="V141" s="6">
        <f t="shared" si="28"/>
        <v>0.20634920634920634</v>
      </c>
      <c r="W141" s="3" t="s">
        <v>92</v>
      </c>
      <c r="X141" s="3" t="s">
        <v>74</v>
      </c>
      <c r="Y141" s="3">
        <f t="shared" si="29"/>
        <v>2</v>
      </c>
      <c r="Z141" s="3" t="str">
        <f t="shared" si="30"/>
        <v>Regular</v>
      </c>
      <c r="AA141" s="3">
        <v>4</v>
      </c>
      <c r="AB141" s="3" t="str">
        <f t="shared" si="31"/>
        <v>Excellent</v>
      </c>
      <c r="AC141" s="3" t="str">
        <f t="shared" si="32"/>
        <v>April</v>
      </c>
      <c r="AD141" s="3" t="str">
        <f t="shared" si="33"/>
        <v>Q2</v>
      </c>
      <c r="AE141" s="3">
        <f t="shared" si="34"/>
        <v>2026</v>
      </c>
      <c r="AF141" s="3" t="str">
        <f t="shared" si="35"/>
        <v>Friday</v>
      </c>
      <c r="AG141" s="3" t="str">
        <f t="shared" si="36"/>
        <v>36-45</v>
      </c>
      <c r="AH141" s="3" t="str">
        <f t="shared" si="37"/>
        <v>Small</v>
      </c>
      <c r="AI141" s="3" t="str">
        <f t="shared" si="38"/>
        <v>Medium</v>
      </c>
      <c r="AJ141" s="3" t="str" cm="1">
        <f t="array" ref="AJ141">_xlfn.IFS(S141&gt;=80000,"VIP",S141&gt;=40000,"Gold",S141&gt;=15000,"Silver",TRUE,"Bronze")</f>
        <v>Bronze</v>
      </c>
    </row>
    <row r="142" spans="1:36" x14ac:dyDescent="0.3">
      <c r="A142" s="3" t="s">
        <v>491</v>
      </c>
      <c r="B142" s="15">
        <v>46163</v>
      </c>
      <c r="C142" s="15">
        <v>46169</v>
      </c>
      <c r="D142" s="3" t="s">
        <v>492</v>
      </c>
      <c r="E142" s="3" t="s">
        <v>175</v>
      </c>
      <c r="F142" s="3" t="s">
        <v>52</v>
      </c>
      <c r="G142" s="3">
        <v>35</v>
      </c>
      <c r="H142" s="3" t="s">
        <v>40</v>
      </c>
      <c r="I142" s="3" t="s">
        <v>41</v>
      </c>
      <c r="J142" s="3" t="s">
        <v>42</v>
      </c>
      <c r="K142" s="3" t="s">
        <v>62</v>
      </c>
      <c r="L142" s="3" t="s">
        <v>163</v>
      </c>
      <c r="M142" s="3" t="s">
        <v>45</v>
      </c>
      <c r="N142" s="3" t="s">
        <v>63</v>
      </c>
      <c r="O142" s="3" t="s">
        <v>64</v>
      </c>
      <c r="P142" s="3">
        <v>5</v>
      </c>
      <c r="Q142" s="9">
        <v>62000</v>
      </c>
      <c r="R142" s="6">
        <v>0.15</v>
      </c>
      <c r="S142" s="12">
        <f t="shared" si="26"/>
        <v>263500</v>
      </c>
      <c r="T142" s="12">
        <v>52000</v>
      </c>
      <c r="U142" s="9">
        <f t="shared" si="27"/>
        <v>3500</v>
      </c>
      <c r="V142" s="6">
        <f t="shared" si="28"/>
        <v>1.3282732447817837E-2</v>
      </c>
      <c r="W142" s="3" t="s">
        <v>92</v>
      </c>
      <c r="X142" s="3" t="s">
        <v>101</v>
      </c>
      <c r="Y142" s="3">
        <f t="shared" si="29"/>
        <v>6</v>
      </c>
      <c r="Z142" s="3" t="str">
        <f t="shared" si="30"/>
        <v>Premium</v>
      </c>
      <c r="AA142" s="3">
        <v>5</v>
      </c>
      <c r="AB142" s="3" t="str">
        <f t="shared" si="31"/>
        <v>Excellent</v>
      </c>
      <c r="AC142" s="3" t="str">
        <f t="shared" si="32"/>
        <v>May</v>
      </c>
      <c r="AD142" s="3" t="str">
        <f t="shared" si="33"/>
        <v>Q2</v>
      </c>
      <c r="AE142" s="3">
        <f t="shared" si="34"/>
        <v>2026</v>
      </c>
      <c r="AF142" s="3" t="str">
        <f t="shared" si="35"/>
        <v>Thursday</v>
      </c>
      <c r="AG142" s="3" t="str">
        <f t="shared" si="36"/>
        <v>26-35</v>
      </c>
      <c r="AH142" s="3" t="str">
        <f t="shared" si="37"/>
        <v>Large</v>
      </c>
      <c r="AI142" s="3" t="str">
        <f t="shared" si="38"/>
        <v>Medium</v>
      </c>
      <c r="AJ142" s="3" t="str" cm="1">
        <f t="array" ref="AJ142">_xlfn.IFS(S142&gt;=80000,"VIP",S142&gt;=40000,"Gold",S142&gt;=15000,"Silver",TRUE,"Bronze")</f>
        <v>VIP</v>
      </c>
    </row>
    <row r="143" spans="1:36" x14ac:dyDescent="0.3">
      <c r="A143" s="3" t="s">
        <v>493</v>
      </c>
      <c r="B143" s="15">
        <v>46268</v>
      </c>
      <c r="C143" s="15">
        <v>46272</v>
      </c>
      <c r="D143" s="3" t="s">
        <v>494</v>
      </c>
      <c r="E143" s="3" t="s">
        <v>495</v>
      </c>
      <c r="F143" s="3" t="s">
        <v>39</v>
      </c>
      <c r="G143" s="3">
        <v>40</v>
      </c>
      <c r="H143" s="3" t="s">
        <v>68</v>
      </c>
      <c r="I143" s="3" t="s">
        <v>68</v>
      </c>
      <c r="J143" s="3" t="s">
        <v>69</v>
      </c>
      <c r="K143" s="3" t="s">
        <v>43</v>
      </c>
      <c r="L143" s="3" t="s">
        <v>44</v>
      </c>
      <c r="M143" s="3" t="s">
        <v>45</v>
      </c>
      <c r="N143" s="3" t="s">
        <v>46</v>
      </c>
      <c r="O143" s="3" t="s">
        <v>47</v>
      </c>
      <c r="P143" s="3">
        <v>2</v>
      </c>
      <c r="Q143" s="9">
        <v>28500</v>
      </c>
      <c r="R143" s="6">
        <v>0.12</v>
      </c>
      <c r="S143" s="12">
        <f t="shared" si="26"/>
        <v>50160</v>
      </c>
      <c r="T143" s="12">
        <v>22000</v>
      </c>
      <c r="U143" s="9">
        <f t="shared" si="27"/>
        <v>6160</v>
      </c>
      <c r="V143" s="6">
        <f t="shared" si="28"/>
        <v>0.12280701754385964</v>
      </c>
      <c r="W143" s="3" t="s">
        <v>92</v>
      </c>
      <c r="X143" s="3" t="s">
        <v>49</v>
      </c>
      <c r="Y143" s="3">
        <f t="shared" si="29"/>
        <v>4</v>
      </c>
      <c r="Z143" s="3" t="str">
        <f t="shared" si="30"/>
        <v>Premium</v>
      </c>
      <c r="AA143" s="3">
        <v>3</v>
      </c>
      <c r="AB143" s="3" t="str">
        <f t="shared" si="31"/>
        <v>Average</v>
      </c>
      <c r="AC143" s="3" t="str">
        <f t="shared" si="32"/>
        <v>September</v>
      </c>
      <c r="AD143" s="3" t="str">
        <f t="shared" si="33"/>
        <v>Q3</v>
      </c>
      <c r="AE143" s="3">
        <f t="shared" si="34"/>
        <v>2026</v>
      </c>
      <c r="AF143" s="3" t="str">
        <f t="shared" si="35"/>
        <v>Thursday</v>
      </c>
      <c r="AG143" s="3" t="str">
        <f t="shared" si="36"/>
        <v>36-45</v>
      </c>
      <c r="AH143" s="3" t="str">
        <f t="shared" si="37"/>
        <v>Large</v>
      </c>
      <c r="AI143" s="3" t="str">
        <f t="shared" si="38"/>
        <v>Medium</v>
      </c>
      <c r="AJ143" s="3" t="str" cm="1">
        <f t="array" ref="AJ143">_xlfn.IFS(S143&gt;=80000,"VIP",S143&gt;=40000,"Gold",S143&gt;=15000,"Silver",TRUE,"Bronze")</f>
        <v>Gold</v>
      </c>
    </row>
    <row r="144" spans="1:36" x14ac:dyDescent="0.3">
      <c r="A144" s="3" t="s">
        <v>496</v>
      </c>
      <c r="B144" s="15">
        <v>46218</v>
      </c>
      <c r="C144" s="15">
        <v>46220</v>
      </c>
      <c r="D144" s="3" t="s">
        <v>497</v>
      </c>
      <c r="E144" s="3" t="s">
        <v>498</v>
      </c>
      <c r="F144" s="3" t="s">
        <v>52</v>
      </c>
      <c r="G144" s="3">
        <v>26</v>
      </c>
      <c r="H144" s="3" t="s">
        <v>88</v>
      </c>
      <c r="I144" s="3" t="s">
        <v>89</v>
      </c>
      <c r="J144" s="3" t="s">
        <v>80</v>
      </c>
      <c r="K144" s="3" t="s">
        <v>105</v>
      </c>
      <c r="L144" s="3" t="s">
        <v>112</v>
      </c>
      <c r="M144" s="3" t="s">
        <v>113</v>
      </c>
      <c r="N144" s="3" t="s">
        <v>114</v>
      </c>
      <c r="O144" s="3" t="s">
        <v>115</v>
      </c>
      <c r="P144" s="3">
        <v>4</v>
      </c>
      <c r="Q144" s="9">
        <v>3500</v>
      </c>
      <c r="R144" s="6">
        <v>0.1</v>
      </c>
      <c r="S144" s="12">
        <f t="shared" si="26"/>
        <v>12600</v>
      </c>
      <c r="T144" s="12">
        <v>2500</v>
      </c>
      <c r="U144" s="9">
        <f t="shared" si="27"/>
        <v>2600</v>
      </c>
      <c r="V144" s="6">
        <f t="shared" si="28"/>
        <v>0.20634920634920634</v>
      </c>
      <c r="W144" s="3" t="s">
        <v>100</v>
      </c>
      <c r="X144" s="3" t="s">
        <v>74</v>
      </c>
      <c r="Y144" s="3">
        <f t="shared" si="29"/>
        <v>2</v>
      </c>
      <c r="Z144" s="3" t="str">
        <f t="shared" si="30"/>
        <v>Regular</v>
      </c>
      <c r="AA144" s="3">
        <v>4</v>
      </c>
      <c r="AB144" s="3" t="str">
        <f t="shared" si="31"/>
        <v>Excellent</v>
      </c>
      <c r="AC144" s="3" t="str">
        <f t="shared" si="32"/>
        <v>July</v>
      </c>
      <c r="AD144" s="3" t="str">
        <f t="shared" si="33"/>
        <v>Q3</v>
      </c>
      <c r="AE144" s="3">
        <f t="shared" si="34"/>
        <v>2026</v>
      </c>
      <c r="AF144" s="3" t="str">
        <f t="shared" si="35"/>
        <v>Wednesday</v>
      </c>
      <c r="AG144" s="3" t="str">
        <f t="shared" si="36"/>
        <v>26-35</v>
      </c>
      <c r="AH144" s="3" t="str">
        <f t="shared" si="37"/>
        <v>Medium</v>
      </c>
      <c r="AI144" s="3" t="str">
        <f t="shared" si="38"/>
        <v>Medium</v>
      </c>
      <c r="AJ144" s="3" t="str" cm="1">
        <f t="array" ref="AJ144">_xlfn.IFS(S144&gt;=80000,"VIP",S144&gt;=40000,"Gold",S144&gt;=15000,"Silver",TRUE,"Bronze")</f>
        <v>Bronze</v>
      </c>
    </row>
    <row r="145" spans="1:36" x14ac:dyDescent="0.3">
      <c r="A145" s="3" t="s">
        <v>499</v>
      </c>
      <c r="B145" s="15">
        <v>46322</v>
      </c>
      <c r="C145" s="15">
        <v>46324</v>
      </c>
      <c r="D145" s="3" t="s">
        <v>500</v>
      </c>
      <c r="E145" s="3" t="s">
        <v>498</v>
      </c>
      <c r="F145" s="3" t="s">
        <v>39</v>
      </c>
      <c r="G145" s="3">
        <v>23</v>
      </c>
      <c r="H145" s="3" t="s">
        <v>78</v>
      </c>
      <c r="I145" s="3" t="s">
        <v>79</v>
      </c>
      <c r="J145" s="3" t="s">
        <v>80</v>
      </c>
      <c r="K145" s="3" t="s">
        <v>90</v>
      </c>
      <c r="L145" s="3" t="s">
        <v>122</v>
      </c>
      <c r="M145" s="3" t="s">
        <v>45</v>
      </c>
      <c r="N145" s="3" t="s">
        <v>91</v>
      </c>
      <c r="O145" s="3" t="s">
        <v>123</v>
      </c>
      <c r="P145" s="3">
        <v>1</v>
      </c>
      <c r="Q145" s="9">
        <v>2500</v>
      </c>
      <c r="R145" s="6">
        <v>0.1</v>
      </c>
      <c r="S145" s="12">
        <f t="shared" si="26"/>
        <v>2250</v>
      </c>
      <c r="T145" s="12">
        <v>1700</v>
      </c>
      <c r="U145" s="9">
        <f t="shared" si="27"/>
        <v>550</v>
      </c>
      <c r="V145" s="6">
        <f t="shared" si="28"/>
        <v>0.24444444444444444</v>
      </c>
      <c r="W145" s="3" t="s">
        <v>65</v>
      </c>
      <c r="X145" s="3" t="s">
        <v>74</v>
      </c>
      <c r="Y145" s="3">
        <f t="shared" si="29"/>
        <v>2</v>
      </c>
      <c r="Z145" s="3" t="str">
        <f t="shared" si="30"/>
        <v>Regular</v>
      </c>
      <c r="AA145" s="3">
        <v>3</v>
      </c>
      <c r="AB145" s="3" t="str">
        <f t="shared" si="31"/>
        <v>Average</v>
      </c>
      <c r="AC145" s="3" t="str">
        <f t="shared" si="32"/>
        <v>October</v>
      </c>
      <c r="AD145" s="3" t="str">
        <f t="shared" si="33"/>
        <v>Q4</v>
      </c>
      <c r="AE145" s="3">
        <f t="shared" si="34"/>
        <v>2026</v>
      </c>
      <c r="AF145" s="3" t="str">
        <f t="shared" si="35"/>
        <v>Tuesday</v>
      </c>
      <c r="AG145" s="3" t="str">
        <f t="shared" si="36"/>
        <v>18-25</v>
      </c>
      <c r="AH145" s="3" t="str">
        <f t="shared" si="37"/>
        <v>Small</v>
      </c>
      <c r="AI145" s="3" t="str">
        <f t="shared" si="38"/>
        <v>Medium</v>
      </c>
      <c r="AJ145" s="3" t="str" cm="1">
        <f t="array" ref="AJ145">_xlfn.IFS(S145&gt;=80000,"VIP",S145&gt;=40000,"Gold",S145&gt;=15000,"Silver",TRUE,"Bronze")</f>
        <v>Bronze</v>
      </c>
    </row>
    <row r="146" spans="1:36" x14ac:dyDescent="0.3">
      <c r="A146" s="3" t="s">
        <v>501</v>
      </c>
      <c r="B146" s="15">
        <v>46166</v>
      </c>
      <c r="C146" s="15">
        <v>46169</v>
      </c>
      <c r="D146" s="3" t="s">
        <v>502</v>
      </c>
      <c r="E146" s="3" t="s">
        <v>503</v>
      </c>
      <c r="F146" s="3" t="s">
        <v>39</v>
      </c>
      <c r="G146" s="3">
        <v>43</v>
      </c>
      <c r="H146" s="3" t="s">
        <v>110</v>
      </c>
      <c r="I146" s="3" t="s">
        <v>111</v>
      </c>
      <c r="J146" s="3" t="s">
        <v>80</v>
      </c>
      <c r="K146" s="3" t="s">
        <v>54</v>
      </c>
      <c r="L146" s="3" t="s">
        <v>173</v>
      </c>
      <c r="M146" s="3" t="s">
        <v>45</v>
      </c>
      <c r="N146" s="3" t="s">
        <v>46</v>
      </c>
      <c r="O146" s="3" t="s">
        <v>55</v>
      </c>
      <c r="P146" s="3">
        <v>2</v>
      </c>
      <c r="Q146" s="9">
        <v>79900</v>
      </c>
      <c r="R146" s="6">
        <v>0.1</v>
      </c>
      <c r="S146" s="12">
        <f t="shared" si="26"/>
        <v>143820</v>
      </c>
      <c r="T146" s="12">
        <v>65000</v>
      </c>
      <c r="U146" s="9">
        <f t="shared" si="27"/>
        <v>13820</v>
      </c>
      <c r="V146" s="6">
        <f t="shared" si="28"/>
        <v>9.6092337644277576E-2</v>
      </c>
      <c r="W146" s="3" t="s">
        <v>48</v>
      </c>
      <c r="X146" s="3" t="s">
        <v>74</v>
      </c>
      <c r="Y146" s="3">
        <f t="shared" si="29"/>
        <v>3</v>
      </c>
      <c r="Z146" s="3" t="str">
        <f t="shared" si="30"/>
        <v>Premium</v>
      </c>
      <c r="AA146" s="3">
        <v>5</v>
      </c>
      <c r="AB146" s="3" t="str">
        <f t="shared" si="31"/>
        <v>Excellent</v>
      </c>
      <c r="AC146" s="3" t="str">
        <f t="shared" si="32"/>
        <v>May</v>
      </c>
      <c r="AD146" s="3" t="str">
        <f t="shared" si="33"/>
        <v>Q2</v>
      </c>
      <c r="AE146" s="3">
        <f t="shared" si="34"/>
        <v>2026</v>
      </c>
      <c r="AF146" s="3" t="str">
        <f t="shared" si="35"/>
        <v>Sunday</v>
      </c>
      <c r="AG146" s="3" t="str">
        <f t="shared" si="36"/>
        <v>36-45</v>
      </c>
      <c r="AH146" s="3" t="str">
        <f t="shared" si="37"/>
        <v>Large</v>
      </c>
      <c r="AI146" s="3" t="str">
        <f t="shared" si="38"/>
        <v>Medium</v>
      </c>
      <c r="AJ146" s="3" t="str" cm="1">
        <f t="array" ref="AJ146">_xlfn.IFS(S146&gt;=80000,"VIP",S146&gt;=40000,"Gold",S146&gt;=15000,"Silver",TRUE,"Bronze")</f>
        <v>VIP</v>
      </c>
    </row>
    <row r="147" spans="1:36" x14ac:dyDescent="0.3">
      <c r="A147" s="3" t="s">
        <v>504</v>
      </c>
      <c r="B147" s="15">
        <v>46030</v>
      </c>
      <c r="C147" s="15">
        <v>46034</v>
      </c>
      <c r="D147" s="3" t="s">
        <v>505</v>
      </c>
      <c r="E147" s="3" t="s">
        <v>506</v>
      </c>
      <c r="F147" s="3" t="s">
        <v>52</v>
      </c>
      <c r="G147" s="3">
        <v>46</v>
      </c>
      <c r="H147" s="3" t="s">
        <v>53</v>
      </c>
      <c r="I147" s="3" t="s">
        <v>41</v>
      </c>
      <c r="J147" s="3" t="s">
        <v>42</v>
      </c>
      <c r="K147" s="3" t="s">
        <v>70</v>
      </c>
      <c r="L147" s="3" t="s">
        <v>71</v>
      </c>
      <c r="M147" s="3" t="s">
        <v>45</v>
      </c>
      <c r="N147" s="3" t="s">
        <v>63</v>
      </c>
      <c r="O147" s="3" t="s">
        <v>72</v>
      </c>
      <c r="P147" s="3">
        <v>2</v>
      </c>
      <c r="Q147" s="9">
        <v>58000</v>
      </c>
      <c r="R147" s="6">
        <v>0.1</v>
      </c>
      <c r="S147" s="12">
        <f t="shared" si="26"/>
        <v>104400</v>
      </c>
      <c r="T147" s="12">
        <v>49000</v>
      </c>
      <c r="U147" s="9">
        <f t="shared" si="27"/>
        <v>6400</v>
      </c>
      <c r="V147" s="6">
        <f t="shared" si="28"/>
        <v>6.1302681992337162E-2</v>
      </c>
      <c r="W147" s="3" t="s">
        <v>56</v>
      </c>
      <c r="X147" s="3" t="s">
        <v>49</v>
      </c>
      <c r="Y147" s="3">
        <f t="shared" si="29"/>
        <v>4</v>
      </c>
      <c r="Z147" s="3" t="str">
        <f t="shared" si="30"/>
        <v>Premium</v>
      </c>
      <c r="AA147" s="3">
        <v>3</v>
      </c>
      <c r="AB147" s="3" t="str">
        <f t="shared" si="31"/>
        <v>Average</v>
      </c>
      <c r="AC147" s="3" t="str">
        <f t="shared" si="32"/>
        <v>January</v>
      </c>
      <c r="AD147" s="3" t="str">
        <f t="shared" si="33"/>
        <v>Q1</v>
      </c>
      <c r="AE147" s="3">
        <f t="shared" si="34"/>
        <v>2026</v>
      </c>
      <c r="AF147" s="3" t="str">
        <f t="shared" si="35"/>
        <v>Thursday</v>
      </c>
      <c r="AG147" s="3" t="str">
        <f t="shared" si="36"/>
        <v>46+</v>
      </c>
      <c r="AH147" s="3" t="str">
        <f t="shared" si="37"/>
        <v>Large</v>
      </c>
      <c r="AI147" s="3" t="str">
        <f t="shared" si="38"/>
        <v>Medium</v>
      </c>
      <c r="AJ147" s="3" t="str" cm="1">
        <f t="array" ref="AJ147">_xlfn.IFS(S147&gt;=80000,"VIP",S147&gt;=40000,"Gold",S147&gt;=15000,"Silver",TRUE,"Bronze")</f>
        <v>VIP</v>
      </c>
    </row>
    <row r="148" spans="1:36" x14ac:dyDescent="0.3">
      <c r="A148" s="3" t="s">
        <v>507</v>
      </c>
      <c r="B148" s="15">
        <v>46084</v>
      </c>
      <c r="C148" s="15">
        <v>46086</v>
      </c>
      <c r="D148" s="3" t="s">
        <v>508</v>
      </c>
      <c r="E148" s="3" t="s">
        <v>509</v>
      </c>
      <c r="F148" s="3" t="s">
        <v>39</v>
      </c>
      <c r="G148" s="3">
        <v>21</v>
      </c>
      <c r="H148" s="3" t="s">
        <v>78</v>
      </c>
      <c r="I148" s="3" t="s">
        <v>79</v>
      </c>
      <c r="J148" s="3" t="s">
        <v>80</v>
      </c>
      <c r="K148" s="3" t="s">
        <v>105</v>
      </c>
      <c r="L148" s="3" t="s">
        <v>112</v>
      </c>
      <c r="M148" s="3" t="s">
        <v>113</v>
      </c>
      <c r="N148" s="3" t="s">
        <v>114</v>
      </c>
      <c r="O148" s="3" t="s">
        <v>115</v>
      </c>
      <c r="P148" s="3">
        <v>2</v>
      </c>
      <c r="Q148" s="9">
        <v>3500</v>
      </c>
      <c r="R148" s="6">
        <v>0.12</v>
      </c>
      <c r="S148" s="12">
        <f t="shared" si="26"/>
        <v>6160</v>
      </c>
      <c r="T148" s="12">
        <v>2500</v>
      </c>
      <c r="U148" s="9">
        <f t="shared" si="27"/>
        <v>1160</v>
      </c>
      <c r="V148" s="6">
        <f t="shared" si="28"/>
        <v>0.18831168831168832</v>
      </c>
      <c r="W148" s="3" t="s">
        <v>92</v>
      </c>
      <c r="X148" s="3" t="s">
        <v>106</v>
      </c>
      <c r="Y148" s="3">
        <f t="shared" si="29"/>
        <v>2</v>
      </c>
      <c r="Z148" s="3" t="str">
        <f t="shared" si="30"/>
        <v>Regular</v>
      </c>
      <c r="AA148" s="3">
        <v>4</v>
      </c>
      <c r="AB148" s="3" t="str">
        <f t="shared" si="31"/>
        <v>Excellent</v>
      </c>
      <c r="AC148" s="3" t="str">
        <f t="shared" si="32"/>
        <v>March</v>
      </c>
      <c r="AD148" s="3" t="str">
        <f t="shared" si="33"/>
        <v>Q1</v>
      </c>
      <c r="AE148" s="3">
        <f t="shared" si="34"/>
        <v>2026</v>
      </c>
      <c r="AF148" s="3" t="str">
        <f t="shared" si="35"/>
        <v>Tuesday</v>
      </c>
      <c r="AG148" s="3" t="str">
        <f t="shared" si="36"/>
        <v>18-25</v>
      </c>
      <c r="AH148" s="3" t="str">
        <f t="shared" si="37"/>
        <v>Small</v>
      </c>
      <c r="AI148" s="3" t="str">
        <f t="shared" si="38"/>
        <v>Medium</v>
      </c>
      <c r="AJ148" s="3" t="str" cm="1">
        <f t="array" ref="AJ148">_xlfn.IFS(S148&gt;=80000,"VIP",S148&gt;=40000,"Gold",S148&gt;=15000,"Silver",TRUE,"Bronze")</f>
        <v>Bronze</v>
      </c>
    </row>
    <row r="149" spans="1:36" x14ac:dyDescent="0.3">
      <c r="A149" s="3" t="s">
        <v>510</v>
      </c>
      <c r="B149" s="15">
        <v>46049</v>
      </c>
      <c r="C149" s="15">
        <v>46055</v>
      </c>
      <c r="D149" s="3" t="s">
        <v>511</v>
      </c>
      <c r="E149" s="3" t="s">
        <v>87</v>
      </c>
      <c r="F149" s="3" t="s">
        <v>39</v>
      </c>
      <c r="G149" s="3">
        <v>32</v>
      </c>
      <c r="H149" s="3" t="s">
        <v>60</v>
      </c>
      <c r="I149" s="3" t="s">
        <v>61</v>
      </c>
      <c r="J149" s="3" t="s">
        <v>42</v>
      </c>
      <c r="K149" s="3" t="s">
        <v>54</v>
      </c>
      <c r="L149" s="3" t="s">
        <v>173</v>
      </c>
      <c r="M149" s="3" t="s">
        <v>45</v>
      </c>
      <c r="N149" s="3" t="s">
        <v>46</v>
      </c>
      <c r="O149" s="3" t="s">
        <v>55</v>
      </c>
      <c r="P149" s="3">
        <v>3</v>
      </c>
      <c r="Q149" s="9">
        <v>79900</v>
      </c>
      <c r="R149" s="6">
        <v>0.08</v>
      </c>
      <c r="S149" s="12">
        <f t="shared" si="26"/>
        <v>220524</v>
      </c>
      <c r="T149" s="12">
        <v>65000</v>
      </c>
      <c r="U149" s="9">
        <f t="shared" si="27"/>
        <v>25524</v>
      </c>
      <c r="V149" s="6">
        <f t="shared" si="28"/>
        <v>0.11574250421722805</v>
      </c>
      <c r="W149" s="3" t="s">
        <v>56</v>
      </c>
      <c r="X149" s="3" t="s">
        <v>49</v>
      </c>
      <c r="Y149" s="3">
        <f t="shared" si="29"/>
        <v>6</v>
      </c>
      <c r="Z149" s="3" t="str">
        <f t="shared" si="30"/>
        <v>Premium</v>
      </c>
      <c r="AA149" s="3">
        <v>5</v>
      </c>
      <c r="AB149" s="3" t="str">
        <f t="shared" si="31"/>
        <v>Excellent</v>
      </c>
      <c r="AC149" s="3" t="str">
        <f t="shared" si="32"/>
        <v>January</v>
      </c>
      <c r="AD149" s="3" t="str">
        <f t="shared" si="33"/>
        <v>Q1</v>
      </c>
      <c r="AE149" s="3">
        <f t="shared" si="34"/>
        <v>2026</v>
      </c>
      <c r="AF149" s="3" t="str">
        <f t="shared" si="35"/>
        <v>Tuesday</v>
      </c>
      <c r="AG149" s="3" t="str">
        <f t="shared" si="36"/>
        <v>26-35</v>
      </c>
      <c r="AH149" s="3" t="str">
        <f t="shared" si="37"/>
        <v>Large</v>
      </c>
      <c r="AI149" s="3" t="str">
        <f t="shared" si="38"/>
        <v>Medium</v>
      </c>
      <c r="AJ149" s="3" t="str" cm="1">
        <f t="array" ref="AJ149">_xlfn.IFS(S149&gt;=80000,"VIP",S149&gt;=40000,"Gold",S149&gt;=15000,"Silver",TRUE,"Bronze")</f>
        <v>VIP</v>
      </c>
    </row>
    <row r="150" spans="1:36" x14ac:dyDescent="0.3">
      <c r="A150" s="3" t="s">
        <v>512</v>
      </c>
      <c r="B150" s="15">
        <v>46250</v>
      </c>
      <c r="C150" s="15">
        <v>46253</v>
      </c>
      <c r="D150" s="3" t="s">
        <v>513</v>
      </c>
      <c r="E150" s="3" t="s">
        <v>341</v>
      </c>
      <c r="F150" s="3" t="s">
        <v>52</v>
      </c>
      <c r="G150" s="3">
        <v>31</v>
      </c>
      <c r="H150" s="3" t="s">
        <v>110</v>
      </c>
      <c r="I150" s="3" t="s">
        <v>111</v>
      </c>
      <c r="J150" s="3" t="s">
        <v>80</v>
      </c>
      <c r="K150" s="3" t="s">
        <v>43</v>
      </c>
      <c r="L150" s="3" t="s">
        <v>44</v>
      </c>
      <c r="M150" s="3" t="s">
        <v>45</v>
      </c>
      <c r="N150" s="3" t="s">
        <v>46</v>
      </c>
      <c r="O150" s="3" t="s">
        <v>47</v>
      </c>
      <c r="P150" s="3">
        <v>4</v>
      </c>
      <c r="Q150" s="9">
        <v>28500</v>
      </c>
      <c r="R150" s="6">
        <v>0.12</v>
      </c>
      <c r="S150" s="12">
        <f t="shared" si="26"/>
        <v>100320</v>
      </c>
      <c r="T150" s="12">
        <v>22000</v>
      </c>
      <c r="U150" s="9">
        <f t="shared" si="27"/>
        <v>12320</v>
      </c>
      <c r="V150" s="6">
        <f t="shared" si="28"/>
        <v>0.12280701754385964</v>
      </c>
      <c r="W150" s="3" t="s">
        <v>73</v>
      </c>
      <c r="X150" s="3" t="s">
        <v>74</v>
      </c>
      <c r="Y150" s="3">
        <f t="shared" si="29"/>
        <v>3</v>
      </c>
      <c r="Z150" s="3" t="str">
        <f t="shared" si="30"/>
        <v>Premium</v>
      </c>
      <c r="AA150" s="3">
        <v>2</v>
      </c>
      <c r="AB150" s="3" t="str">
        <f t="shared" si="31"/>
        <v>Average</v>
      </c>
      <c r="AC150" s="3" t="str">
        <f t="shared" si="32"/>
        <v>August</v>
      </c>
      <c r="AD150" s="3" t="str">
        <f t="shared" si="33"/>
        <v>Q3</v>
      </c>
      <c r="AE150" s="3">
        <f t="shared" si="34"/>
        <v>2026</v>
      </c>
      <c r="AF150" s="3" t="str">
        <f t="shared" si="35"/>
        <v>Sunday</v>
      </c>
      <c r="AG150" s="3" t="str">
        <f t="shared" si="36"/>
        <v>26-35</v>
      </c>
      <c r="AH150" s="3" t="str">
        <f t="shared" si="37"/>
        <v>Large</v>
      </c>
      <c r="AI150" s="3" t="str">
        <f t="shared" si="38"/>
        <v>Medium</v>
      </c>
      <c r="AJ150" s="3" t="str" cm="1">
        <f t="array" ref="AJ150">_xlfn.IFS(S150&gt;=80000,"VIP",S150&gt;=40000,"Gold",S150&gt;=15000,"Silver",TRUE,"Bronze")</f>
        <v>VIP</v>
      </c>
    </row>
    <row r="151" spans="1:36" x14ac:dyDescent="0.3">
      <c r="A151" s="3" t="s">
        <v>514</v>
      </c>
      <c r="B151" s="15">
        <v>46156</v>
      </c>
      <c r="C151" s="15">
        <v>46159</v>
      </c>
      <c r="D151" s="3" t="s">
        <v>515</v>
      </c>
      <c r="E151" s="3" t="s">
        <v>272</v>
      </c>
      <c r="F151" s="3" t="s">
        <v>52</v>
      </c>
      <c r="G151" s="3">
        <v>20</v>
      </c>
      <c r="H151" s="3" t="s">
        <v>88</v>
      </c>
      <c r="I151" s="3" t="s">
        <v>89</v>
      </c>
      <c r="J151" s="3" t="s">
        <v>80</v>
      </c>
      <c r="K151" s="3" t="s">
        <v>96</v>
      </c>
      <c r="L151" s="3" t="s">
        <v>166</v>
      </c>
      <c r="M151" s="3" t="s">
        <v>97</v>
      </c>
      <c r="N151" s="3" t="s">
        <v>98</v>
      </c>
      <c r="O151" s="3" t="s">
        <v>99</v>
      </c>
      <c r="P151" s="3">
        <v>3</v>
      </c>
      <c r="Q151" s="9">
        <v>4500</v>
      </c>
      <c r="R151" s="6">
        <v>0.2</v>
      </c>
      <c r="S151" s="12">
        <f t="shared" si="26"/>
        <v>10800</v>
      </c>
      <c r="T151" s="12">
        <v>3000</v>
      </c>
      <c r="U151" s="9">
        <f t="shared" si="27"/>
        <v>1800</v>
      </c>
      <c r="V151" s="6">
        <f t="shared" si="28"/>
        <v>0.16666666666666666</v>
      </c>
      <c r="W151" s="3" t="s">
        <v>65</v>
      </c>
      <c r="X151" s="3" t="s">
        <v>49</v>
      </c>
      <c r="Y151" s="3">
        <f t="shared" si="29"/>
        <v>3</v>
      </c>
      <c r="Z151" s="3" t="str">
        <f t="shared" si="30"/>
        <v>Regular</v>
      </c>
      <c r="AA151" s="3">
        <v>3</v>
      </c>
      <c r="AB151" s="3" t="str">
        <f t="shared" si="31"/>
        <v>Average</v>
      </c>
      <c r="AC151" s="3" t="str">
        <f t="shared" si="32"/>
        <v>May</v>
      </c>
      <c r="AD151" s="3" t="str">
        <f t="shared" si="33"/>
        <v>Q2</v>
      </c>
      <c r="AE151" s="3">
        <f t="shared" si="34"/>
        <v>2026</v>
      </c>
      <c r="AF151" s="3" t="str">
        <f t="shared" si="35"/>
        <v>Thursday</v>
      </c>
      <c r="AG151" s="3" t="str">
        <f t="shared" si="36"/>
        <v>18-25</v>
      </c>
      <c r="AH151" s="3" t="str">
        <f t="shared" si="37"/>
        <v>Medium</v>
      </c>
      <c r="AI151" s="3" t="str">
        <f t="shared" si="38"/>
        <v>High</v>
      </c>
      <c r="AJ151" s="3" t="str" cm="1">
        <f t="array" ref="AJ151">_xlfn.IFS(S151&gt;=80000,"VIP",S151&gt;=40000,"Gold",S151&gt;=15000,"Silver",TRUE,"Bronze")</f>
        <v>Bronze</v>
      </c>
    </row>
    <row r="152" spans="1:36" x14ac:dyDescent="0.3">
      <c r="A152" s="3" t="s">
        <v>516</v>
      </c>
      <c r="B152" s="15">
        <v>46146</v>
      </c>
      <c r="C152" s="15">
        <v>46148</v>
      </c>
      <c r="D152" s="3" t="s">
        <v>517</v>
      </c>
      <c r="E152" s="3" t="s">
        <v>224</v>
      </c>
      <c r="F152" s="3" t="s">
        <v>39</v>
      </c>
      <c r="G152" s="3">
        <v>20</v>
      </c>
      <c r="H152" s="3" t="s">
        <v>53</v>
      </c>
      <c r="I152" s="3" t="s">
        <v>41</v>
      </c>
      <c r="J152" s="3" t="s">
        <v>42</v>
      </c>
      <c r="K152" s="3" t="s">
        <v>90</v>
      </c>
      <c r="L152" s="3" t="s">
        <v>122</v>
      </c>
      <c r="M152" s="3" t="s">
        <v>45</v>
      </c>
      <c r="N152" s="3" t="s">
        <v>91</v>
      </c>
      <c r="O152" s="3" t="s">
        <v>123</v>
      </c>
      <c r="P152" s="3">
        <v>3</v>
      </c>
      <c r="Q152" s="9">
        <v>2500</v>
      </c>
      <c r="R152" s="6">
        <v>0.08</v>
      </c>
      <c r="S152" s="12">
        <f t="shared" si="26"/>
        <v>6900</v>
      </c>
      <c r="T152" s="12">
        <v>1700</v>
      </c>
      <c r="U152" s="9">
        <f t="shared" si="27"/>
        <v>1800</v>
      </c>
      <c r="V152" s="6">
        <f t="shared" si="28"/>
        <v>0.2608695652173913</v>
      </c>
      <c r="W152" s="3" t="s">
        <v>48</v>
      </c>
      <c r="X152" s="3" t="s">
        <v>101</v>
      </c>
      <c r="Y152" s="3">
        <f t="shared" si="29"/>
        <v>2</v>
      </c>
      <c r="Z152" s="3" t="str">
        <f t="shared" si="30"/>
        <v>Regular</v>
      </c>
      <c r="AA152" s="3">
        <v>4</v>
      </c>
      <c r="AB152" s="3" t="str">
        <f t="shared" si="31"/>
        <v>Excellent</v>
      </c>
      <c r="AC152" s="3" t="str">
        <f t="shared" si="32"/>
        <v>May</v>
      </c>
      <c r="AD152" s="3" t="str">
        <f t="shared" si="33"/>
        <v>Q2</v>
      </c>
      <c r="AE152" s="3">
        <f t="shared" si="34"/>
        <v>2026</v>
      </c>
      <c r="AF152" s="3" t="str">
        <f t="shared" si="35"/>
        <v>Monday</v>
      </c>
      <c r="AG152" s="3" t="str">
        <f t="shared" si="36"/>
        <v>18-25</v>
      </c>
      <c r="AH152" s="3" t="str">
        <f t="shared" si="37"/>
        <v>Small</v>
      </c>
      <c r="AI152" s="3" t="str">
        <f t="shared" si="38"/>
        <v>Medium</v>
      </c>
      <c r="AJ152" s="3" t="str" cm="1">
        <f t="array" ref="AJ152">_xlfn.IFS(S152&gt;=80000,"VIP",S152&gt;=40000,"Gold",S152&gt;=15000,"Silver",TRUE,"Bronze")</f>
        <v>Bronze</v>
      </c>
    </row>
    <row r="153" spans="1:36" x14ac:dyDescent="0.3">
      <c r="A153" s="3" t="s">
        <v>518</v>
      </c>
      <c r="B153" s="15">
        <v>46125</v>
      </c>
      <c r="C153" s="15">
        <v>46128</v>
      </c>
      <c r="D153" s="3" t="s">
        <v>519</v>
      </c>
      <c r="E153" s="3" t="s">
        <v>520</v>
      </c>
      <c r="F153" s="3" t="s">
        <v>52</v>
      </c>
      <c r="G153" s="3">
        <v>41</v>
      </c>
      <c r="H153" s="3" t="s">
        <v>78</v>
      </c>
      <c r="I153" s="3" t="s">
        <v>79</v>
      </c>
      <c r="J153" s="3" t="s">
        <v>80</v>
      </c>
      <c r="K153" s="3" t="s">
        <v>90</v>
      </c>
      <c r="L153" s="3" t="s">
        <v>122</v>
      </c>
      <c r="M153" s="3" t="s">
        <v>45</v>
      </c>
      <c r="N153" s="3" t="s">
        <v>91</v>
      </c>
      <c r="O153" s="3" t="s">
        <v>123</v>
      </c>
      <c r="P153" s="3">
        <v>4</v>
      </c>
      <c r="Q153" s="9">
        <v>2500</v>
      </c>
      <c r="R153" s="6">
        <v>0.2</v>
      </c>
      <c r="S153" s="12">
        <f t="shared" si="26"/>
        <v>8000</v>
      </c>
      <c r="T153" s="12">
        <v>1700</v>
      </c>
      <c r="U153" s="9">
        <f t="shared" si="27"/>
        <v>1200</v>
      </c>
      <c r="V153" s="6">
        <f t="shared" si="28"/>
        <v>0.15</v>
      </c>
      <c r="W153" s="3" t="s">
        <v>56</v>
      </c>
      <c r="X153" s="3" t="s">
        <v>101</v>
      </c>
      <c r="Y153" s="3">
        <f t="shared" si="29"/>
        <v>3</v>
      </c>
      <c r="Z153" s="3" t="str">
        <f t="shared" si="30"/>
        <v>Regular</v>
      </c>
      <c r="AA153" s="3">
        <v>5</v>
      </c>
      <c r="AB153" s="3" t="str">
        <f t="shared" si="31"/>
        <v>Excellent</v>
      </c>
      <c r="AC153" s="3" t="str">
        <f t="shared" si="32"/>
        <v>April</v>
      </c>
      <c r="AD153" s="3" t="str">
        <f t="shared" si="33"/>
        <v>Q2</v>
      </c>
      <c r="AE153" s="3">
        <f t="shared" si="34"/>
        <v>2026</v>
      </c>
      <c r="AF153" s="3" t="str">
        <f t="shared" si="35"/>
        <v>Monday</v>
      </c>
      <c r="AG153" s="3" t="str">
        <f t="shared" si="36"/>
        <v>36-45</v>
      </c>
      <c r="AH153" s="3" t="str">
        <f t="shared" si="37"/>
        <v>Small</v>
      </c>
      <c r="AI153" s="3" t="str">
        <f t="shared" si="38"/>
        <v>High</v>
      </c>
      <c r="AJ153" s="3" t="str" cm="1">
        <f t="array" ref="AJ153">_xlfn.IFS(S153&gt;=80000,"VIP",S153&gt;=40000,"Gold",S153&gt;=15000,"Silver",TRUE,"Bronze")</f>
        <v>Bronze</v>
      </c>
    </row>
    <row r="154" spans="1:36" x14ac:dyDescent="0.3">
      <c r="A154" s="3" t="s">
        <v>521</v>
      </c>
      <c r="B154" s="15">
        <v>46086</v>
      </c>
      <c r="C154" s="15">
        <v>46090</v>
      </c>
      <c r="D154" s="3" t="s">
        <v>522</v>
      </c>
      <c r="E154" s="3" t="s">
        <v>421</v>
      </c>
      <c r="F154" s="3" t="s">
        <v>39</v>
      </c>
      <c r="G154" s="3">
        <v>36</v>
      </c>
      <c r="H154" s="3" t="s">
        <v>88</v>
      </c>
      <c r="I154" s="3" t="s">
        <v>89</v>
      </c>
      <c r="J154" s="3" t="s">
        <v>80</v>
      </c>
      <c r="K154" s="3" t="s">
        <v>43</v>
      </c>
      <c r="L154" s="3" t="s">
        <v>44</v>
      </c>
      <c r="M154" s="3" t="s">
        <v>45</v>
      </c>
      <c r="N154" s="3" t="s">
        <v>46</v>
      </c>
      <c r="O154" s="3" t="s">
        <v>47</v>
      </c>
      <c r="P154" s="3">
        <v>4</v>
      </c>
      <c r="Q154" s="9">
        <v>28500</v>
      </c>
      <c r="R154" s="6">
        <v>0.2</v>
      </c>
      <c r="S154" s="12">
        <f t="shared" si="26"/>
        <v>91200</v>
      </c>
      <c r="T154" s="12">
        <v>22000</v>
      </c>
      <c r="U154" s="9">
        <f t="shared" si="27"/>
        <v>3200</v>
      </c>
      <c r="V154" s="6">
        <f t="shared" si="28"/>
        <v>3.5087719298245612E-2</v>
      </c>
      <c r="W154" s="3" t="s">
        <v>48</v>
      </c>
      <c r="X154" s="3" t="s">
        <v>74</v>
      </c>
      <c r="Y154" s="3">
        <f t="shared" si="29"/>
        <v>4</v>
      </c>
      <c r="Z154" s="3" t="str">
        <f t="shared" si="30"/>
        <v>Premium</v>
      </c>
      <c r="AA154" s="3">
        <v>4</v>
      </c>
      <c r="AB154" s="3" t="str">
        <f t="shared" si="31"/>
        <v>Excellent</v>
      </c>
      <c r="AC154" s="3" t="str">
        <f t="shared" si="32"/>
        <v>March</v>
      </c>
      <c r="AD154" s="3" t="str">
        <f t="shared" si="33"/>
        <v>Q1</v>
      </c>
      <c r="AE154" s="3">
        <f t="shared" si="34"/>
        <v>2026</v>
      </c>
      <c r="AF154" s="3" t="str">
        <f t="shared" si="35"/>
        <v>Thursday</v>
      </c>
      <c r="AG154" s="3" t="str">
        <f t="shared" si="36"/>
        <v>36-45</v>
      </c>
      <c r="AH154" s="3" t="str">
        <f t="shared" si="37"/>
        <v>Large</v>
      </c>
      <c r="AI154" s="3" t="str">
        <f t="shared" si="38"/>
        <v>High</v>
      </c>
      <c r="AJ154" s="3" t="str" cm="1">
        <f t="array" ref="AJ154">_xlfn.IFS(S154&gt;=80000,"VIP",S154&gt;=40000,"Gold",S154&gt;=15000,"Silver",TRUE,"Bronze")</f>
        <v>VIP</v>
      </c>
    </row>
    <row r="155" spans="1:36" x14ac:dyDescent="0.3">
      <c r="A155" s="3" t="s">
        <v>523</v>
      </c>
      <c r="B155" s="15">
        <v>46157</v>
      </c>
      <c r="C155" s="15">
        <v>46160</v>
      </c>
      <c r="D155" s="3" t="s">
        <v>524</v>
      </c>
      <c r="E155" s="3" t="s">
        <v>164</v>
      </c>
      <c r="F155" s="3" t="s">
        <v>52</v>
      </c>
      <c r="G155" s="3">
        <v>44</v>
      </c>
      <c r="H155" s="3" t="s">
        <v>88</v>
      </c>
      <c r="I155" s="3" t="s">
        <v>89</v>
      </c>
      <c r="J155" s="3" t="s">
        <v>80</v>
      </c>
      <c r="K155" s="3" t="s">
        <v>43</v>
      </c>
      <c r="L155" s="3" t="s">
        <v>44</v>
      </c>
      <c r="M155" s="3" t="s">
        <v>45</v>
      </c>
      <c r="N155" s="3" t="s">
        <v>46</v>
      </c>
      <c r="O155" s="3" t="s">
        <v>47</v>
      </c>
      <c r="P155" s="3">
        <v>4</v>
      </c>
      <c r="Q155" s="9">
        <v>28500</v>
      </c>
      <c r="R155" s="6">
        <v>0.1</v>
      </c>
      <c r="S155" s="12">
        <f t="shared" si="26"/>
        <v>102600</v>
      </c>
      <c r="T155" s="12">
        <v>22000</v>
      </c>
      <c r="U155" s="9">
        <f t="shared" si="27"/>
        <v>14600</v>
      </c>
      <c r="V155" s="6">
        <f t="shared" si="28"/>
        <v>0.14230019493177387</v>
      </c>
      <c r="W155" s="3" t="s">
        <v>65</v>
      </c>
      <c r="X155" s="3" t="s">
        <v>74</v>
      </c>
      <c r="Y155" s="3">
        <f t="shared" si="29"/>
        <v>3</v>
      </c>
      <c r="Z155" s="3" t="str">
        <f t="shared" si="30"/>
        <v>Premium</v>
      </c>
      <c r="AA155" s="3">
        <v>4</v>
      </c>
      <c r="AB155" s="3" t="str">
        <f t="shared" si="31"/>
        <v>Excellent</v>
      </c>
      <c r="AC155" s="3" t="str">
        <f t="shared" si="32"/>
        <v>May</v>
      </c>
      <c r="AD155" s="3" t="str">
        <f t="shared" si="33"/>
        <v>Q2</v>
      </c>
      <c r="AE155" s="3">
        <f t="shared" si="34"/>
        <v>2026</v>
      </c>
      <c r="AF155" s="3" t="str">
        <f t="shared" si="35"/>
        <v>Friday</v>
      </c>
      <c r="AG155" s="3" t="str">
        <f t="shared" si="36"/>
        <v>36-45</v>
      </c>
      <c r="AH155" s="3" t="str">
        <f t="shared" si="37"/>
        <v>Large</v>
      </c>
      <c r="AI155" s="3" t="str">
        <f t="shared" si="38"/>
        <v>Medium</v>
      </c>
      <c r="AJ155" s="3" t="str" cm="1">
        <f t="array" ref="AJ155">_xlfn.IFS(S155&gt;=80000,"VIP",S155&gt;=40000,"Gold",S155&gt;=15000,"Silver",TRUE,"Bronze")</f>
        <v>VIP</v>
      </c>
    </row>
    <row r="156" spans="1:36" x14ac:dyDescent="0.3">
      <c r="A156" s="3" t="s">
        <v>525</v>
      </c>
      <c r="B156" s="15">
        <v>46023</v>
      </c>
      <c r="C156" s="15">
        <v>46028</v>
      </c>
      <c r="D156" s="3" t="s">
        <v>526</v>
      </c>
      <c r="E156" s="3" t="s">
        <v>254</v>
      </c>
      <c r="F156" s="3" t="s">
        <v>52</v>
      </c>
      <c r="G156" s="3">
        <v>34</v>
      </c>
      <c r="H156" s="3" t="s">
        <v>68</v>
      </c>
      <c r="I156" s="3" t="s">
        <v>68</v>
      </c>
      <c r="J156" s="3" t="s">
        <v>69</v>
      </c>
      <c r="K156" s="3" t="s">
        <v>54</v>
      </c>
      <c r="L156" s="3" t="s">
        <v>173</v>
      </c>
      <c r="M156" s="3" t="s">
        <v>45</v>
      </c>
      <c r="N156" s="3" t="s">
        <v>46</v>
      </c>
      <c r="O156" s="3" t="s">
        <v>55</v>
      </c>
      <c r="P156" s="3">
        <v>2</v>
      </c>
      <c r="Q156" s="9">
        <v>79900</v>
      </c>
      <c r="R156" s="6">
        <v>0.1</v>
      </c>
      <c r="S156" s="12">
        <f t="shared" si="26"/>
        <v>143820</v>
      </c>
      <c r="T156" s="12">
        <v>65000</v>
      </c>
      <c r="U156" s="9">
        <f t="shared" si="27"/>
        <v>13820</v>
      </c>
      <c r="V156" s="6">
        <f t="shared" si="28"/>
        <v>9.6092337644277576E-2</v>
      </c>
      <c r="W156" s="3" t="s">
        <v>56</v>
      </c>
      <c r="X156" s="3" t="s">
        <v>49</v>
      </c>
      <c r="Y156" s="3">
        <f t="shared" si="29"/>
        <v>5</v>
      </c>
      <c r="Z156" s="3" t="str">
        <f t="shared" si="30"/>
        <v>Premium</v>
      </c>
      <c r="AA156" s="3">
        <v>3</v>
      </c>
      <c r="AB156" s="3" t="str">
        <f t="shared" si="31"/>
        <v>Average</v>
      </c>
      <c r="AC156" s="3" t="str">
        <f t="shared" si="32"/>
        <v>January</v>
      </c>
      <c r="AD156" s="3" t="str">
        <f t="shared" si="33"/>
        <v>Q1</v>
      </c>
      <c r="AE156" s="3">
        <f t="shared" si="34"/>
        <v>2026</v>
      </c>
      <c r="AF156" s="3" t="str">
        <f t="shared" si="35"/>
        <v>Thursday</v>
      </c>
      <c r="AG156" s="3" t="str">
        <f t="shared" si="36"/>
        <v>26-35</v>
      </c>
      <c r="AH156" s="3" t="str">
        <f t="shared" si="37"/>
        <v>Large</v>
      </c>
      <c r="AI156" s="3" t="str">
        <f t="shared" si="38"/>
        <v>Medium</v>
      </c>
      <c r="AJ156" s="3" t="str" cm="1">
        <f t="array" ref="AJ156">_xlfn.IFS(S156&gt;=80000,"VIP",S156&gt;=40000,"Gold",S156&gt;=15000,"Silver",TRUE,"Bronze")</f>
        <v>VIP</v>
      </c>
    </row>
    <row r="157" spans="1:36" x14ac:dyDescent="0.3">
      <c r="A157" s="3" t="s">
        <v>527</v>
      </c>
      <c r="B157" s="15">
        <v>46125</v>
      </c>
      <c r="C157" s="15">
        <v>46127</v>
      </c>
      <c r="D157" s="3" t="s">
        <v>528</v>
      </c>
      <c r="E157" s="3" t="s">
        <v>448</v>
      </c>
      <c r="F157" s="3" t="s">
        <v>52</v>
      </c>
      <c r="G157" s="3">
        <v>46</v>
      </c>
      <c r="H157" s="3" t="s">
        <v>60</v>
      </c>
      <c r="I157" s="3" t="s">
        <v>61</v>
      </c>
      <c r="J157" s="3" t="s">
        <v>42</v>
      </c>
      <c r="K157" s="3" t="s">
        <v>105</v>
      </c>
      <c r="L157" s="3" t="s">
        <v>112</v>
      </c>
      <c r="M157" s="3" t="s">
        <v>113</v>
      </c>
      <c r="N157" s="3" t="s">
        <v>114</v>
      </c>
      <c r="O157" s="3" t="s">
        <v>115</v>
      </c>
      <c r="P157" s="3">
        <v>1</v>
      </c>
      <c r="Q157" s="9">
        <v>3500</v>
      </c>
      <c r="R157" s="6">
        <v>0.15</v>
      </c>
      <c r="S157" s="12">
        <f t="shared" si="26"/>
        <v>2975</v>
      </c>
      <c r="T157" s="12">
        <v>2500</v>
      </c>
      <c r="U157" s="9">
        <f t="shared" si="27"/>
        <v>475</v>
      </c>
      <c r="V157" s="6">
        <f t="shared" si="28"/>
        <v>0.15966386554621848</v>
      </c>
      <c r="W157" s="3" t="s">
        <v>73</v>
      </c>
      <c r="X157" s="3" t="s">
        <v>101</v>
      </c>
      <c r="Y157" s="3">
        <f t="shared" si="29"/>
        <v>2</v>
      </c>
      <c r="Z157" s="3" t="str">
        <f t="shared" si="30"/>
        <v>Regular</v>
      </c>
      <c r="AA157" s="3">
        <v>2</v>
      </c>
      <c r="AB157" s="3" t="str">
        <f t="shared" si="31"/>
        <v>Average</v>
      </c>
      <c r="AC157" s="3" t="str">
        <f t="shared" si="32"/>
        <v>April</v>
      </c>
      <c r="AD157" s="3" t="str">
        <f t="shared" si="33"/>
        <v>Q2</v>
      </c>
      <c r="AE157" s="3">
        <f t="shared" si="34"/>
        <v>2026</v>
      </c>
      <c r="AF157" s="3" t="str">
        <f t="shared" si="35"/>
        <v>Monday</v>
      </c>
      <c r="AG157" s="3" t="str">
        <f t="shared" si="36"/>
        <v>46+</v>
      </c>
      <c r="AH157" s="3" t="str">
        <f t="shared" si="37"/>
        <v>Small</v>
      </c>
      <c r="AI157" s="3" t="str">
        <f t="shared" si="38"/>
        <v>Medium</v>
      </c>
      <c r="AJ157" s="3" t="str" cm="1">
        <f t="array" ref="AJ157">_xlfn.IFS(S157&gt;=80000,"VIP",S157&gt;=40000,"Gold",S157&gt;=15000,"Silver",TRUE,"Bronze")</f>
        <v>Bronze</v>
      </c>
    </row>
    <row r="158" spans="1:36" x14ac:dyDescent="0.3">
      <c r="A158" s="3" t="s">
        <v>529</v>
      </c>
      <c r="B158" s="15">
        <v>46215</v>
      </c>
      <c r="C158" s="15">
        <v>46217</v>
      </c>
      <c r="D158" s="3" t="s">
        <v>530</v>
      </c>
      <c r="E158" s="3" t="s">
        <v>330</v>
      </c>
      <c r="F158" s="3" t="s">
        <v>39</v>
      </c>
      <c r="G158" s="3">
        <v>39</v>
      </c>
      <c r="H158" s="3" t="s">
        <v>119</v>
      </c>
      <c r="I158" s="3" t="s">
        <v>120</v>
      </c>
      <c r="J158" s="3" t="s">
        <v>121</v>
      </c>
      <c r="K158" s="3" t="s">
        <v>62</v>
      </c>
      <c r="L158" s="3" t="s">
        <v>163</v>
      </c>
      <c r="M158" s="3" t="s">
        <v>45</v>
      </c>
      <c r="N158" s="3" t="s">
        <v>63</v>
      </c>
      <c r="O158" s="3" t="s">
        <v>64</v>
      </c>
      <c r="P158" s="3">
        <v>2</v>
      </c>
      <c r="Q158" s="9">
        <v>62000</v>
      </c>
      <c r="R158" s="6">
        <v>0.15</v>
      </c>
      <c r="S158" s="12">
        <f t="shared" si="26"/>
        <v>105400</v>
      </c>
      <c r="T158" s="12">
        <v>52000</v>
      </c>
      <c r="U158" s="9">
        <f t="shared" si="27"/>
        <v>1400</v>
      </c>
      <c r="V158" s="6">
        <f t="shared" si="28"/>
        <v>1.3282732447817837E-2</v>
      </c>
      <c r="W158" s="3" t="s">
        <v>100</v>
      </c>
      <c r="X158" s="3" t="s">
        <v>49</v>
      </c>
      <c r="Y158" s="3">
        <f t="shared" si="29"/>
        <v>2</v>
      </c>
      <c r="Z158" s="3" t="str">
        <f t="shared" si="30"/>
        <v>Premium</v>
      </c>
      <c r="AA158" s="3">
        <v>2</v>
      </c>
      <c r="AB158" s="3" t="str">
        <f t="shared" si="31"/>
        <v>Average</v>
      </c>
      <c r="AC158" s="3" t="str">
        <f t="shared" si="32"/>
        <v>July</v>
      </c>
      <c r="AD158" s="3" t="str">
        <f t="shared" si="33"/>
        <v>Q3</v>
      </c>
      <c r="AE158" s="3">
        <f t="shared" si="34"/>
        <v>2026</v>
      </c>
      <c r="AF158" s="3" t="str">
        <f t="shared" si="35"/>
        <v>Sunday</v>
      </c>
      <c r="AG158" s="3" t="str">
        <f t="shared" si="36"/>
        <v>36-45</v>
      </c>
      <c r="AH158" s="3" t="str">
        <f t="shared" si="37"/>
        <v>Large</v>
      </c>
      <c r="AI158" s="3" t="str">
        <f t="shared" si="38"/>
        <v>Medium</v>
      </c>
      <c r="AJ158" s="3" t="str" cm="1">
        <f t="array" ref="AJ158">_xlfn.IFS(S158&gt;=80000,"VIP",S158&gt;=40000,"Gold",S158&gt;=15000,"Silver",TRUE,"Bronze")</f>
        <v>VIP</v>
      </c>
    </row>
    <row r="159" spans="1:36" x14ac:dyDescent="0.3">
      <c r="A159" s="3" t="s">
        <v>531</v>
      </c>
      <c r="B159" s="15">
        <v>46322</v>
      </c>
      <c r="C159" s="15">
        <v>46324</v>
      </c>
      <c r="D159" s="3" t="s">
        <v>532</v>
      </c>
      <c r="E159" s="3" t="s">
        <v>533</v>
      </c>
      <c r="F159" s="3" t="s">
        <v>52</v>
      </c>
      <c r="G159" s="3">
        <v>28</v>
      </c>
      <c r="H159" s="3" t="s">
        <v>110</v>
      </c>
      <c r="I159" s="3" t="s">
        <v>111</v>
      </c>
      <c r="J159" s="3" t="s">
        <v>80</v>
      </c>
      <c r="K159" s="3" t="s">
        <v>54</v>
      </c>
      <c r="L159" s="3" t="s">
        <v>173</v>
      </c>
      <c r="M159" s="3" t="s">
        <v>45</v>
      </c>
      <c r="N159" s="3" t="s">
        <v>46</v>
      </c>
      <c r="O159" s="3" t="s">
        <v>55</v>
      </c>
      <c r="P159" s="3">
        <v>4</v>
      </c>
      <c r="Q159" s="9">
        <v>79900</v>
      </c>
      <c r="R159" s="6">
        <v>0.05</v>
      </c>
      <c r="S159" s="12">
        <f t="shared" si="26"/>
        <v>303620</v>
      </c>
      <c r="T159" s="12">
        <v>65000</v>
      </c>
      <c r="U159" s="9">
        <f t="shared" si="27"/>
        <v>43620</v>
      </c>
      <c r="V159" s="6">
        <f t="shared" si="28"/>
        <v>0.14366642513668401</v>
      </c>
      <c r="W159" s="3" t="s">
        <v>48</v>
      </c>
      <c r="X159" s="3" t="s">
        <v>106</v>
      </c>
      <c r="Y159" s="3">
        <f t="shared" si="29"/>
        <v>2</v>
      </c>
      <c r="Z159" s="3" t="str">
        <f t="shared" si="30"/>
        <v>Premium</v>
      </c>
      <c r="AA159" s="3">
        <v>3</v>
      </c>
      <c r="AB159" s="3" t="str">
        <f t="shared" si="31"/>
        <v>Average</v>
      </c>
      <c r="AC159" s="3" t="str">
        <f t="shared" si="32"/>
        <v>October</v>
      </c>
      <c r="AD159" s="3" t="str">
        <f t="shared" si="33"/>
        <v>Q4</v>
      </c>
      <c r="AE159" s="3">
        <f t="shared" si="34"/>
        <v>2026</v>
      </c>
      <c r="AF159" s="3" t="str">
        <f t="shared" si="35"/>
        <v>Tuesday</v>
      </c>
      <c r="AG159" s="3" t="str">
        <f t="shared" si="36"/>
        <v>26-35</v>
      </c>
      <c r="AH159" s="3" t="str">
        <f t="shared" si="37"/>
        <v>Large</v>
      </c>
      <c r="AI159" s="3" t="str">
        <f t="shared" si="38"/>
        <v>Low</v>
      </c>
      <c r="AJ159" s="3" t="str" cm="1">
        <f t="array" ref="AJ159">_xlfn.IFS(S159&gt;=80000,"VIP",S159&gt;=40000,"Gold",S159&gt;=15000,"Silver",TRUE,"Bronze")</f>
        <v>VIP</v>
      </c>
    </row>
    <row r="160" spans="1:36" x14ac:dyDescent="0.3">
      <c r="A160" s="3" t="s">
        <v>534</v>
      </c>
      <c r="B160" s="15">
        <v>46314</v>
      </c>
      <c r="C160" s="15">
        <v>46320</v>
      </c>
      <c r="D160" s="3" t="s">
        <v>535</v>
      </c>
      <c r="E160" s="3" t="s">
        <v>263</v>
      </c>
      <c r="F160" s="3" t="s">
        <v>39</v>
      </c>
      <c r="G160" s="3">
        <v>47</v>
      </c>
      <c r="H160" s="3" t="s">
        <v>110</v>
      </c>
      <c r="I160" s="3" t="s">
        <v>111</v>
      </c>
      <c r="J160" s="3" t="s">
        <v>80</v>
      </c>
      <c r="K160" s="3" t="s">
        <v>105</v>
      </c>
      <c r="L160" s="3" t="s">
        <v>112</v>
      </c>
      <c r="M160" s="3" t="s">
        <v>113</v>
      </c>
      <c r="N160" s="3" t="s">
        <v>114</v>
      </c>
      <c r="O160" s="3" t="s">
        <v>115</v>
      </c>
      <c r="P160" s="3">
        <v>4</v>
      </c>
      <c r="Q160" s="9">
        <v>3500</v>
      </c>
      <c r="R160" s="6">
        <v>0.05</v>
      </c>
      <c r="S160" s="12">
        <f t="shared" si="26"/>
        <v>13300</v>
      </c>
      <c r="T160" s="12">
        <v>2500</v>
      </c>
      <c r="U160" s="9">
        <f t="shared" si="27"/>
        <v>3300</v>
      </c>
      <c r="V160" s="6">
        <f t="shared" si="28"/>
        <v>0.24812030075187969</v>
      </c>
      <c r="W160" s="3" t="s">
        <v>48</v>
      </c>
      <c r="X160" s="3" t="s">
        <v>106</v>
      </c>
      <c r="Y160" s="3">
        <f t="shared" si="29"/>
        <v>6</v>
      </c>
      <c r="Z160" s="3" t="str">
        <f t="shared" si="30"/>
        <v>Regular</v>
      </c>
      <c r="AA160" s="3">
        <v>5</v>
      </c>
      <c r="AB160" s="3" t="str">
        <f t="shared" si="31"/>
        <v>Excellent</v>
      </c>
      <c r="AC160" s="3" t="str">
        <f t="shared" si="32"/>
        <v>October</v>
      </c>
      <c r="AD160" s="3" t="str">
        <f t="shared" si="33"/>
        <v>Q4</v>
      </c>
      <c r="AE160" s="3">
        <f t="shared" si="34"/>
        <v>2026</v>
      </c>
      <c r="AF160" s="3" t="str">
        <f t="shared" si="35"/>
        <v>Monday</v>
      </c>
      <c r="AG160" s="3" t="str">
        <f t="shared" si="36"/>
        <v>46+</v>
      </c>
      <c r="AH160" s="3" t="str">
        <f t="shared" si="37"/>
        <v>Medium</v>
      </c>
      <c r="AI160" s="3" t="str">
        <f t="shared" si="38"/>
        <v>Low</v>
      </c>
      <c r="AJ160" s="3" t="str" cm="1">
        <f t="array" ref="AJ160">_xlfn.IFS(S160&gt;=80000,"VIP",S160&gt;=40000,"Gold",S160&gt;=15000,"Silver",TRUE,"Bronze")</f>
        <v>Bronze</v>
      </c>
    </row>
    <row r="161" spans="1:36" x14ac:dyDescent="0.3">
      <c r="A161" s="3" t="s">
        <v>536</v>
      </c>
      <c r="B161" s="15">
        <v>46175</v>
      </c>
      <c r="C161" s="15">
        <v>46181</v>
      </c>
      <c r="D161" s="3" t="s">
        <v>537</v>
      </c>
      <c r="E161" s="3" t="s">
        <v>180</v>
      </c>
      <c r="F161" s="3" t="s">
        <v>39</v>
      </c>
      <c r="G161" s="3">
        <v>24</v>
      </c>
      <c r="H161" s="3" t="s">
        <v>119</v>
      </c>
      <c r="I161" s="3" t="s">
        <v>120</v>
      </c>
      <c r="J161" s="3" t="s">
        <v>121</v>
      </c>
      <c r="K161" s="3" t="s">
        <v>62</v>
      </c>
      <c r="L161" s="3" t="s">
        <v>163</v>
      </c>
      <c r="M161" s="3" t="s">
        <v>45</v>
      </c>
      <c r="N161" s="3" t="s">
        <v>63</v>
      </c>
      <c r="O161" s="3" t="s">
        <v>64</v>
      </c>
      <c r="P161" s="3">
        <v>1</v>
      </c>
      <c r="Q161" s="9">
        <v>62000</v>
      </c>
      <c r="R161" s="6">
        <v>0.08</v>
      </c>
      <c r="S161" s="12">
        <f t="shared" si="26"/>
        <v>57040</v>
      </c>
      <c r="T161" s="12">
        <v>52000</v>
      </c>
      <c r="U161" s="9">
        <f t="shared" si="27"/>
        <v>5040</v>
      </c>
      <c r="V161" s="6">
        <f t="shared" si="28"/>
        <v>8.8359046283309955E-2</v>
      </c>
      <c r="W161" s="3" t="s">
        <v>48</v>
      </c>
      <c r="X161" s="3" t="s">
        <v>49</v>
      </c>
      <c r="Y161" s="3">
        <f t="shared" si="29"/>
        <v>6</v>
      </c>
      <c r="Z161" s="3" t="str">
        <f t="shared" si="30"/>
        <v>Premium</v>
      </c>
      <c r="AA161" s="3">
        <v>2</v>
      </c>
      <c r="AB161" s="3" t="str">
        <f t="shared" si="31"/>
        <v>Average</v>
      </c>
      <c r="AC161" s="3" t="str">
        <f t="shared" si="32"/>
        <v>June</v>
      </c>
      <c r="AD161" s="3" t="str">
        <f t="shared" si="33"/>
        <v>Q2</v>
      </c>
      <c r="AE161" s="3">
        <f t="shared" si="34"/>
        <v>2026</v>
      </c>
      <c r="AF161" s="3" t="str">
        <f t="shared" si="35"/>
        <v>Tuesday</v>
      </c>
      <c r="AG161" s="3" t="str">
        <f t="shared" si="36"/>
        <v>18-25</v>
      </c>
      <c r="AH161" s="3" t="str">
        <f t="shared" si="37"/>
        <v>Large</v>
      </c>
      <c r="AI161" s="3" t="str">
        <f t="shared" si="38"/>
        <v>Medium</v>
      </c>
      <c r="AJ161" s="3" t="str" cm="1">
        <f t="array" ref="AJ161">_xlfn.IFS(S161&gt;=80000,"VIP",S161&gt;=40000,"Gold",S161&gt;=15000,"Silver",TRUE,"Bronze")</f>
        <v>Gold</v>
      </c>
    </row>
    <row r="162" spans="1:36" x14ac:dyDescent="0.3">
      <c r="A162" s="3" t="s">
        <v>538</v>
      </c>
      <c r="B162" s="15">
        <v>46300</v>
      </c>
      <c r="C162" s="15">
        <v>46304</v>
      </c>
      <c r="D162" s="3" t="s">
        <v>539</v>
      </c>
      <c r="E162" s="3" t="s">
        <v>167</v>
      </c>
      <c r="F162" s="3" t="s">
        <v>52</v>
      </c>
      <c r="G162" s="3">
        <v>20</v>
      </c>
      <c r="H162" s="3" t="s">
        <v>88</v>
      </c>
      <c r="I162" s="3" t="s">
        <v>89</v>
      </c>
      <c r="J162" s="3" t="s">
        <v>80</v>
      </c>
      <c r="K162" s="3" t="s">
        <v>105</v>
      </c>
      <c r="L162" s="3" t="s">
        <v>112</v>
      </c>
      <c r="M162" s="3" t="s">
        <v>113</v>
      </c>
      <c r="N162" s="3" t="s">
        <v>114</v>
      </c>
      <c r="O162" s="3" t="s">
        <v>115</v>
      </c>
      <c r="P162" s="3">
        <v>4</v>
      </c>
      <c r="Q162" s="9">
        <v>3500</v>
      </c>
      <c r="R162" s="6">
        <v>0.12</v>
      </c>
      <c r="S162" s="12">
        <f t="shared" si="26"/>
        <v>12320</v>
      </c>
      <c r="T162" s="12">
        <v>2500</v>
      </c>
      <c r="U162" s="9">
        <f t="shared" si="27"/>
        <v>2320</v>
      </c>
      <c r="V162" s="6">
        <f t="shared" si="28"/>
        <v>0.18831168831168832</v>
      </c>
      <c r="W162" s="3" t="s">
        <v>100</v>
      </c>
      <c r="X162" s="3" t="s">
        <v>101</v>
      </c>
      <c r="Y162" s="3">
        <f t="shared" si="29"/>
        <v>4</v>
      </c>
      <c r="Z162" s="3" t="str">
        <f t="shared" si="30"/>
        <v>Regular</v>
      </c>
      <c r="AA162" s="3">
        <v>5</v>
      </c>
      <c r="AB162" s="3" t="str">
        <f t="shared" si="31"/>
        <v>Excellent</v>
      </c>
      <c r="AC162" s="3" t="str">
        <f t="shared" si="32"/>
        <v>October</v>
      </c>
      <c r="AD162" s="3" t="str">
        <f t="shared" si="33"/>
        <v>Q4</v>
      </c>
      <c r="AE162" s="3">
        <f t="shared" si="34"/>
        <v>2026</v>
      </c>
      <c r="AF162" s="3" t="str">
        <f t="shared" si="35"/>
        <v>Monday</v>
      </c>
      <c r="AG162" s="3" t="str">
        <f t="shared" si="36"/>
        <v>18-25</v>
      </c>
      <c r="AH162" s="3" t="str">
        <f t="shared" si="37"/>
        <v>Medium</v>
      </c>
      <c r="AI162" s="3" t="str">
        <f t="shared" si="38"/>
        <v>Medium</v>
      </c>
      <c r="AJ162" s="3" t="str" cm="1">
        <f t="array" ref="AJ162">_xlfn.IFS(S162&gt;=80000,"VIP",S162&gt;=40000,"Gold",S162&gt;=15000,"Silver",TRUE,"Bronze")</f>
        <v>Bronze</v>
      </c>
    </row>
    <row r="163" spans="1:36" x14ac:dyDescent="0.3">
      <c r="A163" s="3" t="s">
        <v>540</v>
      </c>
      <c r="B163" s="15">
        <v>46159</v>
      </c>
      <c r="C163" s="15">
        <v>46163</v>
      </c>
      <c r="D163" s="3" t="s">
        <v>541</v>
      </c>
      <c r="E163" s="3" t="s">
        <v>148</v>
      </c>
      <c r="F163" s="3" t="s">
        <v>52</v>
      </c>
      <c r="G163" s="3">
        <v>40</v>
      </c>
      <c r="H163" s="3" t="s">
        <v>68</v>
      </c>
      <c r="I163" s="3" t="s">
        <v>68</v>
      </c>
      <c r="J163" s="3" t="s">
        <v>69</v>
      </c>
      <c r="K163" s="3" t="s">
        <v>96</v>
      </c>
      <c r="L163" s="3" t="s">
        <v>166</v>
      </c>
      <c r="M163" s="3" t="s">
        <v>97</v>
      </c>
      <c r="N163" s="3" t="s">
        <v>98</v>
      </c>
      <c r="O163" s="3" t="s">
        <v>99</v>
      </c>
      <c r="P163" s="3">
        <v>3</v>
      </c>
      <c r="Q163" s="9">
        <v>4500</v>
      </c>
      <c r="R163" s="6">
        <v>0.12</v>
      </c>
      <c r="S163" s="12">
        <f t="shared" si="26"/>
        <v>11880</v>
      </c>
      <c r="T163" s="12">
        <v>3000</v>
      </c>
      <c r="U163" s="9">
        <f t="shared" si="27"/>
        <v>2880</v>
      </c>
      <c r="V163" s="6">
        <f t="shared" si="28"/>
        <v>0.24242424242424243</v>
      </c>
      <c r="W163" s="3" t="s">
        <v>92</v>
      </c>
      <c r="X163" s="3" t="s">
        <v>101</v>
      </c>
      <c r="Y163" s="3">
        <f t="shared" si="29"/>
        <v>4</v>
      </c>
      <c r="Z163" s="3" t="str">
        <f t="shared" si="30"/>
        <v>Regular</v>
      </c>
      <c r="AA163" s="3">
        <v>4</v>
      </c>
      <c r="AB163" s="3" t="str">
        <f t="shared" si="31"/>
        <v>Excellent</v>
      </c>
      <c r="AC163" s="3" t="str">
        <f t="shared" si="32"/>
        <v>May</v>
      </c>
      <c r="AD163" s="3" t="str">
        <f t="shared" si="33"/>
        <v>Q2</v>
      </c>
      <c r="AE163" s="3">
        <f t="shared" si="34"/>
        <v>2026</v>
      </c>
      <c r="AF163" s="3" t="str">
        <f t="shared" si="35"/>
        <v>Sunday</v>
      </c>
      <c r="AG163" s="3" t="str">
        <f t="shared" si="36"/>
        <v>36-45</v>
      </c>
      <c r="AH163" s="3" t="str">
        <f t="shared" si="37"/>
        <v>Medium</v>
      </c>
      <c r="AI163" s="3" t="str">
        <f t="shared" si="38"/>
        <v>Medium</v>
      </c>
      <c r="AJ163" s="3" t="str" cm="1">
        <f t="array" ref="AJ163">_xlfn.IFS(S163&gt;=80000,"VIP",S163&gt;=40000,"Gold",S163&gt;=15000,"Silver",TRUE,"Bronze")</f>
        <v>Bronze</v>
      </c>
    </row>
    <row r="164" spans="1:36" x14ac:dyDescent="0.3">
      <c r="A164" s="3" t="s">
        <v>542</v>
      </c>
      <c r="B164" s="15">
        <v>46032</v>
      </c>
      <c r="C164" s="15">
        <v>46038</v>
      </c>
      <c r="D164" s="3" t="s">
        <v>543</v>
      </c>
      <c r="E164" s="3" t="s">
        <v>168</v>
      </c>
      <c r="F164" s="3" t="s">
        <v>52</v>
      </c>
      <c r="G164" s="3">
        <v>38</v>
      </c>
      <c r="H164" s="3" t="s">
        <v>53</v>
      </c>
      <c r="I164" s="3" t="s">
        <v>41</v>
      </c>
      <c r="J164" s="3" t="s">
        <v>42</v>
      </c>
      <c r="K164" s="3" t="s">
        <v>105</v>
      </c>
      <c r="L164" s="3" t="s">
        <v>112</v>
      </c>
      <c r="M164" s="3" t="s">
        <v>113</v>
      </c>
      <c r="N164" s="3" t="s">
        <v>114</v>
      </c>
      <c r="O164" s="3" t="s">
        <v>115</v>
      </c>
      <c r="P164" s="3">
        <v>3</v>
      </c>
      <c r="Q164" s="9">
        <v>3500</v>
      </c>
      <c r="R164" s="6">
        <v>0.2</v>
      </c>
      <c r="S164" s="12">
        <f t="shared" si="26"/>
        <v>8400</v>
      </c>
      <c r="T164" s="12">
        <v>2500</v>
      </c>
      <c r="U164" s="9">
        <f t="shared" si="27"/>
        <v>900</v>
      </c>
      <c r="V164" s="6">
        <f t="shared" si="28"/>
        <v>0.10714285714285714</v>
      </c>
      <c r="W164" s="3" t="s">
        <v>92</v>
      </c>
      <c r="X164" s="3" t="s">
        <v>106</v>
      </c>
      <c r="Y164" s="3">
        <f t="shared" si="29"/>
        <v>6</v>
      </c>
      <c r="Z164" s="3" t="str">
        <f t="shared" si="30"/>
        <v>Regular</v>
      </c>
      <c r="AA164" s="3">
        <v>5</v>
      </c>
      <c r="AB164" s="3" t="str">
        <f t="shared" si="31"/>
        <v>Excellent</v>
      </c>
      <c r="AC164" s="3" t="str">
        <f t="shared" si="32"/>
        <v>January</v>
      </c>
      <c r="AD164" s="3" t="str">
        <f t="shared" si="33"/>
        <v>Q1</v>
      </c>
      <c r="AE164" s="3">
        <f t="shared" si="34"/>
        <v>2026</v>
      </c>
      <c r="AF164" s="3" t="str">
        <f t="shared" si="35"/>
        <v>Saturday</v>
      </c>
      <c r="AG164" s="3" t="str">
        <f t="shared" si="36"/>
        <v>36-45</v>
      </c>
      <c r="AH164" s="3" t="str">
        <f t="shared" si="37"/>
        <v>Small</v>
      </c>
      <c r="AI164" s="3" t="str">
        <f t="shared" si="38"/>
        <v>High</v>
      </c>
      <c r="AJ164" s="3" t="str" cm="1">
        <f t="array" ref="AJ164">_xlfn.IFS(S164&gt;=80000,"VIP",S164&gt;=40000,"Gold",S164&gt;=15000,"Silver",TRUE,"Bronze")</f>
        <v>Bronze</v>
      </c>
    </row>
    <row r="165" spans="1:36" x14ac:dyDescent="0.3">
      <c r="A165" s="3" t="s">
        <v>544</v>
      </c>
      <c r="B165" s="15">
        <v>46084</v>
      </c>
      <c r="C165" s="15">
        <v>46087</v>
      </c>
      <c r="D165" s="3" t="s">
        <v>545</v>
      </c>
      <c r="E165" s="3" t="s">
        <v>546</v>
      </c>
      <c r="F165" s="3" t="s">
        <v>52</v>
      </c>
      <c r="G165" s="3">
        <v>43</v>
      </c>
      <c r="H165" s="3" t="s">
        <v>78</v>
      </c>
      <c r="I165" s="3" t="s">
        <v>79</v>
      </c>
      <c r="J165" s="3" t="s">
        <v>80</v>
      </c>
      <c r="K165" s="3" t="s">
        <v>43</v>
      </c>
      <c r="L165" s="3" t="s">
        <v>44</v>
      </c>
      <c r="M165" s="3" t="s">
        <v>45</v>
      </c>
      <c r="N165" s="3" t="s">
        <v>46</v>
      </c>
      <c r="O165" s="3" t="s">
        <v>47</v>
      </c>
      <c r="P165" s="3">
        <v>1</v>
      </c>
      <c r="Q165" s="9">
        <v>28500</v>
      </c>
      <c r="R165" s="6">
        <v>0.08</v>
      </c>
      <c r="S165" s="12">
        <f t="shared" si="26"/>
        <v>26220</v>
      </c>
      <c r="T165" s="12">
        <v>22000</v>
      </c>
      <c r="U165" s="9">
        <f t="shared" si="27"/>
        <v>4220</v>
      </c>
      <c r="V165" s="6">
        <f t="shared" si="28"/>
        <v>0.16094584286803967</v>
      </c>
      <c r="W165" s="3" t="s">
        <v>92</v>
      </c>
      <c r="X165" s="3" t="s">
        <v>74</v>
      </c>
      <c r="Y165" s="3">
        <f t="shared" si="29"/>
        <v>3</v>
      </c>
      <c r="Z165" s="3" t="str">
        <f t="shared" si="30"/>
        <v>Regular</v>
      </c>
      <c r="AA165" s="3">
        <v>2</v>
      </c>
      <c r="AB165" s="3" t="str">
        <f t="shared" si="31"/>
        <v>Average</v>
      </c>
      <c r="AC165" s="3" t="str">
        <f t="shared" si="32"/>
        <v>March</v>
      </c>
      <c r="AD165" s="3" t="str">
        <f t="shared" si="33"/>
        <v>Q1</v>
      </c>
      <c r="AE165" s="3">
        <f t="shared" si="34"/>
        <v>2026</v>
      </c>
      <c r="AF165" s="3" t="str">
        <f t="shared" si="35"/>
        <v>Tuesday</v>
      </c>
      <c r="AG165" s="3" t="str">
        <f t="shared" si="36"/>
        <v>36-45</v>
      </c>
      <c r="AH165" s="3" t="str">
        <f t="shared" si="37"/>
        <v>Medium</v>
      </c>
      <c r="AI165" s="3" t="str">
        <f t="shared" si="38"/>
        <v>Medium</v>
      </c>
      <c r="AJ165" s="3" t="str" cm="1">
        <f t="array" ref="AJ165">_xlfn.IFS(S165&gt;=80000,"VIP",S165&gt;=40000,"Gold",S165&gt;=15000,"Silver",TRUE,"Bronze")</f>
        <v>Silver</v>
      </c>
    </row>
    <row r="166" spans="1:36" x14ac:dyDescent="0.3">
      <c r="A166" s="3" t="s">
        <v>547</v>
      </c>
      <c r="B166" s="15">
        <v>46316</v>
      </c>
      <c r="C166" s="15">
        <v>46319</v>
      </c>
      <c r="D166" s="3" t="s">
        <v>548</v>
      </c>
      <c r="E166" s="3" t="s">
        <v>549</v>
      </c>
      <c r="F166" s="3" t="s">
        <v>52</v>
      </c>
      <c r="G166" s="3">
        <v>37</v>
      </c>
      <c r="H166" s="3" t="s">
        <v>78</v>
      </c>
      <c r="I166" s="3" t="s">
        <v>79</v>
      </c>
      <c r="J166" s="3" t="s">
        <v>80</v>
      </c>
      <c r="K166" s="3" t="s">
        <v>90</v>
      </c>
      <c r="L166" s="3" t="s">
        <v>122</v>
      </c>
      <c r="M166" s="3" t="s">
        <v>45</v>
      </c>
      <c r="N166" s="3" t="s">
        <v>91</v>
      </c>
      <c r="O166" s="3" t="s">
        <v>123</v>
      </c>
      <c r="P166" s="3">
        <v>3</v>
      </c>
      <c r="Q166" s="9">
        <v>2500</v>
      </c>
      <c r="R166" s="6">
        <v>0.12</v>
      </c>
      <c r="S166" s="12">
        <f t="shared" si="26"/>
        <v>6600</v>
      </c>
      <c r="T166" s="12">
        <v>1700</v>
      </c>
      <c r="U166" s="9">
        <f t="shared" si="27"/>
        <v>1500</v>
      </c>
      <c r="V166" s="6">
        <f t="shared" si="28"/>
        <v>0.22727272727272727</v>
      </c>
      <c r="W166" s="3" t="s">
        <v>92</v>
      </c>
      <c r="X166" s="3" t="s">
        <v>101</v>
      </c>
      <c r="Y166" s="3">
        <f t="shared" si="29"/>
        <v>3</v>
      </c>
      <c r="Z166" s="3" t="str">
        <f t="shared" si="30"/>
        <v>Regular</v>
      </c>
      <c r="AA166" s="3">
        <v>4</v>
      </c>
      <c r="AB166" s="3" t="str">
        <f t="shared" si="31"/>
        <v>Excellent</v>
      </c>
      <c r="AC166" s="3" t="str">
        <f t="shared" si="32"/>
        <v>October</v>
      </c>
      <c r="AD166" s="3" t="str">
        <f t="shared" si="33"/>
        <v>Q4</v>
      </c>
      <c r="AE166" s="3">
        <f t="shared" si="34"/>
        <v>2026</v>
      </c>
      <c r="AF166" s="3" t="str">
        <f t="shared" si="35"/>
        <v>Wednesday</v>
      </c>
      <c r="AG166" s="3" t="str">
        <f t="shared" si="36"/>
        <v>36-45</v>
      </c>
      <c r="AH166" s="3" t="str">
        <f t="shared" si="37"/>
        <v>Small</v>
      </c>
      <c r="AI166" s="3" t="str">
        <f t="shared" si="38"/>
        <v>Medium</v>
      </c>
      <c r="AJ166" s="3" t="str" cm="1">
        <f t="array" ref="AJ166">_xlfn.IFS(S166&gt;=80000,"VIP",S166&gt;=40000,"Gold",S166&gt;=15000,"Silver",TRUE,"Bronze")</f>
        <v>Bronze</v>
      </c>
    </row>
    <row r="167" spans="1:36" x14ac:dyDescent="0.3">
      <c r="A167" s="3" t="s">
        <v>550</v>
      </c>
      <c r="B167" s="15">
        <v>46344</v>
      </c>
      <c r="C167" s="15">
        <v>46349</v>
      </c>
      <c r="D167" s="3" t="s">
        <v>551</v>
      </c>
      <c r="E167" s="3" t="s">
        <v>380</v>
      </c>
      <c r="F167" s="3" t="s">
        <v>39</v>
      </c>
      <c r="G167" s="3">
        <v>46</v>
      </c>
      <c r="H167" s="3" t="s">
        <v>78</v>
      </c>
      <c r="I167" s="3" t="s">
        <v>79</v>
      </c>
      <c r="J167" s="3" t="s">
        <v>80</v>
      </c>
      <c r="K167" s="3" t="s">
        <v>81</v>
      </c>
      <c r="L167" s="3" t="s">
        <v>82</v>
      </c>
      <c r="M167" s="3" t="s">
        <v>45</v>
      </c>
      <c r="N167" s="3" t="s">
        <v>83</v>
      </c>
      <c r="O167" s="3" t="s">
        <v>84</v>
      </c>
      <c r="P167" s="3">
        <v>1</v>
      </c>
      <c r="Q167" s="9">
        <v>42000</v>
      </c>
      <c r="R167" s="6">
        <v>0.05</v>
      </c>
      <c r="S167" s="12">
        <f t="shared" si="26"/>
        <v>39900</v>
      </c>
      <c r="T167" s="12">
        <v>35000</v>
      </c>
      <c r="U167" s="9">
        <f t="shared" si="27"/>
        <v>4900</v>
      </c>
      <c r="V167" s="6">
        <f t="shared" si="28"/>
        <v>0.12280701754385964</v>
      </c>
      <c r="W167" s="3" t="s">
        <v>100</v>
      </c>
      <c r="X167" s="3" t="s">
        <v>49</v>
      </c>
      <c r="Y167" s="3">
        <f t="shared" si="29"/>
        <v>5</v>
      </c>
      <c r="Z167" s="3" t="str">
        <f t="shared" si="30"/>
        <v>Regular</v>
      </c>
      <c r="AA167" s="3">
        <v>4</v>
      </c>
      <c r="AB167" s="3" t="str">
        <f t="shared" si="31"/>
        <v>Excellent</v>
      </c>
      <c r="AC167" s="3" t="str">
        <f t="shared" si="32"/>
        <v>November</v>
      </c>
      <c r="AD167" s="3" t="str">
        <f t="shared" si="33"/>
        <v>Q4</v>
      </c>
      <c r="AE167" s="3">
        <f t="shared" si="34"/>
        <v>2026</v>
      </c>
      <c r="AF167" s="3" t="str">
        <f t="shared" si="35"/>
        <v>Wednesday</v>
      </c>
      <c r="AG167" s="3" t="str">
        <f t="shared" si="36"/>
        <v>46+</v>
      </c>
      <c r="AH167" s="3" t="str">
        <f t="shared" si="37"/>
        <v>Large</v>
      </c>
      <c r="AI167" s="3" t="str">
        <f t="shared" si="38"/>
        <v>Low</v>
      </c>
      <c r="AJ167" s="3" t="str" cm="1">
        <f t="array" ref="AJ167">_xlfn.IFS(S167&gt;=80000,"VIP",S167&gt;=40000,"Gold",S167&gt;=15000,"Silver",TRUE,"Bronze")</f>
        <v>Silver</v>
      </c>
    </row>
    <row r="168" spans="1:36" x14ac:dyDescent="0.3">
      <c r="A168" s="3" t="s">
        <v>552</v>
      </c>
      <c r="B168" s="15">
        <v>46069</v>
      </c>
      <c r="C168" s="15">
        <v>46071</v>
      </c>
      <c r="D168" s="3" t="s">
        <v>553</v>
      </c>
      <c r="E168" s="3" t="s">
        <v>181</v>
      </c>
      <c r="F168" s="3" t="s">
        <v>52</v>
      </c>
      <c r="G168" s="3">
        <v>50</v>
      </c>
      <c r="H168" s="3" t="s">
        <v>88</v>
      </c>
      <c r="I168" s="3" t="s">
        <v>89</v>
      </c>
      <c r="J168" s="3" t="s">
        <v>80</v>
      </c>
      <c r="K168" s="3" t="s">
        <v>96</v>
      </c>
      <c r="L168" s="3" t="s">
        <v>166</v>
      </c>
      <c r="M168" s="3" t="s">
        <v>97</v>
      </c>
      <c r="N168" s="3" t="s">
        <v>98</v>
      </c>
      <c r="O168" s="3" t="s">
        <v>99</v>
      </c>
      <c r="P168" s="3">
        <v>4</v>
      </c>
      <c r="Q168" s="9">
        <v>4500</v>
      </c>
      <c r="R168" s="6">
        <v>0.15</v>
      </c>
      <c r="S168" s="12">
        <f t="shared" si="26"/>
        <v>15300</v>
      </c>
      <c r="T168" s="12">
        <v>3000</v>
      </c>
      <c r="U168" s="9">
        <f t="shared" si="27"/>
        <v>3300</v>
      </c>
      <c r="V168" s="6">
        <f t="shared" si="28"/>
        <v>0.21568627450980393</v>
      </c>
      <c r="W168" s="3" t="s">
        <v>48</v>
      </c>
      <c r="X168" s="3" t="s">
        <v>49</v>
      </c>
      <c r="Y168" s="3">
        <f t="shared" si="29"/>
        <v>2</v>
      </c>
      <c r="Z168" s="3" t="str">
        <f t="shared" si="30"/>
        <v>Regular</v>
      </c>
      <c r="AA168" s="3">
        <v>2</v>
      </c>
      <c r="AB168" s="3" t="str">
        <f t="shared" si="31"/>
        <v>Average</v>
      </c>
      <c r="AC168" s="3" t="str">
        <f t="shared" si="32"/>
        <v>February</v>
      </c>
      <c r="AD168" s="3" t="str">
        <f t="shared" si="33"/>
        <v>Q1</v>
      </c>
      <c r="AE168" s="3">
        <f t="shared" si="34"/>
        <v>2026</v>
      </c>
      <c r="AF168" s="3" t="str">
        <f t="shared" si="35"/>
        <v>Monday</v>
      </c>
      <c r="AG168" s="3" t="str">
        <f t="shared" si="36"/>
        <v>46+</v>
      </c>
      <c r="AH168" s="3" t="str">
        <f t="shared" si="37"/>
        <v>Medium</v>
      </c>
      <c r="AI168" s="3" t="str">
        <f t="shared" si="38"/>
        <v>Medium</v>
      </c>
      <c r="AJ168" s="3" t="str" cm="1">
        <f t="array" ref="AJ168">_xlfn.IFS(S168&gt;=80000,"VIP",S168&gt;=40000,"Gold",S168&gt;=15000,"Silver",TRUE,"Bronze")</f>
        <v>Silver</v>
      </c>
    </row>
    <row r="169" spans="1:36" x14ac:dyDescent="0.3">
      <c r="A169" s="3" t="s">
        <v>554</v>
      </c>
      <c r="B169" s="15">
        <v>46124</v>
      </c>
      <c r="C169" s="15">
        <v>46127</v>
      </c>
      <c r="D169" s="3" t="s">
        <v>555</v>
      </c>
      <c r="E169" s="3" t="s">
        <v>463</v>
      </c>
      <c r="F169" s="3" t="s">
        <v>52</v>
      </c>
      <c r="G169" s="3">
        <v>35</v>
      </c>
      <c r="H169" s="3" t="s">
        <v>119</v>
      </c>
      <c r="I169" s="3" t="s">
        <v>120</v>
      </c>
      <c r="J169" s="3" t="s">
        <v>121</v>
      </c>
      <c r="K169" s="3" t="s">
        <v>43</v>
      </c>
      <c r="L169" s="3" t="s">
        <v>44</v>
      </c>
      <c r="M169" s="3" t="s">
        <v>45</v>
      </c>
      <c r="N169" s="3" t="s">
        <v>46</v>
      </c>
      <c r="O169" s="3" t="s">
        <v>47</v>
      </c>
      <c r="P169" s="3">
        <v>5</v>
      </c>
      <c r="Q169" s="9">
        <v>28500</v>
      </c>
      <c r="R169" s="6">
        <v>0.1</v>
      </c>
      <c r="S169" s="12">
        <f t="shared" si="26"/>
        <v>128250</v>
      </c>
      <c r="T169" s="12">
        <v>22000</v>
      </c>
      <c r="U169" s="9">
        <f t="shared" si="27"/>
        <v>18250</v>
      </c>
      <c r="V169" s="6">
        <f t="shared" si="28"/>
        <v>0.14230019493177387</v>
      </c>
      <c r="W169" s="3" t="s">
        <v>73</v>
      </c>
      <c r="X169" s="3" t="s">
        <v>49</v>
      </c>
      <c r="Y169" s="3">
        <f t="shared" si="29"/>
        <v>3</v>
      </c>
      <c r="Z169" s="3" t="str">
        <f t="shared" si="30"/>
        <v>Premium</v>
      </c>
      <c r="AA169" s="3">
        <v>5</v>
      </c>
      <c r="AB169" s="3" t="str">
        <f t="shared" si="31"/>
        <v>Excellent</v>
      </c>
      <c r="AC169" s="3" t="str">
        <f t="shared" si="32"/>
        <v>April</v>
      </c>
      <c r="AD169" s="3" t="str">
        <f t="shared" si="33"/>
        <v>Q2</v>
      </c>
      <c r="AE169" s="3">
        <f t="shared" si="34"/>
        <v>2026</v>
      </c>
      <c r="AF169" s="3" t="str">
        <f t="shared" si="35"/>
        <v>Sunday</v>
      </c>
      <c r="AG169" s="3" t="str">
        <f t="shared" si="36"/>
        <v>26-35</v>
      </c>
      <c r="AH169" s="3" t="str">
        <f t="shared" si="37"/>
        <v>Large</v>
      </c>
      <c r="AI169" s="3" t="str">
        <f t="shared" si="38"/>
        <v>Medium</v>
      </c>
      <c r="AJ169" s="3" t="str" cm="1">
        <f t="array" ref="AJ169">_xlfn.IFS(S169&gt;=80000,"VIP",S169&gt;=40000,"Gold",S169&gt;=15000,"Silver",TRUE,"Bronze")</f>
        <v>VIP</v>
      </c>
    </row>
    <row r="170" spans="1:36" x14ac:dyDescent="0.3">
      <c r="A170" s="3" t="s">
        <v>556</v>
      </c>
      <c r="B170" s="15">
        <v>46358</v>
      </c>
      <c r="C170" s="15">
        <v>46363</v>
      </c>
      <c r="D170" s="3" t="s">
        <v>557</v>
      </c>
      <c r="E170" s="3" t="s">
        <v>338</v>
      </c>
      <c r="F170" s="3" t="s">
        <v>52</v>
      </c>
      <c r="G170" s="3">
        <v>48</v>
      </c>
      <c r="H170" s="3" t="s">
        <v>110</v>
      </c>
      <c r="I170" s="3" t="s">
        <v>111</v>
      </c>
      <c r="J170" s="3" t="s">
        <v>80</v>
      </c>
      <c r="K170" s="3" t="s">
        <v>62</v>
      </c>
      <c r="L170" s="3" t="s">
        <v>163</v>
      </c>
      <c r="M170" s="3" t="s">
        <v>45</v>
      </c>
      <c r="N170" s="3" t="s">
        <v>63</v>
      </c>
      <c r="O170" s="3" t="s">
        <v>64</v>
      </c>
      <c r="P170" s="3">
        <v>2</v>
      </c>
      <c r="Q170" s="9">
        <v>62000</v>
      </c>
      <c r="R170" s="6">
        <v>0.15</v>
      </c>
      <c r="S170" s="12">
        <f t="shared" si="26"/>
        <v>105400</v>
      </c>
      <c r="T170" s="12">
        <v>52000</v>
      </c>
      <c r="U170" s="9">
        <f t="shared" si="27"/>
        <v>1400</v>
      </c>
      <c r="V170" s="6">
        <f t="shared" si="28"/>
        <v>1.3282732447817837E-2</v>
      </c>
      <c r="W170" s="3" t="s">
        <v>92</v>
      </c>
      <c r="X170" s="3" t="s">
        <v>106</v>
      </c>
      <c r="Y170" s="3">
        <f t="shared" si="29"/>
        <v>5</v>
      </c>
      <c r="Z170" s="3" t="str">
        <f t="shared" si="30"/>
        <v>Premium</v>
      </c>
      <c r="AA170" s="3">
        <v>5</v>
      </c>
      <c r="AB170" s="3" t="str">
        <f t="shared" si="31"/>
        <v>Excellent</v>
      </c>
      <c r="AC170" s="3" t="str">
        <f t="shared" si="32"/>
        <v>December</v>
      </c>
      <c r="AD170" s="3" t="str">
        <f t="shared" si="33"/>
        <v>Q4</v>
      </c>
      <c r="AE170" s="3">
        <f t="shared" si="34"/>
        <v>2026</v>
      </c>
      <c r="AF170" s="3" t="str">
        <f t="shared" si="35"/>
        <v>Wednesday</v>
      </c>
      <c r="AG170" s="3" t="str">
        <f t="shared" si="36"/>
        <v>46+</v>
      </c>
      <c r="AH170" s="3" t="str">
        <f t="shared" si="37"/>
        <v>Large</v>
      </c>
      <c r="AI170" s="3" t="str">
        <f t="shared" si="38"/>
        <v>Medium</v>
      </c>
      <c r="AJ170" s="3" t="str" cm="1">
        <f t="array" ref="AJ170">_xlfn.IFS(S170&gt;=80000,"VIP",S170&gt;=40000,"Gold",S170&gt;=15000,"Silver",TRUE,"Bronze")</f>
        <v>VIP</v>
      </c>
    </row>
    <row r="171" spans="1:36" x14ac:dyDescent="0.3">
      <c r="A171" s="3" t="s">
        <v>558</v>
      </c>
      <c r="B171" s="15">
        <v>46179</v>
      </c>
      <c r="C171" s="15">
        <v>46185</v>
      </c>
      <c r="D171" s="3" t="s">
        <v>559</v>
      </c>
      <c r="E171" s="3" t="s">
        <v>533</v>
      </c>
      <c r="F171" s="3" t="s">
        <v>39</v>
      </c>
      <c r="G171" s="3">
        <v>20</v>
      </c>
      <c r="H171" s="3" t="s">
        <v>60</v>
      </c>
      <c r="I171" s="3" t="s">
        <v>61</v>
      </c>
      <c r="J171" s="3" t="s">
        <v>42</v>
      </c>
      <c r="K171" s="3" t="s">
        <v>90</v>
      </c>
      <c r="L171" s="3" t="s">
        <v>122</v>
      </c>
      <c r="M171" s="3" t="s">
        <v>45</v>
      </c>
      <c r="N171" s="3" t="s">
        <v>91</v>
      </c>
      <c r="O171" s="3" t="s">
        <v>123</v>
      </c>
      <c r="P171" s="3">
        <v>2</v>
      </c>
      <c r="Q171" s="9">
        <v>2500</v>
      </c>
      <c r="R171" s="6">
        <v>0.08</v>
      </c>
      <c r="S171" s="12">
        <f t="shared" si="26"/>
        <v>4600</v>
      </c>
      <c r="T171" s="12">
        <v>1700</v>
      </c>
      <c r="U171" s="9">
        <f t="shared" si="27"/>
        <v>1200</v>
      </c>
      <c r="V171" s="6">
        <f t="shared" si="28"/>
        <v>0.2608695652173913</v>
      </c>
      <c r="W171" s="3" t="s">
        <v>56</v>
      </c>
      <c r="X171" s="3" t="s">
        <v>49</v>
      </c>
      <c r="Y171" s="3">
        <f t="shared" si="29"/>
        <v>6</v>
      </c>
      <c r="Z171" s="3" t="str">
        <f t="shared" si="30"/>
        <v>Regular</v>
      </c>
      <c r="AA171" s="3">
        <v>4</v>
      </c>
      <c r="AB171" s="3" t="str">
        <f t="shared" si="31"/>
        <v>Excellent</v>
      </c>
      <c r="AC171" s="3" t="str">
        <f t="shared" si="32"/>
        <v>June</v>
      </c>
      <c r="AD171" s="3" t="str">
        <f t="shared" si="33"/>
        <v>Q2</v>
      </c>
      <c r="AE171" s="3">
        <f t="shared" si="34"/>
        <v>2026</v>
      </c>
      <c r="AF171" s="3" t="str">
        <f t="shared" si="35"/>
        <v>Saturday</v>
      </c>
      <c r="AG171" s="3" t="str">
        <f t="shared" si="36"/>
        <v>18-25</v>
      </c>
      <c r="AH171" s="3" t="str">
        <f t="shared" si="37"/>
        <v>Small</v>
      </c>
      <c r="AI171" s="3" t="str">
        <f t="shared" si="38"/>
        <v>Medium</v>
      </c>
      <c r="AJ171" s="3" t="str" cm="1">
        <f t="array" ref="AJ171">_xlfn.IFS(S171&gt;=80000,"VIP",S171&gt;=40000,"Gold",S171&gt;=15000,"Silver",TRUE,"Bronze")</f>
        <v>Bronze</v>
      </c>
    </row>
    <row r="172" spans="1:36" x14ac:dyDescent="0.3">
      <c r="A172" s="3" t="s">
        <v>560</v>
      </c>
      <c r="B172" s="15">
        <v>46203</v>
      </c>
      <c r="C172" s="15">
        <v>46205</v>
      </c>
      <c r="D172" s="3" t="s">
        <v>561</v>
      </c>
      <c r="E172" s="3" t="s">
        <v>562</v>
      </c>
      <c r="F172" s="3" t="s">
        <v>52</v>
      </c>
      <c r="G172" s="3">
        <v>30</v>
      </c>
      <c r="H172" s="3" t="s">
        <v>110</v>
      </c>
      <c r="I172" s="3" t="s">
        <v>111</v>
      </c>
      <c r="J172" s="3" t="s">
        <v>80</v>
      </c>
      <c r="K172" s="3" t="s">
        <v>54</v>
      </c>
      <c r="L172" s="3" t="s">
        <v>173</v>
      </c>
      <c r="M172" s="3" t="s">
        <v>45</v>
      </c>
      <c r="N172" s="3" t="s">
        <v>46</v>
      </c>
      <c r="O172" s="3" t="s">
        <v>55</v>
      </c>
      <c r="P172" s="3">
        <v>2</v>
      </c>
      <c r="Q172" s="9">
        <v>79900</v>
      </c>
      <c r="R172" s="6">
        <v>0.05</v>
      </c>
      <c r="S172" s="12">
        <f t="shared" si="26"/>
        <v>151810</v>
      </c>
      <c r="T172" s="12">
        <v>65000</v>
      </c>
      <c r="U172" s="9">
        <f t="shared" si="27"/>
        <v>21810</v>
      </c>
      <c r="V172" s="6">
        <f t="shared" si="28"/>
        <v>0.14366642513668401</v>
      </c>
      <c r="W172" s="3" t="s">
        <v>56</v>
      </c>
      <c r="X172" s="3" t="s">
        <v>106</v>
      </c>
      <c r="Y172" s="3">
        <f t="shared" si="29"/>
        <v>2</v>
      </c>
      <c r="Z172" s="3" t="str">
        <f t="shared" si="30"/>
        <v>Premium</v>
      </c>
      <c r="AA172" s="3">
        <v>5</v>
      </c>
      <c r="AB172" s="3" t="str">
        <f t="shared" si="31"/>
        <v>Excellent</v>
      </c>
      <c r="AC172" s="3" t="str">
        <f t="shared" si="32"/>
        <v>June</v>
      </c>
      <c r="AD172" s="3" t="str">
        <f t="shared" si="33"/>
        <v>Q2</v>
      </c>
      <c r="AE172" s="3">
        <f t="shared" si="34"/>
        <v>2026</v>
      </c>
      <c r="AF172" s="3" t="str">
        <f t="shared" si="35"/>
        <v>Tuesday</v>
      </c>
      <c r="AG172" s="3" t="str">
        <f t="shared" si="36"/>
        <v>26-35</v>
      </c>
      <c r="AH172" s="3" t="str">
        <f t="shared" si="37"/>
        <v>Large</v>
      </c>
      <c r="AI172" s="3" t="str">
        <f t="shared" si="38"/>
        <v>Low</v>
      </c>
      <c r="AJ172" s="3" t="str" cm="1">
        <f t="array" ref="AJ172">_xlfn.IFS(S172&gt;=80000,"VIP",S172&gt;=40000,"Gold",S172&gt;=15000,"Silver",TRUE,"Bronze")</f>
        <v>VIP</v>
      </c>
    </row>
    <row r="173" spans="1:36" x14ac:dyDescent="0.3">
      <c r="A173" s="3" t="s">
        <v>563</v>
      </c>
      <c r="B173" s="15">
        <v>46093</v>
      </c>
      <c r="C173" s="15">
        <v>46099</v>
      </c>
      <c r="D173" s="3" t="s">
        <v>564</v>
      </c>
      <c r="E173" s="3" t="s">
        <v>565</v>
      </c>
      <c r="F173" s="3" t="s">
        <v>52</v>
      </c>
      <c r="G173" s="3">
        <v>48</v>
      </c>
      <c r="H173" s="3" t="s">
        <v>53</v>
      </c>
      <c r="I173" s="3" t="s">
        <v>41</v>
      </c>
      <c r="J173" s="3" t="s">
        <v>42</v>
      </c>
      <c r="K173" s="3" t="s">
        <v>70</v>
      </c>
      <c r="L173" s="3" t="s">
        <v>71</v>
      </c>
      <c r="M173" s="3" t="s">
        <v>45</v>
      </c>
      <c r="N173" s="3" t="s">
        <v>63</v>
      </c>
      <c r="O173" s="3" t="s">
        <v>72</v>
      </c>
      <c r="P173" s="3">
        <v>2</v>
      </c>
      <c r="Q173" s="9">
        <v>58000</v>
      </c>
      <c r="R173" s="6">
        <v>0.15</v>
      </c>
      <c r="S173" s="12">
        <f t="shared" si="26"/>
        <v>98600</v>
      </c>
      <c r="T173" s="12">
        <v>49000</v>
      </c>
      <c r="U173" s="9">
        <f t="shared" si="27"/>
        <v>600</v>
      </c>
      <c r="V173" s="6">
        <f t="shared" si="28"/>
        <v>6.0851926977687626E-3</v>
      </c>
      <c r="W173" s="3" t="s">
        <v>48</v>
      </c>
      <c r="X173" s="3" t="s">
        <v>49</v>
      </c>
      <c r="Y173" s="3">
        <f t="shared" si="29"/>
        <v>6</v>
      </c>
      <c r="Z173" s="3" t="str">
        <f t="shared" si="30"/>
        <v>Premium</v>
      </c>
      <c r="AA173" s="3">
        <v>5</v>
      </c>
      <c r="AB173" s="3" t="str">
        <f t="shared" si="31"/>
        <v>Excellent</v>
      </c>
      <c r="AC173" s="3" t="str">
        <f t="shared" si="32"/>
        <v>March</v>
      </c>
      <c r="AD173" s="3" t="str">
        <f t="shared" si="33"/>
        <v>Q1</v>
      </c>
      <c r="AE173" s="3">
        <f t="shared" si="34"/>
        <v>2026</v>
      </c>
      <c r="AF173" s="3" t="str">
        <f t="shared" si="35"/>
        <v>Thursday</v>
      </c>
      <c r="AG173" s="3" t="str">
        <f t="shared" si="36"/>
        <v>46+</v>
      </c>
      <c r="AH173" s="3" t="str">
        <f t="shared" si="37"/>
        <v>Large</v>
      </c>
      <c r="AI173" s="3" t="str">
        <f t="shared" si="38"/>
        <v>Medium</v>
      </c>
      <c r="AJ173" s="3" t="str" cm="1">
        <f t="array" ref="AJ173">_xlfn.IFS(S173&gt;=80000,"VIP",S173&gt;=40000,"Gold",S173&gt;=15000,"Silver",TRUE,"Bronze")</f>
        <v>VIP</v>
      </c>
    </row>
    <row r="174" spans="1:36" x14ac:dyDescent="0.3">
      <c r="A174" s="3" t="s">
        <v>566</v>
      </c>
      <c r="B174" s="15">
        <v>46079</v>
      </c>
      <c r="C174" s="15">
        <v>46083</v>
      </c>
      <c r="D174" s="3" t="s">
        <v>567</v>
      </c>
      <c r="E174" s="3" t="s">
        <v>77</v>
      </c>
      <c r="F174" s="3" t="s">
        <v>52</v>
      </c>
      <c r="G174" s="3">
        <v>26</v>
      </c>
      <c r="H174" s="3" t="s">
        <v>88</v>
      </c>
      <c r="I174" s="3" t="s">
        <v>89</v>
      </c>
      <c r="J174" s="3" t="s">
        <v>80</v>
      </c>
      <c r="K174" s="3" t="s">
        <v>90</v>
      </c>
      <c r="L174" s="3" t="s">
        <v>122</v>
      </c>
      <c r="M174" s="3" t="s">
        <v>45</v>
      </c>
      <c r="N174" s="3" t="s">
        <v>91</v>
      </c>
      <c r="O174" s="3" t="s">
        <v>123</v>
      </c>
      <c r="P174" s="3">
        <v>3</v>
      </c>
      <c r="Q174" s="9">
        <v>2500</v>
      </c>
      <c r="R174" s="6">
        <v>0.05</v>
      </c>
      <c r="S174" s="12">
        <f t="shared" si="26"/>
        <v>7125</v>
      </c>
      <c r="T174" s="12">
        <v>1700</v>
      </c>
      <c r="U174" s="9">
        <f t="shared" si="27"/>
        <v>2025</v>
      </c>
      <c r="V174" s="6">
        <f t="shared" si="28"/>
        <v>0.28421052631578947</v>
      </c>
      <c r="W174" s="3" t="s">
        <v>48</v>
      </c>
      <c r="X174" s="3" t="s">
        <v>101</v>
      </c>
      <c r="Y174" s="3">
        <f t="shared" si="29"/>
        <v>4</v>
      </c>
      <c r="Z174" s="3" t="str">
        <f t="shared" si="30"/>
        <v>Regular</v>
      </c>
      <c r="AA174" s="3">
        <v>2</v>
      </c>
      <c r="AB174" s="3" t="str">
        <f t="shared" si="31"/>
        <v>Average</v>
      </c>
      <c r="AC174" s="3" t="str">
        <f t="shared" si="32"/>
        <v>February</v>
      </c>
      <c r="AD174" s="3" t="str">
        <f t="shared" si="33"/>
        <v>Q1</v>
      </c>
      <c r="AE174" s="3">
        <f t="shared" si="34"/>
        <v>2026</v>
      </c>
      <c r="AF174" s="3" t="str">
        <f t="shared" si="35"/>
        <v>Thursday</v>
      </c>
      <c r="AG174" s="3" t="str">
        <f t="shared" si="36"/>
        <v>26-35</v>
      </c>
      <c r="AH174" s="3" t="str">
        <f t="shared" si="37"/>
        <v>Small</v>
      </c>
      <c r="AI174" s="3" t="str">
        <f t="shared" si="38"/>
        <v>Low</v>
      </c>
      <c r="AJ174" s="3" t="str" cm="1">
        <f t="array" ref="AJ174">_xlfn.IFS(S174&gt;=80000,"VIP",S174&gt;=40000,"Gold",S174&gt;=15000,"Silver",TRUE,"Bronze")</f>
        <v>Bronze</v>
      </c>
    </row>
    <row r="175" spans="1:36" x14ac:dyDescent="0.3">
      <c r="A175" s="3" t="s">
        <v>568</v>
      </c>
      <c r="B175" s="15">
        <v>46258</v>
      </c>
      <c r="C175" s="15">
        <v>46262</v>
      </c>
      <c r="D175" s="3" t="s">
        <v>569</v>
      </c>
      <c r="E175" s="3" t="s">
        <v>570</v>
      </c>
      <c r="F175" s="3" t="s">
        <v>52</v>
      </c>
      <c r="G175" s="3">
        <v>30</v>
      </c>
      <c r="H175" s="3" t="s">
        <v>60</v>
      </c>
      <c r="I175" s="3" t="s">
        <v>61</v>
      </c>
      <c r="J175" s="3" t="s">
        <v>42</v>
      </c>
      <c r="K175" s="3" t="s">
        <v>70</v>
      </c>
      <c r="L175" s="3" t="s">
        <v>71</v>
      </c>
      <c r="M175" s="3" t="s">
        <v>45</v>
      </c>
      <c r="N175" s="3" t="s">
        <v>63</v>
      </c>
      <c r="O175" s="3" t="s">
        <v>72</v>
      </c>
      <c r="P175" s="3">
        <v>2</v>
      </c>
      <c r="Q175" s="9">
        <v>58000</v>
      </c>
      <c r="R175" s="6">
        <v>0.1</v>
      </c>
      <c r="S175" s="12">
        <f t="shared" si="26"/>
        <v>104400</v>
      </c>
      <c r="T175" s="12">
        <v>49000</v>
      </c>
      <c r="U175" s="9">
        <f t="shared" si="27"/>
        <v>6400</v>
      </c>
      <c r="V175" s="6">
        <f t="shared" si="28"/>
        <v>6.1302681992337162E-2</v>
      </c>
      <c r="W175" s="3" t="s">
        <v>56</v>
      </c>
      <c r="X175" s="3" t="s">
        <v>101</v>
      </c>
      <c r="Y175" s="3">
        <f t="shared" si="29"/>
        <v>4</v>
      </c>
      <c r="Z175" s="3" t="str">
        <f t="shared" si="30"/>
        <v>Premium</v>
      </c>
      <c r="AA175" s="3">
        <v>5</v>
      </c>
      <c r="AB175" s="3" t="str">
        <f t="shared" si="31"/>
        <v>Excellent</v>
      </c>
      <c r="AC175" s="3" t="str">
        <f t="shared" si="32"/>
        <v>August</v>
      </c>
      <c r="AD175" s="3" t="str">
        <f t="shared" si="33"/>
        <v>Q3</v>
      </c>
      <c r="AE175" s="3">
        <f t="shared" si="34"/>
        <v>2026</v>
      </c>
      <c r="AF175" s="3" t="str">
        <f t="shared" si="35"/>
        <v>Monday</v>
      </c>
      <c r="AG175" s="3" t="str">
        <f t="shared" si="36"/>
        <v>26-35</v>
      </c>
      <c r="AH175" s="3" t="str">
        <f t="shared" si="37"/>
        <v>Large</v>
      </c>
      <c r="AI175" s="3" t="str">
        <f t="shared" si="38"/>
        <v>Medium</v>
      </c>
      <c r="AJ175" s="3" t="str" cm="1">
        <f t="array" ref="AJ175">_xlfn.IFS(S175&gt;=80000,"VIP",S175&gt;=40000,"Gold",S175&gt;=15000,"Silver",TRUE,"Bronze")</f>
        <v>VIP</v>
      </c>
    </row>
    <row r="176" spans="1:36" x14ac:dyDescent="0.3">
      <c r="A176" s="3" t="s">
        <v>571</v>
      </c>
      <c r="B176" s="15">
        <v>46356</v>
      </c>
      <c r="C176" s="15">
        <v>46358</v>
      </c>
      <c r="D176" s="3" t="s">
        <v>572</v>
      </c>
      <c r="E176" s="3" t="s">
        <v>167</v>
      </c>
      <c r="F176" s="3" t="s">
        <v>52</v>
      </c>
      <c r="G176" s="3">
        <v>40</v>
      </c>
      <c r="H176" s="3" t="s">
        <v>40</v>
      </c>
      <c r="I176" s="3" t="s">
        <v>41</v>
      </c>
      <c r="J176" s="3" t="s">
        <v>42</v>
      </c>
      <c r="K176" s="3" t="s">
        <v>70</v>
      </c>
      <c r="L176" s="3" t="s">
        <v>71</v>
      </c>
      <c r="M176" s="3" t="s">
        <v>45</v>
      </c>
      <c r="N176" s="3" t="s">
        <v>63</v>
      </c>
      <c r="O176" s="3" t="s">
        <v>72</v>
      </c>
      <c r="P176" s="3">
        <v>5</v>
      </c>
      <c r="Q176" s="9">
        <v>58000</v>
      </c>
      <c r="R176" s="6">
        <v>0.05</v>
      </c>
      <c r="S176" s="12">
        <f t="shared" si="26"/>
        <v>275500</v>
      </c>
      <c r="T176" s="12">
        <v>49000</v>
      </c>
      <c r="U176" s="9">
        <f t="shared" si="27"/>
        <v>30500</v>
      </c>
      <c r="V176" s="6">
        <f t="shared" si="28"/>
        <v>0.11070780399274047</v>
      </c>
      <c r="W176" s="3" t="s">
        <v>48</v>
      </c>
      <c r="X176" s="3" t="s">
        <v>106</v>
      </c>
      <c r="Y176" s="3">
        <f t="shared" si="29"/>
        <v>2</v>
      </c>
      <c r="Z176" s="3" t="str">
        <f t="shared" si="30"/>
        <v>Premium</v>
      </c>
      <c r="AA176" s="3">
        <v>2</v>
      </c>
      <c r="AB176" s="3" t="str">
        <f t="shared" si="31"/>
        <v>Average</v>
      </c>
      <c r="AC176" s="3" t="str">
        <f t="shared" si="32"/>
        <v>November</v>
      </c>
      <c r="AD176" s="3" t="str">
        <f t="shared" si="33"/>
        <v>Q4</v>
      </c>
      <c r="AE176" s="3">
        <f t="shared" si="34"/>
        <v>2026</v>
      </c>
      <c r="AF176" s="3" t="str">
        <f t="shared" si="35"/>
        <v>Monday</v>
      </c>
      <c r="AG176" s="3" t="str">
        <f t="shared" si="36"/>
        <v>36-45</v>
      </c>
      <c r="AH176" s="3" t="str">
        <f t="shared" si="37"/>
        <v>Large</v>
      </c>
      <c r="AI176" s="3" t="str">
        <f t="shared" si="38"/>
        <v>Low</v>
      </c>
      <c r="AJ176" s="3" t="str" cm="1">
        <f t="array" ref="AJ176">_xlfn.IFS(S176&gt;=80000,"VIP",S176&gt;=40000,"Gold",S176&gt;=15000,"Silver",TRUE,"Bronze")</f>
        <v>VIP</v>
      </c>
    </row>
    <row r="177" spans="1:36" x14ac:dyDescent="0.3">
      <c r="A177" s="3" t="s">
        <v>573</v>
      </c>
      <c r="B177" s="15">
        <v>46105</v>
      </c>
      <c r="C177" s="15">
        <v>46110</v>
      </c>
      <c r="D177" s="3" t="s">
        <v>574</v>
      </c>
      <c r="E177" s="3" t="s">
        <v>306</v>
      </c>
      <c r="F177" s="3" t="s">
        <v>52</v>
      </c>
      <c r="G177" s="3">
        <v>38</v>
      </c>
      <c r="H177" s="3" t="s">
        <v>78</v>
      </c>
      <c r="I177" s="3" t="s">
        <v>79</v>
      </c>
      <c r="J177" s="3" t="s">
        <v>80</v>
      </c>
      <c r="K177" s="3" t="s">
        <v>81</v>
      </c>
      <c r="L177" s="3" t="s">
        <v>82</v>
      </c>
      <c r="M177" s="3" t="s">
        <v>45</v>
      </c>
      <c r="N177" s="3" t="s">
        <v>83</v>
      </c>
      <c r="O177" s="3" t="s">
        <v>84</v>
      </c>
      <c r="P177" s="3">
        <v>5</v>
      </c>
      <c r="Q177" s="9">
        <v>42000</v>
      </c>
      <c r="R177" s="6">
        <v>0.08</v>
      </c>
      <c r="S177" s="12">
        <f t="shared" si="26"/>
        <v>193200</v>
      </c>
      <c r="T177" s="12">
        <v>35000</v>
      </c>
      <c r="U177" s="9">
        <f t="shared" si="27"/>
        <v>18200</v>
      </c>
      <c r="V177" s="6">
        <f t="shared" si="28"/>
        <v>9.420289855072464E-2</v>
      </c>
      <c r="W177" s="3" t="s">
        <v>56</v>
      </c>
      <c r="X177" s="3" t="s">
        <v>74</v>
      </c>
      <c r="Y177" s="3">
        <f t="shared" si="29"/>
        <v>5</v>
      </c>
      <c r="Z177" s="3" t="str">
        <f t="shared" si="30"/>
        <v>Premium</v>
      </c>
      <c r="AA177" s="3">
        <v>2</v>
      </c>
      <c r="AB177" s="3" t="str">
        <f t="shared" si="31"/>
        <v>Average</v>
      </c>
      <c r="AC177" s="3" t="str">
        <f t="shared" si="32"/>
        <v>March</v>
      </c>
      <c r="AD177" s="3" t="str">
        <f t="shared" si="33"/>
        <v>Q1</v>
      </c>
      <c r="AE177" s="3">
        <f t="shared" si="34"/>
        <v>2026</v>
      </c>
      <c r="AF177" s="3" t="str">
        <f t="shared" si="35"/>
        <v>Tuesday</v>
      </c>
      <c r="AG177" s="3" t="str">
        <f t="shared" si="36"/>
        <v>36-45</v>
      </c>
      <c r="AH177" s="3" t="str">
        <f t="shared" si="37"/>
        <v>Large</v>
      </c>
      <c r="AI177" s="3" t="str">
        <f t="shared" si="38"/>
        <v>Medium</v>
      </c>
      <c r="AJ177" s="3" t="str" cm="1">
        <f t="array" ref="AJ177">_xlfn.IFS(S177&gt;=80000,"VIP",S177&gt;=40000,"Gold",S177&gt;=15000,"Silver",TRUE,"Bronze")</f>
        <v>VIP</v>
      </c>
    </row>
    <row r="178" spans="1:36" x14ac:dyDescent="0.3">
      <c r="A178" s="3" t="s">
        <v>575</v>
      </c>
      <c r="B178" s="15">
        <v>46365</v>
      </c>
      <c r="C178" s="15">
        <v>46370</v>
      </c>
      <c r="D178" s="3" t="s">
        <v>576</v>
      </c>
      <c r="E178" s="3" t="s">
        <v>577</v>
      </c>
      <c r="F178" s="3" t="s">
        <v>52</v>
      </c>
      <c r="G178" s="3">
        <v>26</v>
      </c>
      <c r="H178" s="3" t="s">
        <v>88</v>
      </c>
      <c r="I178" s="3" t="s">
        <v>89</v>
      </c>
      <c r="J178" s="3" t="s">
        <v>80</v>
      </c>
      <c r="K178" s="3" t="s">
        <v>105</v>
      </c>
      <c r="L178" s="3" t="s">
        <v>112</v>
      </c>
      <c r="M178" s="3" t="s">
        <v>113</v>
      </c>
      <c r="N178" s="3" t="s">
        <v>114</v>
      </c>
      <c r="O178" s="3" t="s">
        <v>115</v>
      </c>
      <c r="P178" s="3">
        <v>3</v>
      </c>
      <c r="Q178" s="9">
        <v>3500</v>
      </c>
      <c r="R178" s="6">
        <v>0.05</v>
      </c>
      <c r="S178" s="12">
        <f t="shared" si="26"/>
        <v>9975</v>
      </c>
      <c r="T178" s="12">
        <v>2500</v>
      </c>
      <c r="U178" s="9">
        <f t="shared" si="27"/>
        <v>2475</v>
      </c>
      <c r="V178" s="6">
        <f t="shared" si="28"/>
        <v>0.24812030075187969</v>
      </c>
      <c r="W178" s="3" t="s">
        <v>73</v>
      </c>
      <c r="X178" s="3" t="s">
        <v>101</v>
      </c>
      <c r="Y178" s="3">
        <f t="shared" si="29"/>
        <v>5</v>
      </c>
      <c r="Z178" s="3" t="str">
        <f t="shared" si="30"/>
        <v>Regular</v>
      </c>
      <c r="AA178" s="3">
        <v>3</v>
      </c>
      <c r="AB178" s="3" t="str">
        <f t="shared" si="31"/>
        <v>Average</v>
      </c>
      <c r="AC178" s="3" t="str">
        <f t="shared" si="32"/>
        <v>December</v>
      </c>
      <c r="AD178" s="3" t="str">
        <f t="shared" si="33"/>
        <v>Q4</v>
      </c>
      <c r="AE178" s="3">
        <f t="shared" si="34"/>
        <v>2026</v>
      </c>
      <c r="AF178" s="3" t="str">
        <f t="shared" si="35"/>
        <v>Wednesday</v>
      </c>
      <c r="AG178" s="3" t="str">
        <f t="shared" si="36"/>
        <v>26-35</v>
      </c>
      <c r="AH178" s="3" t="str">
        <f t="shared" si="37"/>
        <v>Small</v>
      </c>
      <c r="AI178" s="3" t="str">
        <f t="shared" si="38"/>
        <v>Low</v>
      </c>
      <c r="AJ178" s="3" t="str" cm="1">
        <f t="array" ref="AJ178">_xlfn.IFS(S178&gt;=80000,"VIP",S178&gt;=40000,"Gold",S178&gt;=15000,"Silver",TRUE,"Bronze")</f>
        <v>Bronze</v>
      </c>
    </row>
    <row r="179" spans="1:36" x14ac:dyDescent="0.3">
      <c r="A179" s="3" t="s">
        <v>578</v>
      </c>
      <c r="B179" s="15">
        <v>46315</v>
      </c>
      <c r="C179" s="15">
        <v>46320</v>
      </c>
      <c r="D179" s="3" t="s">
        <v>579</v>
      </c>
      <c r="E179" s="3" t="s">
        <v>272</v>
      </c>
      <c r="F179" s="3" t="s">
        <v>39</v>
      </c>
      <c r="G179" s="3">
        <v>38</v>
      </c>
      <c r="H179" s="3" t="s">
        <v>40</v>
      </c>
      <c r="I179" s="3" t="s">
        <v>41</v>
      </c>
      <c r="J179" s="3" t="s">
        <v>42</v>
      </c>
      <c r="K179" s="3" t="s">
        <v>70</v>
      </c>
      <c r="L179" s="3" t="s">
        <v>71</v>
      </c>
      <c r="M179" s="3" t="s">
        <v>45</v>
      </c>
      <c r="N179" s="3" t="s">
        <v>63</v>
      </c>
      <c r="O179" s="3" t="s">
        <v>72</v>
      </c>
      <c r="P179" s="3">
        <v>5</v>
      </c>
      <c r="Q179" s="9">
        <v>58000</v>
      </c>
      <c r="R179" s="6">
        <v>0.08</v>
      </c>
      <c r="S179" s="12">
        <f t="shared" si="26"/>
        <v>266800</v>
      </c>
      <c r="T179" s="12">
        <v>49000</v>
      </c>
      <c r="U179" s="9">
        <f t="shared" si="27"/>
        <v>21800</v>
      </c>
      <c r="V179" s="6">
        <f t="shared" si="28"/>
        <v>8.1709145427286356E-2</v>
      </c>
      <c r="W179" s="3" t="s">
        <v>92</v>
      </c>
      <c r="X179" s="3" t="s">
        <v>49</v>
      </c>
      <c r="Y179" s="3">
        <f t="shared" si="29"/>
        <v>5</v>
      </c>
      <c r="Z179" s="3" t="str">
        <f t="shared" si="30"/>
        <v>Premium</v>
      </c>
      <c r="AA179" s="3">
        <v>3</v>
      </c>
      <c r="AB179" s="3" t="str">
        <f t="shared" si="31"/>
        <v>Average</v>
      </c>
      <c r="AC179" s="3" t="str">
        <f t="shared" si="32"/>
        <v>October</v>
      </c>
      <c r="AD179" s="3" t="str">
        <f t="shared" si="33"/>
        <v>Q4</v>
      </c>
      <c r="AE179" s="3">
        <f t="shared" si="34"/>
        <v>2026</v>
      </c>
      <c r="AF179" s="3" t="str">
        <f t="shared" si="35"/>
        <v>Tuesday</v>
      </c>
      <c r="AG179" s="3" t="str">
        <f t="shared" si="36"/>
        <v>36-45</v>
      </c>
      <c r="AH179" s="3" t="str">
        <f t="shared" si="37"/>
        <v>Large</v>
      </c>
      <c r="AI179" s="3" t="str">
        <f t="shared" si="38"/>
        <v>Medium</v>
      </c>
      <c r="AJ179" s="3" t="str" cm="1">
        <f t="array" ref="AJ179">_xlfn.IFS(S179&gt;=80000,"VIP",S179&gt;=40000,"Gold",S179&gt;=15000,"Silver",TRUE,"Bronze")</f>
        <v>VIP</v>
      </c>
    </row>
    <row r="180" spans="1:36" x14ac:dyDescent="0.3">
      <c r="A180" s="3" t="s">
        <v>580</v>
      </c>
      <c r="B180" s="15">
        <v>46086</v>
      </c>
      <c r="C180" s="15">
        <v>46088</v>
      </c>
      <c r="D180" s="3" t="s">
        <v>581</v>
      </c>
      <c r="E180" s="3" t="s">
        <v>171</v>
      </c>
      <c r="F180" s="3" t="s">
        <v>39</v>
      </c>
      <c r="G180" s="3">
        <v>47</v>
      </c>
      <c r="H180" s="3" t="s">
        <v>78</v>
      </c>
      <c r="I180" s="3" t="s">
        <v>79</v>
      </c>
      <c r="J180" s="3" t="s">
        <v>80</v>
      </c>
      <c r="K180" s="3" t="s">
        <v>54</v>
      </c>
      <c r="L180" s="3" t="s">
        <v>173</v>
      </c>
      <c r="M180" s="3" t="s">
        <v>45</v>
      </c>
      <c r="N180" s="3" t="s">
        <v>46</v>
      </c>
      <c r="O180" s="3" t="s">
        <v>55</v>
      </c>
      <c r="P180" s="3">
        <v>5</v>
      </c>
      <c r="Q180" s="9">
        <v>79900</v>
      </c>
      <c r="R180" s="6">
        <v>0.05</v>
      </c>
      <c r="S180" s="12">
        <f t="shared" si="26"/>
        <v>379525</v>
      </c>
      <c r="T180" s="12">
        <v>65000</v>
      </c>
      <c r="U180" s="9">
        <f t="shared" si="27"/>
        <v>54525</v>
      </c>
      <c r="V180" s="6">
        <f t="shared" si="28"/>
        <v>0.14366642513668401</v>
      </c>
      <c r="W180" s="3" t="s">
        <v>48</v>
      </c>
      <c r="X180" s="3" t="s">
        <v>49</v>
      </c>
      <c r="Y180" s="3">
        <f t="shared" si="29"/>
        <v>2</v>
      </c>
      <c r="Z180" s="3" t="str">
        <f t="shared" si="30"/>
        <v>Premium</v>
      </c>
      <c r="AA180" s="3">
        <v>2</v>
      </c>
      <c r="AB180" s="3" t="str">
        <f t="shared" si="31"/>
        <v>Average</v>
      </c>
      <c r="AC180" s="3" t="str">
        <f t="shared" si="32"/>
        <v>March</v>
      </c>
      <c r="AD180" s="3" t="str">
        <f t="shared" si="33"/>
        <v>Q1</v>
      </c>
      <c r="AE180" s="3">
        <f t="shared" si="34"/>
        <v>2026</v>
      </c>
      <c r="AF180" s="3" t="str">
        <f t="shared" si="35"/>
        <v>Thursday</v>
      </c>
      <c r="AG180" s="3" t="str">
        <f t="shared" si="36"/>
        <v>46+</v>
      </c>
      <c r="AH180" s="3" t="str">
        <f t="shared" si="37"/>
        <v>Large</v>
      </c>
      <c r="AI180" s="3" t="str">
        <f t="shared" si="38"/>
        <v>Low</v>
      </c>
      <c r="AJ180" s="3" t="str" cm="1">
        <f t="array" ref="AJ180">_xlfn.IFS(S180&gt;=80000,"VIP",S180&gt;=40000,"Gold",S180&gt;=15000,"Silver",TRUE,"Bronze")</f>
        <v>VIP</v>
      </c>
    </row>
    <row r="181" spans="1:36" x14ac:dyDescent="0.3">
      <c r="A181" s="3" t="s">
        <v>582</v>
      </c>
      <c r="B181" s="15">
        <v>46238</v>
      </c>
      <c r="C181" s="15">
        <v>46244</v>
      </c>
      <c r="D181" s="3" t="s">
        <v>583</v>
      </c>
      <c r="E181" s="3" t="s">
        <v>584</v>
      </c>
      <c r="F181" s="3" t="s">
        <v>39</v>
      </c>
      <c r="G181" s="3">
        <v>31</v>
      </c>
      <c r="H181" s="3" t="s">
        <v>68</v>
      </c>
      <c r="I181" s="3" t="s">
        <v>68</v>
      </c>
      <c r="J181" s="3" t="s">
        <v>69</v>
      </c>
      <c r="K181" s="3" t="s">
        <v>96</v>
      </c>
      <c r="L181" s="3" t="s">
        <v>166</v>
      </c>
      <c r="M181" s="3" t="s">
        <v>97</v>
      </c>
      <c r="N181" s="3" t="s">
        <v>98</v>
      </c>
      <c r="O181" s="3" t="s">
        <v>99</v>
      </c>
      <c r="P181" s="3">
        <v>2</v>
      </c>
      <c r="Q181" s="9">
        <v>4500</v>
      </c>
      <c r="R181" s="6">
        <v>0.05</v>
      </c>
      <c r="S181" s="12">
        <f t="shared" si="26"/>
        <v>8550</v>
      </c>
      <c r="T181" s="12">
        <v>3000</v>
      </c>
      <c r="U181" s="9">
        <f t="shared" si="27"/>
        <v>2550</v>
      </c>
      <c r="V181" s="6">
        <f t="shared" si="28"/>
        <v>0.2982456140350877</v>
      </c>
      <c r="W181" s="3" t="s">
        <v>92</v>
      </c>
      <c r="X181" s="3" t="s">
        <v>74</v>
      </c>
      <c r="Y181" s="3">
        <f t="shared" si="29"/>
        <v>6</v>
      </c>
      <c r="Z181" s="3" t="str">
        <f t="shared" si="30"/>
        <v>Regular</v>
      </c>
      <c r="AA181" s="3">
        <v>4</v>
      </c>
      <c r="AB181" s="3" t="str">
        <f t="shared" si="31"/>
        <v>Excellent</v>
      </c>
      <c r="AC181" s="3" t="str">
        <f t="shared" si="32"/>
        <v>August</v>
      </c>
      <c r="AD181" s="3" t="str">
        <f t="shared" si="33"/>
        <v>Q3</v>
      </c>
      <c r="AE181" s="3">
        <f t="shared" si="34"/>
        <v>2026</v>
      </c>
      <c r="AF181" s="3" t="str">
        <f t="shared" si="35"/>
        <v>Tuesday</v>
      </c>
      <c r="AG181" s="3" t="str">
        <f t="shared" si="36"/>
        <v>26-35</v>
      </c>
      <c r="AH181" s="3" t="str">
        <f t="shared" si="37"/>
        <v>Small</v>
      </c>
      <c r="AI181" s="3" t="str">
        <f t="shared" si="38"/>
        <v>Low</v>
      </c>
      <c r="AJ181" s="3" t="str" cm="1">
        <f t="array" ref="AJ181">_xlfn.IFS(S181&gt;=80000,"VIP",S181&gt;=40000,"Gold",S181&gt;=15000,"Silver",TRUE,"Bronze")</f>
        <v>Bronze</v>
      </c>
    </row>
    <row r="182" spans="1:36" x14ac:dyDescent="0.3">
      <c r="A182" s="3" t="s">
        <v>585</v>
      </c>
      <c r="B182" s="15">
        <v>46253</v>
      </c>
      <c r="C182" s="15">
        <v>46255</v>
      </c>
      <c r="D182" s="3" t="s">
        <v>586</v>
      </c>
      <c r="E182" s="3" t="s">
        <v>199</v>
      </c>
      <c r="F182" s="3" t="s">
        <v>39</v>
      </c>
      <c r="G182" s="3">
        <v>21</v>
      </c>
      <c r="H182" s="3" t="s">
        <v>119</v>
      </c>
      <c r="I182" s="3" t="s">
        <v>120</v>
      </c>
      <c r="J182" s="3" t="s">
        <v>121</v>
      </c>
      <c r="K182" s="3" t="s">
        <v>105</v>
      </c>
      <c r="L182" s="3" t="s">
        <v>112</v>
      </c>
      <c r="M182" s="3" t="s">
        <v>113</v>
      </c>
      <c r="N182" s="3" t="s">
        <v>114</v>
      </c>
      <c r="O182" s="3" t="s">
        <v>115</v>
      </c>
      <c r="P182" s="3">
        <v>4</v>
      </c>
      <c r="Q182" s="9">
        <v>3500</v>
      </c>
      <c r="R182" s="6">
        <v>0.15</v>
      </c>
      <c r="S182" s="12">
        <f t="shared" si="26"/>
        <v>11900</v>
      </c>
      <c r="T182" s="12">
        <v>2500</v>
      </c>
      <c r="U182" s="9">
        <f t="shared" si="27"/>
        <v>1900</v>
      </c>
      <c r="V182" s="6">
        <f t="shared" si="28"/>
        <v>0.15966386554621848</v>
      </c>
      <c r="W182" s="3" t="s">
        <v>48</v>
      </c>
      <c r="X182" s="3" t="s">
        <v>74</v>
      </c>
      <c r="Y182" s="3">
        <f t="shared" si="29"/>
        <v>2</v>
      </c>
      <c r="Z182" s="3" t="str">
        <f t="shared" si="30"/>
        <v>Regular</v>
      </c>
      <c r="AA182" s="3">
        <v>5</v>
      </c>
      <c r="AB182" s="3" t="str">
        <f t="shared" si="31"/>
        <v>Excellent</v>
      </c>
      <c r="AC182" s="3" t="str">
        <f t="shared" si="32"/>
        <v>August</v>
      </c>
      <c r="AD182" s="3" t="str">
        <f t="shared" si="33"/>
        <v>Q3</v>
      </c>
      <c r="AE182" s="3">
        <f t="shared" si="34"/>
        <v>2026</v>
      </c>
      <c r="AF182" s="3" t="str">
        <f t="shared" si="35"/>
        <v>Wednesday</v>
      </c>
      <c r="AG182" s="3" t="str">
        <f t="shared" si="36"/>
        <v>18-25</v>
      </c>
      <c r="AH182" s="3" t="str">
        <f t="shared" si="37"/>
        <v>Medium</v>
      </c>
      <c r="AI182" s="3" t="str">
        <f t="shared" si="38"/>
        <v>Medium</v>
      </c>
      <c r="AJ182" s="3" t="str" cm="1">
        <f t="array" ref="AJ182">_xlfn.IFS(S182&gt;=80000,"VIP",S182&gt;=40000,"Gold",S182&gt;=15000,"Silver",TRUE,"Bronze")</f>
        <v>Bronze</v>
      </c>
    </row>
    <row r="183" spans="1:36" x14ac:dyDescent="0.3">
      <c r="A183" s="3" t="s">
        <v>587</v>
      </c>
      <c r="B183" s="15">
        <v>46045</v>
      </c>
      <c r="C183" s="15">
        <v>46051</v>
      </c>
      <c r="D183" s="3" t="s">
        <v>588</v>
      </c>
      <c r="E183" s="3" t="s">
        <v>185</v>
      </c>
      <c r="F183" s="3" t="s">
        <v>39</v>
      </c>
      <c r="G183" s="3">
        <v>40</v>
      </c>
      <c r="H183" s="3" t="s">
        <v>110</v>
      </c>
      <c r="I183" s="3" t="s">
        <v>111</v>
      </c>
      <c r="J183" s="3" t="s">
        <v>80</v>
      </c>
      <c r="K183" s="3" t="s">
        <v>43</v>
      </c>
      <c r="L183" s="3" t="s">
        <v>44</v>
      </c>
      <c r="M183" s="3" t="s">
        <v>45</v>
      </c>
      <c r="N183" s="3" t="s">
        <v>46</v>
      </c>
      <c r="O183" s="3" t="s">
        <v>47</v>
      </c>
      <c r="P183" s="3">
        <v>4</v>
      </c>
      <c r="Q183" s="9">
        <v>28500</v>
      </c>
      <c r="R183" s="6">
        <v>0.12</v>
      </c>
      <c r="S183" s="12">
        <f t="shared" si="26"/>
        <v>100320</v>
      </c>
      <c r="T183" s="12">
        <v>22000</v>
      </c>
      <c r="U183" s="9">
        <f t="shared" si="27"/>
        <v>12320</v>
      </c>
      <c r="V183" s="6">
        <f t="shared" si="28"/>
        <v>0.12280701754385964</v>
      </c>
      <c r="W183" s="3" t="s">
        <v>48</v>
      </c>
      <c r="X183" s="3" t="s">
        <v>74</v>
      </c>
      <c r="Y183" s="3">
        <f t="shared" si="29"/>
        <v>6</v>
      </c>
      <c r="Z183" s="3" t="str">
        <f t="shared" si="30"/>
        <v>Premium</v>
      </c>
      <c r="AA183" s="3">
        <v>2</v>
      </c>
      <c r="AB183" s="3" t="str">
        <f t="shared" si="31"/>
        <v>Average</v>
      </c>
      <c r="AC183" s="3" t="str">
        <f t="shared" si="32"/>
        <v>January</v>
      </c>
      <c r="AD183" s="3" t="str">
        <f t="shared" si="33"/>
        <v>Q1</v>
      </c>
      <c r="AE183" s="3">
        <f t="shared" si="34"/>
        <v>2026</v>
      </c>
      <c r="AF183" s="3" t="str">
        <f t="shared" si="35"/>
        <v>Friday</v>
      </c>
      <c r="AG183" s="3" t="str">
        <f t="shared" si="36"/>
        <v>36-45</v>
      </c>
      <c r="AH183" s="3" t="str">
        <f t="shared" si="37"/>
        <v>Large</v>
      </c>
      <c r="AI183" s="3" t="str">
        <f t="shared" si="38"/>
        <v>Medium</v>
      </c>
      <c r="AJ183" s="3" t="str" cm="1">
        <f t="array" ref="AJ183">_xlfn.IFS(S183&gt;=80000,"VIP",S183&gt;=40000,"Gold",S183&gt;=15000,"Silver",TRUE,"Bronze")</f>
        <v>VIP</v>
      </c>
    </row>
    <row r="184" spans="1:36" x14ac:dyDescent="0.3">
      <c r="A184" s="3" t="s">
        <v>589</v>
      </c>
      <c r="B184" s="15">
        <v>46203</v>
      </c>
      <c r="C184" s="15">
        <v>46206</v>
      </c>
      <c r="D184" s="3" t="s">
        <v>590</v>
      </c>
      <c r="E184" s="3" t="s">
        <v>591</v>
      </c>
      <c r="F184" s="3" t="s">
        <v>39</v>
      </c>
      <c r="G184" s="3">
        <v>28</v>
      </c>
      <c r="H184" s="3" t="s">
        <v>119</v>
      </c>
      <c r="I184" s="3" t="s">
        <v>120</v>
      </c>
      <c r="J184" s="3" t="s">
        <v>121</v>
      </c>
      <c r="K184" s="3" t="s">
        <v>81</v>
      </c>
      <c r="L184" s="3" t="s">
        <v>82</v>
      </c>
      <c r="M184" s="3" t="s">
        <v>45</v>
      </c>
      <c r="N184" s="3" t="s">
        <v>83</v>
      </c>
      <c r="O184" s="3" t="s">
        <v>84</v>
      </c>
      <c r="P184" s="3">
        <v>4</v>
      </c>
      <c r="Q184" s="9">
        <v>42000</v>
      </c>
      <c r="R184" s="6">
        <v>0.08</v>
      </c>
      <c r="S184" s="12">
        <f t="shared" si="26"/>
        <v>154560</v>
      </c>
      <c r="T184" s="12">
        <v>35000</v>
      </c>
      <c r="U184" s="9">
        <f t="shared" si="27"/>
        <v>14560</v>
      </c>
      <c r="V184" s="6">
        <f t="shared" si="28"/>
        <v>9.420289855072464E-2</v>
      </c>
      <c r="W184" s="3" t="s">
        <v>100</v>
      </c>
      <c r="X184" s="3" t="s">
        <v>101</v>
      </c>
      <c r="Y184" s="3">
        <f t="shared" si="29"/>
        <v>3</v>
      </c>
      <c r="Z184" s="3" t="str">
        <f t="shared" si="30"/>
        <v>Premium</v>
      </c>
      <c r="AA184" s="3">
        <v>3</v>
      </c>
      <c r="AB184" s="3" t="str">
        <f t="shared" si="31"/>
        <v>Average</v>
      </c>
      <c r="AC184" s="3" t="str">
        <f t="shared" si="32"/>
        <v>June</v>
      </c>
      <c r="AD184" s="3" t="str">
        <f t="shared" si="33"/>
        <v>Q2</v>
      </c>
      <c r="AE184" s="3">
        <f t="shared" si="34"/>
        <v>2026</v>
      </c>
      <c r="AF184" s="3" t="str">
        <f t="shared" si="35"/>
        <v>Tuesday</v>
      </c>
      <c r="AG184" s="3" t="str">
        <f t="shared" si="36"/>
        <v>26-35</v>
      </c>
      <c r="AH184" s="3" t="str">
        <f t="shared" si="37"/>
        <v>Large</v>
      </c>
      <c r="AI184" s="3" t="str">
        <f t="shared" si="38"/>
        <v>Medium</v>
      </c>
      <c r="AJ184" s="3" t="str" cm="1">
        <f t="array" ref="AJ184">_xlfn.IFS(S184&gt;=80000,"VIP",S184&gt;=40000,"Gold",S184&gt;=15000,"Silver",TRUE,"Bronze")</f>
        <v>VIP</v>
      </c>
    </row>
    <row r="185" spans="1:36" x14ac:dyDescent="0.3">
      <c r="A185" s="3" t="s">
        <v>592</v>
      </c>
      <c r="B185" s="15">
        <v>46357</v>
      </c>
      <c r="C185" s="15">
        <v>46361</v>
      </c>
      <c r="D185" s="3" t="s">
        <v>593</v>
      </c>
      <c r="E185" s="3" t="s">
        <v>498</v>
      </c>
      <c r="F185" s="3" t="s">
        <v>39</v>
      </c>
      <c r="G185" s="3">
        <v>48</v>
      </c>
      <c r="H185" s="3" t="s">
        <v>68</v>
      </c>
      <c r="I185" s="3" t="s">
        <v>68</v>
      </c>
      <c r="J185" s="3" t="s">
        <v>69</v>
      </c>
      <c r="K185" s="3" t="s">
        <v>70</v>
      </c>
      <c r="L185" s="3" t="s">
        <v>71</v>
      </c>
      <c r="M185" s="3" t="s">
        <v>45</v>
      </c>
      <c r="N185" s="3" t="s">
        <v>63</v>
      </c>
      <c r="O185" s="3" t="s">
        <v>72</v>
      </c>
      <c r="P185" s="3">
        <v>2</v>
      </c>
      <c r="Q185" s="9">
        <v>58000</v>
      </c>
      <c r="R185" s="6">
        <v>0.08</v>
      </c>
      <c r="S185" s="12">
        <f t="shared" si="26"/>
        <v>106720</v>
      </c>
      <c r="T185" s="12">
        <v>49000</v>
      </c>
      <c r="U185" s="9">
        <f t="shared" si="27"/>
        <v>8720</v>
      </c>
      <c r="V185" s="6">
        <f t="shared" si="28"/>
        <v>8.1709145427286356E-2</v>
      </c>
      <c r="W185" s="3" t="s">
        <v>100</v>
      </c>
      <c r="X185" s="3" t="s">
        <v>101</v>
      </c>
      <c r="Y185" s="3">
        <f t="shared" si="29"/>
        <v>4</v>
      </c>
      <c r="Z185" s="3" t="str">
        <f t="shared" si="30"/>
        <v>Premium</v>
      </c>
      <c r="AA185" s="3">
        <v>2</v>
      </c>
      <c r="AB185" s="3" t="str">
        <f t="shared" si="31"/>
        <v>Average</v>
      </c>
      <c r="AC185" s="3" t="str">
        <f t="shared" si="32"/>
        <v>December</v>
      </c>
      <c r="AD185" s="3" t="str">
        <f t="shared" si="33"/>
        <v>Q4</v>
      </c>
      <c r="AE185" s="3">
        <f t="shared" si="34"/>
        <v>2026</v>
      </c>
      <c r="AF185" s="3" t="str">
        <f t="shared" si="35"/>
        <v>Tuesday</v>
      </c>
      <c r="AG185" s="3" t="str">
        <f t="shared" si="36"/>
        <v>46+</v>
      </c>
      <c r="AH185" s="3" t="str">
        <f t="shared" si="37"/>
        <v>Large</v>
      </c>
      <c r="AI185" s="3" t="str">
        <f t="shared" si="38"/>
        <v>Medium</v>
      </c>
      <c r="AJ185" s="3" t="str" cm="1">
        <f t="array" ref="AJ185">_xlfn.IFS(S185&gt;=80000,"VIP",S185&gt;=40000,"Gold",S185&gt;=15000,"Silver",TRUE,"Bronze")</f>
        <v>VIP</v>
      </c>
    </row>
    <row r="186" spans="1:36" x14ac:dyDescent="0.3">
      <c r="A186" s="3" t="s">
        <v>594</v>
      </c>
      <c r="B186" s="15">
        <v>46195</v>
      </c>
      <c r="C186" s="15">
        <v>46199</v>
      </c>
      <c r="D186" s="3" t="s">
        <v>595</v>
      </c>
      <c r="E186" s="3" t="s">
        <v>596</v>
      </c>
      <c r="F186" s="3" t="s">
        <v>52</v>
      </c>
      <c r="G186" s="3">
        <v>27</v>
      </c>
      <c r="H186" s="3" t="s">
        <v>53</v>
      </c>
      <c r="I186" s="3" t="s">
        <v>41</v>
      </c>
      <c r="J186" s="3" t="s">
        <v>42</v>
      </c>
      <c r="K186" s="3" t="s">
        <v>90</v>
      </c>
      <c r="L186" s="3" t="s">
        <v>122</v>
      </c>
      <c r="M186" s="3" t="s">
        <v>45</v>
      </c>
      <c r="N186" s="3" t="s">
        <v>91</v>
      </c>
      <c r="O186" s="3" t="s">
        <v>123</v>
      </c>
      <c r="P186" s="3">
        <v>1</v>
      </c>
      <c r="Q186" s="9">
        <v>2500</v>
      </c>
      <c r="R186" s="6">
        <v>0.05</v>
      </c>
      <c r="S186" s="12">
        <f t="shared" si="26"/>
        <v>2375</v>
      </c>
      <c r="T186" s="12">
        <v>1700</v>
      </c>
      <c r="U186" s="9">
        <f t="shared" si="27"/>
        <v>675</v>
      </c>
      <c r="V186" s="6">
        <f t="shared" si="28"/>
        <v>0.28421052631578947</v>
      </c>
      <c r="W186" s="3" t="s">
        <v>56</v>
      </c>
      <c r="X186" s="3" t="s">
        <v>74</v>
      </c>
      <c r="Y186" s="3">
        <f t="shared" si="29"/>
        <v>4</v>
      </c>
      <c r="Z186" s="3" t="str">
        <f t="shared" si="30"/>
        <v>Regular</v>
      </c>
      <c r="AA186" s="3">
        <v>5</v>
      </c>
      <c r="AB186" s="3" t="str">
        <f t="shared" si="31"/>
        <v>Excellent</v>
      </c>
      <c r="AC186" s="3" t="str">
        <f t="shared" si="32"/>
        <v>June</v>
      </c>
      <c r="AD186" s="3" t="str">
        <f t="shared" si="33"/>
        <v>Q2</v>
      </c>
      <c r="AE186" s="3">
        <f t="shared" si="34"/>
        <v>2026</v>
      </c>
      <c r="AF186" s="3" t="str">
        <f t="shared" si="35"/>
        <v>Monday</v>
      </c>
      <c r="AG186" s="3" t="str">
        <f t="shared" si="36"/>
        <v>26-35</v>
      </c>
      <c r="AH186" s="3" t="str">
        <f t="shared" si="37"/>
        <v>Small</v>
      </c>
      <c r="AI186" s="3" t="str">
        <f t="shared" si="38"/>
        <v>Low</v>
      </c>
      <c r="AJ186" s="3" t="str" cm="1">
        <f t="array" ref="AJ186">_xlfn.IFS(S186&gt;=80000,"VIP",S186&gt;=40000,"Gold",S186&gt;=15000,"Silver",TRUE,"Bronze")</f>
        <v>Bronze</v>
      </c>
    </row>
    <row r="187" spans="1:36" x14ac:dyDescent="0.3">
      <c r="A187" s="3" t="s">
        <v>597</v>
      </c>
      <c r="B187" s="15">
        <v>46058</v>
      </c>
      <c r="C187" s="15">
        <v>46063</v>
      </c>
      <c r="D187" s="3" t="s">
        <v>598</v>
      </c>
      <c r="E187" s="3" t="s">
        <v>269</v>
      </c>
      <c r="F187" s="3" t="s">
        <v>39</v>
      </c>
      <c r="G187" s="3">
        <v>37</v>
      </c>
      <c r="H187" s="3" t="s">
        <v>110</v>
      </c>
      <c r="I187" s="3" t="s">
        <v>111</v>
      </c>
      <c r="J187" s="3" t="s">
        <v>80</v>
      </c>
      <c r="K187" s="3" t="s">
        <v>90</v>
      </c>
      <c r="L187" s="3" t="s">
        <v>122</v>
      </c>
      <c r="M187" s="3" t="s">
        <v>45</v>
      </c>
      <c r="N187" s="3" t="s">
        <v>91</v>
      </c>
      <c r="O187" s="3" t="s">
        <v>123</v>
      </c>
      <c r="P187" s="3">
        <v>5</v>
      </c>
      <c r="Q187" s="9">
        <v>2500</v>
      </c>
      <c r="R187" s="6">
        <v>0.1</v>
      </c>
      <c r="S187" s="12">
        <f t="shared" si="26"/>
        <v>11250</v>
      </c>
      <c r="T187" s="12">
        <v>1700</v>
      </c>
      <c r="U187" s="9">
        <f t="shared" si="27"/>
        <v>2750</v>
      </c>
      <c r="V187" s="6">
        <f t="shared" si="28"/>
        <v>0.24444444444444444</v>
      </c>
      <c r="W187" s="3" t="s">
        <v>56</v>
      </c>
      <c r="X187" s="3" t="s">
        <v>101</v>
      </c>
      <c r="Y187" s="3">
        <f t="shared" si="29"/>
        <v>5</v>
      </c>
      <c r="Z187" s="3" t="str">
        <f t="shared" si="30"/>
        <v>Regular</v>
      </c>
      <c r="AA187" s="3">
        <v>3</v>
      </c>
      <c r="AB187" s="3" t="str">
        <f t="shared" si="31"/>
        <v>Average</v>
      </c>
      <c r="AC187" s="3" t="str">
        <f t="shared" si="32"/>
        <v>February</v>
      </c>
      <c r="AD187" s="3" t="str">
        <f t="shared" si="33"/>
        <v>Q1</v>
      </c>
      <c r="AE187" s="3">
        <f t="shared" si="34"/>
        <v>2026</v>
      </c>
      <c r="AF187" s="3" t="str">
        <f t="shared" si="35"/>
        <v>Thursday</v>
      </c>
      <c r="AG187" s="3" t="str">
        <f t="shared" si="36"/>
        <v>36-45</v>
      </c>
      <c r="AH187" s="3" t="str">
        <f t="shared" si="37"/>
        <v>Medium</v>
      </c>
      <c r="AI187" s="3" t="str">
        <f t="shared" si="38"/>
        <v>Medium</v>
      </c>
      <c r="AJ187" s="3" t="str" cm="1">
        <f t="array" ref="AJ187">_xlfn.IFS(S187&gt;=80000,"VIP",S187&gt;=40000,"Gold",S187&gt;=15000,"Silver",TRUE,"Bronze")</f>
        <v>Bronze</v>
      </c>
    </row>
    <row r="188" spans="1:36" x14ac:dyDescent="0.3">
      <c r="A188" s="3" t="s">
        <v>599</v>
      </c>
      <c r="B188" s="15">
        <v>46128</v>
      </c>
      <c r="C188" s="15">
        <v>46134</v>
      </c>
      <c r="D188" s="3" t="s">
        <v>600</v>
      </c>
      <c r="E188" s="3" t="s">
        <v>169</v>
      </c>
      <c r="F188" s="3" t="s">
        <v>39</v>
      </c>
      <c r="G188" s="3">
        <v>44</v>
      </c>
      <c r="H188" s="3" t="s">
        <v>40</v>
      </c>
      <c r="I188" s="3" t="s">
        <v>41</v>
      </c>
      <c r="J188" s="3" t="s">
        <v>42</v>
      </c>
      <c r="K188" s="3" t="s">
        <v>96</v>
      </c>
      <c r="L188" s="3" t="s">
        <v>166</v>
      </c>
      <c r="M188" s="3" t="s">
        <v>97</v>
      </c>
      <c r="N188" s="3" t="s">
        <v>98</v>
      </c>
      <c r="O188" s="3" t="s">
        <v>99</v>
      </c>
      <c r="P188" s="3">
        <v>1</v>
      </c>
      <c r="Q188" s="9">
        <v>4500</v>
      </c>
      <c r="R188" s="6">
        <v>0.08</v>
      </c>
      <c r="S188" s="12">
        <f t="shared" si="26"/>
        <v>4140</v>
      </c>
      <c r="T188" s="12">
        <v>3000</v>
      </c>
      <c r="U188" s="9">
        <f t="shared" si="27"/>
        <v>1140</v>
      </c>
      <c r="V188" s="6">
        <f t="shared" si="28"/>
        <v>0.27536231884057971</v>
      </c>
      <c r="W188" s="3" t="s">
        <v>92</v>
      </c>
      <c r="X188" s="3" t="s">
        <v>101</v>
      </c>
      <c r="Y188" s="3">
        <f t="shared" si="29"/>
        <v>6</v>
      </c>
      <c r="Z188" s="3" t="str">
        <f t="shared" si="30"/>
        <v>Regular</v>
      </c>
      <c r="AA188" s="3">
        <v>4</v>
      </c>
      <c r="AB188" s="3" t="str">
        <f t="shared" si="31"/>
        <v>Excellent</v>
      </c>
      <c r="AC188" s="3" t="str">
        <f t="shared" si="32"/>
        <v>April</v>
      </c>
      <c r="AD188" s="3" t="str">
        <f t="shared" si="33"/>
        <v>Q2</v>
      </c>
      <c r="AE188" s="3">
        <f t="shared" si="34"/>
        <v>2026</v>
      </c>
      <c r="AF188" s="3" t="str">
        <f t="shared" si="35"/>
        <v>Thursday</v>
      </c>
      <c r="AG188" s="3" t="str">
        <f t="shared" si="36"/>
        <v>36-45</v>
      </c>
      <c r="AH188" s="3" t="str">
        <f t="shared" si="37"/>
        <v>Small</v>
      </c>
      <c r="AI188" s="3" t="str">
        <f t="shared" si="38"/>
        <v>Medium</v>
      </c>
      <c r="AJ188" s="3" t="str" cm="1">
        <f t="array" ref="AJ188">_xlfn.IFS(S188&gt;=80000,"VIP",S188&gt;=40000,"Gold",S188&gt;=15000,"Silver",TRUE,"Bronze")</f>
        <v>Bronze</v>
      </c>
    </row>
    <row r="189" spans="1:36" x14ac:dyDescent="0.3">
      <c r="A189" s="3" t="s">
        <v>601</v>
      </c>
      <c r="B189" s="15">
        <v>46073</v>
      </c>
      <c r="C189" s="15">
        <v>46078</v>
      </c>
      <c r="D189" s="3" t="s">
        <v>602</v>
      </c>
      <c r="E189" s="3" t="s">
        <v>233</v>
      </c>
      <c r="F189" s="3" t="s">
        <v>52</v>
      </c>
      <c r="G189" s="3">
        <v>31</v>
      </c>
      <c r="H189" s="3" t="s">
        <v>88</v>
      </c>
      <c r="I189" s="3" t="s">
        <v>89</v>
      </c>
      <c r="J189" s="3" t="s">
        <v>80</v>
      </c>
      <c r="K189" s="3" t="s">
        <v>96</v>
      </c>
      <c r="L189" s="3" t="s">
        <v>166</v>
      </c>
      <c r="M189" s="3" t="s">
        <v>97</v>
      </c>
      <c r="N189" s="3" t="s">
        <v>98</v>
      </c>
      <c r="O189" s="3" t="s">
        <v>99</v>
      </c>
      <c r="P189" s="3">
        <v>4</v>
      </c>
      <c r="Q189" s="9">
        <v>4500</v>
      </c>
      <c r="R189" s="6">
        <v>0.12</v>
      </c>
      <c r="S189" s="12">
        <f t="shared" si="26"/>
        <v>15840</v>
      </c>
      <c r="T189" s="12">
        <v>3000</v>
      </c>
      <c r="U189" s="9">
        <f t="shared" si="27"/>
        <v>3840</v>
      </c>
      <c r="V189" s="6">
        <f t="shared" si="28"/>
        <v>0.24242424242424243</v>
      </c>
      <c r="W189" s="3" t="s">
        <v>56</v>
      </c>
      <c r="X189" s="3" t="s">
        <v>106</v>
      </c>
      <c r="Y189" s="3">
        <f t="shared" si="29"/>
        <v>5</v>
      </c>
      <c r="Z189" s="3" t="str">
        <f t="shared" si="30"/>
        <v>Regular</v>
      </c>
      <c r="AA189" s="3">
        <v>5</v>
      </c>
      <c r="AB189" s="3" t="str">
        <f t="shared" si="31"/>
        <v>Excellent</v>
      </c>
      <c r="AC189" s="3" t="str">
        <f t="shared" si="32"/>
        <v>February</v>
      </c>
      <c r="AD189" s="3" t="str">
        <f t="shared" si="33"/>
        <v>Q1</v>
      </c>
      <c r="AE189" s="3">
        <f t="shared" si="34"/>
        <v>2026</v>
      </c>
      <c r="AF189" s="3" t="str">
        <f t="shared" si="35"/>
        <v>Friday</v>
      </c>
      <c r="AG189" s="3" t="str">
        <f t="shared" si="36"/>
        <v>26-35</v>
      </c>
      <c r="AH189" s="3" t="str">
        <f t="shared" si="37"/>
        <v>Medium</v>
      </c>
      <c r="AI189" s="3" t="str">
        <f t="shared" si="38"/>
        <v>Medium</v>
      </c>
      <c r="AJ189" s="3" t="str" cm="1">
        <f t="array" ref="AJ189">_xlfn.IFS(S189&gt;=80000,"VIP",S189&gt;=40000,"Gold",S189&gt;=15000,"Silver",TRUE,"Bronze")</f>
        <v>Silver</v>
      </c>
    </row>
    <row r="190" spans="1:36" x14ac:dyDescent="0.3">
      <c r="A190" s="3" t="s">
        <v>603</v>
      </c>
      <c r="B190" s="15">
        <v>46181</v>
      </c>
      <c r="C190" s="15">
        <v>46184</v>
      </c>
      <c r="D190" s="3" t="s">
        <v>604</v>
      </c>
      <c r="E190" s="3" t="s">
        <v>77</v>
      </c>
      <c r="F190" s="3" t="s">
        <v>52</v>
      </c>
      <c r="G190" s="3">
        <v>27</v>
      </c>
      <c r="H190" s="3" t="s">
        <v>60</v>
      </c>
      <c r="I190" s="3" t="s">
        <v>61</v>
      </c>
      <c r="J190" s="3" t="s">
        <v>42</v>
      </c>
      <c r="K190" s="3" t="s">
        <v>96</v>
      </c>
      <c r="L190" s="3" t="s">
        <v>166</v>
      </c>
      <c r="M190" s="3" t="s">
        <v>97</v>
      </c>
      <c r="N190" s="3" t="s">
        <v>98</v>
      </c>
      <c r="O190" s="3" t="s">
        <v>99</v>
      </c>
      <c r="P190" s="3">
        <v>5</v>
      </c>
      <c r="Q190" s="9">
        <v>4500</v>
      </c>
      <c r="R190" s="6">
        <v>0.08</v>
      </c>
      <c r="S190" s="12">
        <f t="shared" si="26"/>
        <v>20700</v>
      </c>
      <c r="T190" s="12">
        <v>3000</v>
      </c>
      <c r="U190" s="9">
        <f t="shared" si="27"/>
        <v>5700</v>
      </c>
      <c r="V190" s="6">
        <f t="shared" si="28"/>
        <v>0.27536231884057971</v>
      </c>
      <c r="W190" s="3" t="s">
        <v>65</v>
      </c>
      <c r="X190" s="3" t="s">
        <v>74</v>
      </c>
      <c r="Y190" s="3">
        <f t="shared" si="29"/>
        <v>3</v>
      </c>
      <c r="Z190" s="3" t="str">
        <f t="shared" si="30"/>
        <v>Regular</v>
      </c>
      <c r="AA190" s="3">
        <v>2</v>
      </c>
      <c r="AB190" s="3" t="str">
        <f t="shared" si="31"/>
        <v>Average</v>
      </c>
      <c r="AC190" s="3" t="str">
        <f t="shared" si="32"/>
        <v>June</v>
      </c>
      <c r="AD190" s="3" t="str">
        <f t="shared" si="33"/>
        <v>Q2</v>
      </c>
      <c r="AE190" s="3">
        <f t="shared" si="34"/>
        <v>2026</v>
      </c>
      <c r="AF190" s="3" t="str">
        <f t="shared" si="35"/>
        <v>Monday</v>
      </c>
      <c r="AG190" s="3" t="str">
        <f t="shared" si="36"/>
        <v>26-35</v>
      </c>
      <c r="AH190" s="3" t="str">
        <f t="shared" si="37"/>
        <v>Medium</v>
      </c>
      <c r="AI190" s="3" t="str">
        <f t="shared" si="38"/>
        <v>Medium</v>
      </c>
      <c r="AJ190" s="3" t="str" cm="1">
        <f t="array" ref="AJ190">_xlfn.IFS(S190&gt;=80000,"VIP",S190&gt;=40000,"Gold",S190&gt;=15000,"Silver",TRUE,"Bronze")</f>
        <v>Silver</v>
      </c>
    </row>
    <row r="191" spans="1:36" x14ac:dyDescent="0.3">
      <c r="A191" s="3" t="s">
        <v>605</v>
      </c>
      <c r="B191" s="15">
        <v>46269</v>
      </c>
      <c r="C191" s="15">
        <v>46272</v>
      </c>
      <c r="D191" s="3" t="s">
        <v>606</v>
      </c>
      <c r="E191" s="3" t="s">
        <v>359</v>
      </c>
      <c r="F191" s="3" t="s">
        <v>52</v>
      </c>
      <c r="G191" s="3">
        <v>42</v>
      </c>
      <c r="H191" s="3" t="s">
        <v>60</v>
      </c>
      <c r="I191" s="3" t="s">
        <v>61</v>
      </c>
      <c r="J191" s="3" t="s">
        <v>42</v>
      </c>
      <c r="K191" s="3" t="s">
        <v>105</v>
      </c>
      <c r="L191" s="3" t="s">
        <v>112</v>
      </c>
      <c r="M191" s="3" t="s">
        <v>113</v>
      </c>
      <c r="N191" s="3" t="s">
        <v>114</v>
      </c>
      <c r="O191" s="3" t="s">
        <v>115</v>
      </c>
      <c r="P191" s="3">
        <v>2</v>
      </c>
      <c r="Q191" s="9">
        <v>3500</v>
      </c>
      <c r="R191" s="6">
        <v>0.2</v>
      </c>
      <c r="S191" s="12">
        <f t="shared" si="26"/>
        <v>5600</v>
      </c>
      <c r="T191" s="12">
        <v>2500</v>
      </c>
      <c r="U191" s="9">
        <f t="shared" si="27"/>
        <v>600</v>
      </c>
      <c r="V191" s="6">
        <f t="shared" si="28"/>
        <v>0.10714285714285714</v>
      </c>
      <c r="W191" s="3" t="s">
        <v>73</v>
      </c>
      <c r="X191" s="3" t="s">
        <v>101</v>
      </c>
      <c r="Y191" s="3">
        <f t="shared" si="29"/>
        <v>3</v>
      </c>
      <c r="Z191" s="3" t="str">
        <f t="shared" si="30"/>
        <v>Regular</v>
      </c>
      <c r="AA191" s="3">
        <v>4</v>
      </c>
      <c r="AB191" s="3" t="str">
        <f t="shared" si="31"/>
        <v>Excellent</v>
      </c>
      <c r="AC191" s="3" t="str">
        <f t="shared" si="32"/>
        <v>September</v>
      </c>
      <c r="AD191" s="3" t="str">
        <f t="shared" si="33"/>
        <v>Q3</v>
      </c>
      <c r="AE191" s="3">
        <f t="shared" si="34"/>
        <v>2026</v>
      </c>
      <c r="AF191" s="3" t="str">
        <f t="shared" si="35"/>
        <v>Friday</v>
      </c>
      <c r="AG191" s="3" t="str">
        <f t="shared" si="36"/>
        <v>36-45</v>
      </c>
      <c r="AH191" s="3" t="str">
        <f t="shared" si="37"/>
        <v>Small</v>
      </c>
      <c r="AI191" s="3" t="str">
        <f t="shared" si="38"/>
        <v>High</v>
      </c>
      <c r="AJ191" s="3" t="str" cm="1">
        <f t="array" ref="AJ191">_xlfn.IFS(S191&gt;=80000,"VIP",S191&gt;=40000,"Gold",S191&gt;=15000,"Silver",TRUE,"Bronze")</f>
        <v>Bronze</v>
      </c>
    </row>
    <row r="192" spans="1:36" x14ac:dyDescent="0.3">
      <c r="A192" s="3" t="s">
        <v>607</v>
      </c>
      <c r="B192" s="15">
        <v>46087</v>
      </c>
      <c r="C192" s="15">
        <v>46090</v>
      </c>
      <c r="D192" s="3" t="s">
        <v>608</v>
      </c>
      <c r="E192" s="3" t="s">
        <v>549</v>
      </c>
      <c r="F192" s="3" t="s">
        <v>39</v>
      </c>
      <c r="G192" s="3">
        <v>28</v>
      </c>
      <c r="H192" s="3" t="s">
        <v>53</v>
      </c>
      <c r="I192" s="3" t="s">
        <v>41</v>
      </c>
      <c r="J192" s="3" t="s">
        <v>42</v>
      </c>
      <c r="K192" s="3" t="s">
        <v>96</v>
      </c>
      <c r="L192" s="3" t="s">
        <v>166</v>
      </c>
      <c r="M192" s="3" t="s">
        <v>97</v>
      </c>
      <c r="N192" s="3" t="s">
        <v>98</v>
      </c>
      <c r="O192" s="3" t="s">
        <v>99</v>
      </c>
      <c r="P192" s="3">
        <v>4</v>
      </c>
      <c r="Q192" s="9">
        <v>4500</v>
      </c>
      <c r="R192" s="6">
        <v>0.05</v>
      </c>
      <c r="S192" s="12">
        <f t="shared" si="26"/>
        <v>17100</v>
      </c>
      <c r="T192" s="12">
        <v>3000</v>
      </c>
      <c r="U192" s="9">
        <f t="shared" si="27"/>
        <v>5100</v>
      </c>
      <c r="V192" s="6">
        <f t="shared" si="28"/>
        <v>0.2982456140350877</v>
      </c>
      <c r="W192" s="3" t="s">
        <v>73</v>
      </c>
      <c r="X192" s="3" t="s">
        <v>101</v>
      </c>
      <c r="Y192" s="3">
        <f t="shared" si="29"/>
        <v>3</v>
      </c>
      <c r="Z192" s="3" t="str">
        <f t="shared" si="30"/>
        <v>Regular</v>
      </c>
      <c r="AA192" s="3">
        <v>4</v>
      </c>
      <c r="AB192" s="3" t="str">
        <f t="shared" si="31"/>
        <v>Excellent</v>
      </c>
      <c r="AC192" s="3" t="str">
        <f t="shared" si="32"/>
        <v>March</v>
      </c>
      <c r="AD192" s="3" t="str">
        <f t="shared" si="33"/>
        <v>Q1</v>
      </c>
      <c r="AE192" s="3">
        <f t="shared" si="34"/>
        <v>2026</v>
      </c>
      <c r="AF192" s="3" t="str">
        <f t="shared" si="35"/>
        <v>Friday</v>
      </c>
      <c r="AG192" s="3" t="str">
        <f t="shared" si="36"/>
        <v>26-35</v>
      </c>
      <c r="AH192" s="3" t="str">
        <f t="shared" si="37"/>
        <v>Medium</v>
      </c>
      <c r="AI192" s="3" t="str">
        <f t="shared" si="38"/>
        <v>Low</v>
      </c>
      <c r="AJ192" s="3" t="str" cm="1">
        <f t="array" ref="AJ192">_xlfn.IFS(S192&gt;=80000,"VIP",S192&gt;=40000,"Gold",S192&gt;=15000,"Silver",TRUE,"Bronze")</f>
        <v>Silver</v>
      </c>
    </row>
    <row r="193" spans="1:36" x14ac:dyDescent="0.3">
      <c r="A193" s="3" t="s">
        <v>609</v>
      </c>
      <c r="B193" s="15">
        <v>46023</v>
      </c>
      <c r="C193" s="15">
        <v>46026</v>
      </c>
      <c r="D193" s="3" t="s">
        <v>610</v>
      </c>
      <c r="E193" s="3" t="s">
        <v>77</v>
      </c>
      <c r="F193" s="3" t="s">
        <v>52</v>
      </c>
      <c r="G193" s="3">
        <v>24</v>
      </c>
      <c r="H193" s="3" t="s">
        <v>60</v>
      </c>
      <c r="I193" s="3" t="s">
        <v>61</v>
      </c>
      <c r="J193" s="3" t="s">
        <v>42</v>
      </c>
      <c r="K193" s="3" t="s">
        <v>54</v>
      </c>
      <c r="L193" s="3" t="s">
        <v>173</v>
      </c>
      <c r="M193" s="3" t="s">
        <v>45</v>
      </c>
      <c r="N193" s="3" t="s">
        <v>46</v>
      </c>
      <c r="O193" s="3" t="s">
        <v>55</v>
      </c>
      <c r="P193" s="3">
        <v>3</v>
      </c>
      <c r="Q193" s="9">
        <v>79900</v>
      </c>
      <c r="R193" s="6">
        <v>0.15</v>
      </c>
      <c r="S193" s="12">
        <f t="shared" si="26"/>
        <v>203745</v>
      </c>
      <c r="T193" s="12">
        <v>65000</v>
      </c>
      <c r="U193" s="9">
        <f t="shared" si="27"/>
        <v>8745</v>
      </c>
      <c r="V193" s="6">
        <f t="shared" si="28"/>
        <v>4.292129868217625E-2</v>
      </c>
      <c r="W193" s="3" t="s">
        <v>100</v>
      </c>
      <c r="X193" s="3" t="s">
        <v>74</v>
      </c>
      <c r="Y193" s="3">
        <f t="shared" si="29"/>
        <v>3</v>
      </c>
      <c r="Z193" s="3" t="str">
        <f t="shared" si="30"/>
        <v>Premium</v>
      </c>
      <c r="AA193" s="3">
        <v>4</v>
      </c>
      <c r="AB193" s="3" t="str">
        <f t="shared" si="31"/>
        <v>Excellent</v>
      </c>
      <c r="AC193" s="3" t="str">
        <f t="shared" si="32"/>
        <v>January</v>
      </c>
      <c r="AD193" s="3" t="str">
        <f t="shared" si="33"/>
        <v>Q1</v>
      </c>
      <c r="AE193" s="3">
        <f t="shared" si="34"/>
        <v>2026</v>
      </c>
      <c r="AF193" s="3" t="str">
        <f t="shared" si="35"/>
        <v>Thursday</v>
      </c>
      <c r="AG193" s="3" t="str">
        <f t="shared" si="36"/>
        <v>18-25</v>
      </c>
      <c r="AH193" s="3" t="str">
        <f t="shared" si="37"/>
        <v>Large</v>
      </c>
      <c r="AI193" s="3" t="str">
        <f t="shared" si="38"/>
        <v>Medium</v>
      </c>
      <c r="AJ193" s="3" t="str" cm="1">
        <f t="array" ref="AJ193">_xlfn.IFS(S193&gt;=80000,"VIP",S193&gt;=40000,"Gold",S193&gt;=15000,"Silver",TRUE,"Bronze")</f>
        <v>VIP</v>
      </c>
    </row>
    <row r="194" spans="1:36" x14ac:dyDescent="0.3">
      <c r="A194" s="3" t="s">
        <v>611</v>
      </c>
      <c r="B194" s="15">
        <v>46382</v>
      </c>
      <c r="C194" s="15">
        <v>46388</v>
      </c>
      <c r="D194" s="3" t="s">
        <v>612</v>
      </c>
      <c r="E194" s="3" t="s">
        <v>613</v>
      </c>
      <c r="F194" s="3" t="s">
        <v>52</v>
      </c>
      <c r="G194" s="3">
        <v>22</v>
      </c>
      <c r="H194" s="3" t="s">
        <v>40</v>
      </c>
      <c r="I194" s="3" t="s">
        <v>41</v>
      </c>
      <c r="J194" s="3" t="s">
        <v>42</v>
      </c>
      <c r="K194" s="3" t="s">
        <v>96</v>
      </c>
      <c r="L194" s="3" t="s">
        <v>166</v>
      </c>
      <c r="M194" s="3" t="s">
        <v>97</v>
      </c>
      <c r="N194" s="3" t="s">
        <v>98</v>
      </c>
      <c r="O194" s="3" t="s">
        <v>99</v>
      </c>
      <c r="P194" s="3">
        <v>1</v>
      </c>
      <c r="Q194" s="9">
        <v>4500</v>
      </c>
      <c r="R194" s="6">
        <v>0.2</v>
      </c>
      <c r="S194" s="12">
        <f t="shared" ref="S194:S257" si="39">P194*Q194*(1-R194)</f>
        <v>3600</v>
      </c>
      <c r="T194" s="12">
        <v>3000</v>
      </c>
      <c r="U194" s="9">
        <f t="shared" ref="U194:U257" si="40">S194-(T194*P194)</f>
        <v>600</v>
      </c>
      <c r="V194" s="6">
        <f t="shared" ref="V194:V257" si="41">U194/S194</f>
        <v>0.16666666666666666</v>
      </c>
      <c r="W194" s="3" t="s">
        <v>92</v>
      </c>
      <c r="X194" s="3" t="s">
        <v>106</v>
      </c>
      <c r="Y194" s="3">
        <f t="shared" ref="Y194:Y257" si="42">C194-B194</f>
        <v>6</v>
      </c>
      <c r="Z194" s="3" t="str">
        <f t="shared" ref="Z194:Z257" si="43">IF(S194&gt;=50000,"Premium","Regular")</f>
        <v>Regular</v>
      </c>
      <c r="AA194" s="3">
        <v>4</v>
      </c>
      <c r="AB194" s="3" t="str">
        <f t="shared" ref="AB194:AB257" si="44">IF(AA194&gt;=4,"Excellent","Average")</f>
        <v>Excellent</v>
      </c>
      <c r="AC194" s="3" t="str">
        <f t="shared" ref="AC194:AC257" si="45">TEXT(B194,"mmmm")</f>
        <v>December</v>
      </c>
      <c r="AD194" s="3" t="str">
        <f t="shared" ref="AD194:AD257" si="46">"Q"&amp;ROUNDUP(MONTH(B194)/3,0)</f>
        <v>Q4</v>
      </c>
      <c r="AE194" s="3">
        <f t="shared" ref="AE194:AE257" si="47">YEAR(B194)</f>
        <v>2026</v>
      </c>
      <c r="AF194" s="3" t="str">
        <f t="shared" ref="AF194:AF257" si="48">TEXT(B194,"dddd")</f>
        <v>Saturday</v>
      </c>
      <c r="AG194" s="3" t="str">
        <f t="shared" ref="AG194:AG257" si="49">IF(G194&lt;=25,"18-25",IF(G194&lt;=35,"26-35",IF(G194&lt;=45,"36-45","46+")))</f>
        <v>18-25</v>
      </c>
      <c r="AH194" s="3" t="str">
        <f t="shared" ref="AH194:AH257" si="50">IF(S194&lt;10000,"Small",IF(S194&lt;30000,"Medium","Large"))</f>
        <v>Small</v>
      </c>
      <c r="AI194" s="3" t="str">
        <f t="shared" ref="AI194:AI257" si="51">IF(R194&lt;=5%,"Low",IF(R194&lt;=15%,"Medium","High"))</f>
        <v>High</v>
      </c>
      <c r="AJ194" s="3" t="str" cm="1">
        <f t="array" ref="AJ194">_xlfn.IFS(S194&gt;=80000,"VIP",S194&gt;=40000,"Gold",S194&gt;=15000,"Silver",TRUE,"Bronze")</f>
        <v>Bronze</v>
      </c>
    </row>
    <row r="195" spans="1:36" x14ac:dyDescent="0.3">
      <c r="A195" s="3" t="s">
        <v>614</v>
      </c>
      <c r="B195" s="15">
        <v>46042</v>
      </c>
      <c r="C195" s="15">
        <v>46047</v>
      </c>
      <c r="D195" s="3" t="s">
        <v>615</v>
      </c>
      <c r="E195" s="3" t="s">
        <v>474</v>
      </c>
      <c r="F195" s="3" t="s">
        <v>52</v>
      </c>
      <c r="G195" s="3">
        <v>42</v>
      </c>
      <c r="H195" s="3" t="s">
        <v>60</v>
      </c>
      <c r="I195" s="3" t="s">
        <v>61</v>
      </c>
      <c r="J195" s="3" t="s">
        <v>42</v>
      </c>
      <c r="K195" s="3" t="s">
        <v>62</v>
      </c>
      <c r="L195" s="3" t="s">
        <v>163</v>
      </c>
      <c r="M195" s="3" t="s">
        <v>45</v>
      </c>
      <c r="N195" s="3" t="s">
        <v>63</v>
      </c>
      <c r="O195" s="3" t="s">
        <v>64</v>
      </c>
      <c r="P195" s="3">
        <v>5</v>
      </c>
      <c r="Q195" s="9">
        <v>62000</v>
      </c>
      <c r="R195" s="6">
        <v>0.12</v>
      </c>
      <c r="S195" s="12">
        <f t="shared" si="39"/>
        <v>272800</v>
      </c>
      <c r="T195" s="12">
        <v>52000</v>
      </c>
      <c r="U195" s="9">
        <f t="shared" si="40"/>
        <v>12800</v>
      </c>
      <c r="V195" s="6">
        <f t="shared" si="41"/>
        <v>4.6920821114369501E-2</v>
      </c>
      <c r="W195" s="3" t="s">
        <v>65</v>
      </c>
      <c r="X195" s="3" t="s">
        <v>74</v>
      </c>
      <c r="Y195" s="3">
        <f t="shared" si="42"/>
        <v>5</v>
      </c>
      <c r="Z195" s="3" t="str">
        <f t="shared" si="43"/>
        <v>Premium</v>
      </c>
      <c r="AA195" s="3">
        <v>4</v>
      </c>
      <c r="AB195" s="3" t="str">
        <f t="shared" si="44"/>
        <v>Excellent</v>
      </c>
      <c r="AC195" s="3" t="str">
        <f t="shared" si="45"/>
        <v>January</v>
      </c>
      <c r="AD195" s="3" t="str">
        <f t="shared" si="46"/>
        <v>Q1</v>
      </c>
      <c r="AE195" s="3">
        <f t="shared" si="47"/>
        <v>2026</v>
      </c>
      <c r="AF195" s="3" t="str">
        <f t="shared" si="48"/>
        <v>Tuesday</v>
      </c>
      <c r="AG195" s="3" t="str">
        <f t="shared" si="49"/>
        <v>36-45</v>
      </c>
      <c r="AH195" s="3" t="str">
        <f t="shared" si="50"/>
        <v>Large</v>
      </c>
      <c r="AI195" s="3" t="str">
        <f t="shared" si="51"/>
        <v>Medium</v>
      </c>
      <c r="AJ195" s="3" t="str" cm="1">
        <f t="array" ref="AJ195">_xlfn.IFS(S195&gt;=80000,"VIP",S195&gt;=40000,"Gold",S195&gt;=15000,"Silver",TRUE,"Bronze")</f>
        <v>VIP</v>
      </c>
    </row>
    <row r="196" spans="1:36" x14ac:dyDescent="0.3">
      <c r="A196" s="3" t="s">
        <v>616</v>
      </c>
      <c r="B196" s="15">
        <v>46231</v>
      </c>
      <c r="C196" s="15">
        <v>46236</v>
      </c>
      <c r="D196" s="3" t="s">
        <v>617</v>
      </c>
      <c r="E196" s="3" t="s">
        <v>165</v>
      </c>
      <c r="F196" s="3" t="s">
        <v>39</v>
      </c>
      <c r="G196" s="3">
        <v>40</v>
      </c>
      <c r="H196" s="3" t="s">
        <v>53</v>
      </c>
      <c r="I196" s="3" t="s">
        <v>41</v>
      </c>
      <c r="J196" s="3" t="s">
        <v>42</v>
      </c>
      <c r="K196" s="3" t="s">
        <v>90</v>
      </c>
      <c r="L196" s="3" t="s">
        <v>122</v>
      </c>
      <c r="M196" s="3" t="s">
        <v>45</v>
      </c>
      <c r="N196" s="3" t="s">
        <v>91</v>
      </c>
      <c r="O196" s="3" t="s">
        <v>123</v>
      </c>
      <c r="P196" s="3">
        <v>5</v>
      </c>
      <c r="Q196" s="9">
        <v>2500</v>
      </c>
      <c r="R196" s="6">
        <v>0.1</v>
      </c>
      <c r="S196" s="12">
        <f t="shared" si="39"/>
        <v>11250</v>
      </c>
      <c r="T196" s="12">
        <v>1700</v>
      </c>
      <c r="U196" s="9">
        <f t="shared" si="40"/>
        <v>2750</v>
      </c>
      <c r="V196" s="6">
        <f t="shared" si="41"/>
        <v>0.24444444444444444</v>
      </c>
      <c r="W196" s="3" t="s">
        <v>56</v>
      </c>
      <c r="X196" s="3" t="s">
        <v>74</v>
      </c>
      <c r="Y196" s="3">
        <f t="shared" si="42"/>
        <v>5</v>
      </c>
      <c r="Z196" s="3" t="str">
        <f t="shared" si="43"/>
        <v>Regular</v>
      </c>
      <c r="AA196" s="3">
        <v>5</v>
      </c>
      <c r="AB196" s="3" t="str">
        <f t="shared" si="44"/>
        <v>Excellent</v>
      </c>
      <c r="AC196" s="3" t="str">
        <f t="shared" si="45"/>
        <v>July</v>
      </c>
      <c r="AD196" s="3" t="str">
        <f t="shared" si="46"/>
        <v>Q3</v>
      </c>
      <c r="AE196" s="3">
        <f t="shared" si="47"/>
        <v>2026</v>
      </c>
      <c r="AF196" s="3" t="str">
        <f t="shared" si="48"/>
        <v>Tuesday</v>
      </c>
      <c r="AG196" s="3" t="str">
        <f t="shared" si="49"/>
        <v>36-45</v>
      </c>
      <c r="AH196" s="3" t="str">
        <f t="shared" si="50"/>
        <v>Medium</v>
      </c>
      <c r="AI196" s="3" t="str">
        <f t="shared" si="51"/>
        <v>Medium</v>
      </c>
      <c r="AJ196" s="3" t="str" cm="1">
        <f t="array" ref="AJ196">_xlfn.IFS(S196&gt;=80000,"VIP",S196&gt;=40000,"Gold",S196&gt;=15000,"Silver",TRUE,"Bronze")</f>
        <v>Bronze</v>
      </c>
    </row>
    <row r="197" spans="1:36" x14ac:dyDescent="0.3">
      <c r="A197" s="3" t="s">
        <v>618</v>
      </c>
      <c r="B197" s="15">
        <v>46315</v>
      </c>
      <c r="C197" s="15">
        <v>46317</v>
      </c>
      <c r="D197" s="3" t="s">
        <v>619</v>
      </c>
      <c r="E197" s="3" t="s">
        <v>38</v>
      </c>
      <c r="F197" s="3" t="s">
        <v>52</v>
      </c>
      <c r="G197" s="3">
        <v>45</v>
      </c>
      <c r="H197" s="3" t="s">
        <v>88</v>
      </c>
      <c r="I197" s="3" t="s">
        <v>89</v>
      </c>
      <c r="J197" s="3" t="s">
        <v>80</v>
      </c>
      <c r="K197" s="3" t="s">
        <v>70</v>
      </c>
      <c r="L197" s="3" t="s">
        <v>71</v>
      </c>
      <c r="M197" s="3" t="s">
        <v>45</v>
      </c>
      <c r="N197" s="3" t="s">
        <v>63</v>
      </c>
      <c r="O197" s="3" t="s">
        <v>72</v>
      </c>
      <c r="P197" s="3">
        <v>5</v>
      </c>
      <c r="Q197" s="9">
        <v>58000</v>
      </c>
      <c r="R197" s="6">
        <v>0.12</v>
      </c>
      <c r="S197" s="12">
        <f t="shared" si="39"/>
        <v>255200</v>
      </c>
      <c r="T197" s="12">
        <v>49000</v>
      </c>
      <c r="U197" s="9">
        <f t="shared" si="40"/>
        <v>10200</v>
      </c>
      <c r="V197" s="6">
        <f t="shared" si="41"/>
        <v>3.9968652037617555E-2</v>
      </c>
      <c r="W197" s="3" t="s">
        <v>100</v>
      </c>
      <c r="X197" s="3" t="s">
        <v>49</v>
      </c>
      <c r="Y197" s="3">
        <f t="shared" si="42"/>
        <v>2</v>
      </c>
      <c r="Z197" s="3" t="str">
        <f t="shared" si="43"/>
        <v>Premium</v>
      </c>
      <c r="AA197" s="3">
        <v>3</v>
      </c>
      <c r="AB197" s="3" t="str">
        <f t="shared" si="44"/>
        <v>Average</v>
      </c>
      <c r="AC197" s="3" t="str">
        <f t="shared" si="45"/>
        <v>October</v>
      </c>
      <c r="AD197" s="3" t="str">
        <f t="shared" si="46"/>
        <v>Q4</v>
      </c>
      <c r="AE197" s="3">
        <f t="shared" si="47"/>
        <v>2026</v>
      </c>
      <c r="AF197" s="3" t="str">
        <f t="shared" si="48"/>
        <v>Tuesday</v>
      </c>
      <c r="AG197" s="3" t="str">
        <f t="shared" si="49"/>
        <v>36-45</v>
      </c>
      <c r="AH197" s="3" t="str">
        <f t="shared" si="50"/>
        <v>Large</v>
      </c>
      <c r="AI197" s="3" t="str">
        <f t="shared" si="51"/>
        <v>Medium</v>
      </c>
      <c r="AJ197" s="3" t="str" cm="1">
        <f t="array" ref="AJ197">_xlfn.IFS(S197&gt;=80000,"VIP",S197&gt;=40000,"Gold",S197&gt;=15000,"Silver",TRUE,"Bronze")</f>
        <v>VIP</v>
      </c>
    </row>
    <row r="198" spans="1:36" x14ac:dyDescent="0.3">
      <c r="A198" s="3" t="s">
        <v>620</v>
      </c>
      <c r="B198" s="15">
        <v>46278</v>
      </c>
      <c r="C198" s="15">
        <v>46283</v>
      </c>
      <c r="D198" s="3" t="s">
        <v>621</v>
      </c>
      <c r="E198" s="3" t="s">
        <v>333</v>
      </c>
      <c r="F198" s="3" t="s">
        <v>39</v>
      </c>
      <c r="G198" s="3">
        <v>37</v>
      </c>
      <c r="H198" s="3" t="s">
        <v>119</v>
      </c>
      <c r="I198" s="3" t="s">
        <v>120</v>
      </c>
      <c r="J198" s="3" t="s">
        <v>121</v>
      </c>
      <c r="K198" s="3" t="s">
        <v>54</v>
      </c>
      <c r="L198" s="3" t="s">
        <v>173</v>
      </c>
      <c r="M198" s="3" t="s">
        <v>45</v>
      </c>
      <c r="N198" s="3" t="s">
        <v>46</v>
      </c>
      <c r="O198" s="3" t="s">
        <v>55</v>
      </c>
      <c r="P198" s="3">
        <v>2</v>
      </c>
      <c r="Q198" s="9">
        <v>79900</v>
      </c>
      <c r="R198" s="6">
        <v>0.15</v>
      </c>
      <c r="S198" s="12">
        <f t="shared" si="39"/>
        <v>135830</v>
      </c>
      <c r="T198" s="12">
        <v>65000</v>
      </c>
      <c r="U198" s="9">
        <f t="shared" si="40"/>
        <v>5830</v>
      </c>
      <c r="V198" s="6">
        <f t="shared" si="41"/>
        <v>4.292129868217625E-2</v>
      </c>
      <c r="W198" s="3" t="s">
        <v>56</v>
      </c>
      <c r="X198" s="3" t="s">
        <v>106</v>
      </c>
      <c r="Y198" s="3">
        <f t="shared" si="42"/>
        <v>5</v>
      </c>
      <c r="Z198" s="3" t="str">
        <f t="shared" si="43"/>
        <v>Premium</v>
      </c>
      <c r="AA198" s="3">
        <v>2</v>
      </c>
      <c r="AB198" s="3" t="str">
        <f t="shared" si="44"/>
        <v>Average</v>
      </c>
      <c r="AC198" s="3" t="str">
        <f t="shared" si="45"/>
        <v>September</v>
      </c>
      <c r="AD198" s="3" t="str">
        <f t="shared" si="46"/>
        <v>Q3</v>
      </c>
      <c r="AE198" s="3">
        <f t="shared" si="47"/>
        <v>2026</v>
      </c>
      <c r="AF198" s="3" t="str">
        <f t="shared" si="48"/>
        <v>Sunday</v>
      </c>
      <c r="AG198" s="3" t="str">
        <f t="shared" si="49"/>
        <v>36-45</v>
      </c>
      <c r="AH198" s="3" t="str">
        <f t="shared" si="50"/>
        <v>Large</v>
      </c>
      <c r="AI198" s="3" t="str">
        <f t="shared" si="51"/>
        <v>Medium</v>
      </c>
      <c r="AJ198" s="3" t="str" cm="1">
        <f t="array" ref="AJ198">_xlfn.IFS(S198&gt;=80000,"VIP",S198&gt;=40000,"Gold",S198&gt;=15000,"Silver",TRUE,"Bronze")</f>
        <v>VIP</v>
      </c>
    </row>
    <row r="199" spans="1:36" x14ac:dyDescent="0.3">
      <c r="A199" s="3" t="s">
        <v>622</v>
      </c>
      <c r="B199" s="15">
        <v>46063</v>
      </c>
      <c r="C199" s="15">
        <v>46067</v>
      </c>
      <c r="D199" s="3" t="s">
        <v>623</v>
      </c>
      <c r="E199" s="3" t="s">
        <v>624</v>
      </c>
      <c r="F199" s="3" t="s">
        <v>39</v>
      </c>
      <c r="G199" s="3">
        <v>42</v>
      </c>
      <c r="H199" s="3" t="s">
        <v>68</v>
      </c>
      <c r="I199" s="3" t="s">
        <v>68</v>
      </c>
      <c r="J199" s="3" t="s">
        <v>69</v>
      </c>
      <c r="K199" s="3" t="s">
        <v>96</v>
      </c>
      <c r="L199" s="3" t="s">
        <v>166</v>
      </c>
      <c r="M199" s="3" t="s">
        <v>97</v>
      </c>
      <c r="N199" s="3" t="s">
        <v>98</v>
      </c>
      <c r="O199" s="3" t="s">
        <v>99</v>
      </c>
      <c r="P199" s="3">
        <v>5</v>
      </c>
      <c r="Q199" s="9">
        <v>4500</v>
      </c>
      <c r="R199" s="6">
        <v>0.12</v>
      </c>
      <c r="S199" s="12">
        <f t="shared" si="39"/>
        <v>19800</v>
      </c>
      <c r="T199" s="12">
        <v>3000</v>
      </c>
      <c r="U199" s="9">
        <f t="shared" si="40"/>
        <v>4800</v>
      </c>
      <c r="V199" s="6">
        <f t="shared" si="41"/>
        <v>0.24242424242424243</v>
      </c>
      <c r="W199" s="3" t="s">
        <v>65</v>
      </c>
      <c r="X199" s="3" t="s">
        <v>101</v>
      </c>
      <c r="Y199" s="3">
        <f t="shared" si="42"/>
        <v>4</v>
      </c>
      <c r="Z199" s="3" t="str">
        <f t="shared" si="43"/>
        <v>Regular</v>
      </c>
      <c r="AA199" s="3">
        <v>3</v>
      </c>
      <c r="AB199" s="3" t="str">
        <f t="shared" si="44"/>
        <v>Average</v>
      </c>
      <c r="AC199" s="3" t="str">
        <f t="shared" si="45"/>
        <v>February</v>
      </c>
      <c r="AD199" s="3" t="str">
        <f t="shared" si="46"/>
        <v>Q1</v>
      </c>
      <c r="AE199" s="3">
        <f t="shared" si="47"/>
        <v>2026</v>
      </c>
      <c r="AF199" s="3" t="str">
        <f t="shared" si="48"/>
        <v>Tuesday</v>
      </c>
      <c r="AG199" s="3" t="str">
        <f t="shared" si="49"/>
        <v>36-45</v>
      </c>
      <c r="AH199" s="3" t="str">
        <f t="shared" si="50"/>
        <v>Medium</v>
      </c>
      <c r="AI199" s="3" t="str">
        <f t="shared" si="51"/>
        <v>Medium</v>
      </c>
      <c r="AJ199" s="3" t="str" cm="1">
        <f t="array" ref="AJ199">_xlfn.IFS(S199&gt;=80000,"VIP",S199&gt;=40000,"Gold",S199&gt;=15000,"Silver",TRUE,"Bronze")</f>
        <v>Silver</v>
      </c>
    </row>
    <row r="200" spans="1:36" x14ac:dyDescent="0.3">
      <c r="A200" s="3" t="s">
        <v>625</v>
      </c>
      <c r="B200" s="15">
        <v>46283</v>
      </c>
      <c r="C200" s="15">
        <v>46287</v>
      </c>
      <c r="D200" s="3" t="s">
        <v>626</v>
      </c>
      <c r="E200" s="3" t="s">
        <v>144</v>
      </c>
      <c r="F200" s="3" t="s">
        <v>39</v>
      </c>
      <c r="G200" s="3">
        <v>44</v>
      </c>
      <c r="H200" s="3" t="s">
        <v>40</v>
      </c>
      <c r="I200" s="3" t="s">
        <v>41</v>
      </c>
      <c r="J200" s="3" t="s">
        <v>42</v>
      </c>
      <c r="K200" s="3" t="s">
        <v>43</v>
      </c>
      <c r="L200" s="3" t="s">
        <v>44</v>
      </c>
      <c r="M200" s="3" t="s">
        <v>45</v>
      </c>
      <c r="N200" s="3" t="s">
        <v>46</v>
      </c>
      <c r="O200" s="3" t="s">
        <v>47</v>
      </c>
      <c r="P200" s="3">
        <v>3</v>
      </c>
      <c r="Q200" s="9">
        <v>28500</v>
      </c>
      <c r="R200" s="6">
        <v>0.08</v>
      </c>
      <c r="S200" s="12">
        <f t="shared" si="39"/>
        <v>78660</v>
      </c>
      <c r="T200" s="12">
        <v>22000</v>
      </c>
      <c r="U200" s="9">
        <f t="shared" si="40"/>
        <v>12660</v>
      </c>
      <c r="V200" s="6">
        <f t="shared" si="41"/>
        <v>0.16094584286803967</v>
      </c>
      <c r="W200" s="3" t="s">
        <v>73</v>
      </c>
      <c r="X200" s="3" t="s">
        <v>49</v>
      </c>
      <c r="Y200" s="3">
        <f t="shared" si="42"/>
        <v>4</v>
      </c>
      <c r="Z200" s="3" t="str">
        <f t="shared" si="43"/>
        <v>Premium</v>
      </c>
      <c r="AA200" s="3">
        <v>4</v>
      </c>
      <c r="AB200" s="3" t="str">
        <f t="shared" si="44"/>
        <v>Excellent</v>
      </c>
      <c r="AC200" s="3" t="str">
        <f t="shared" si="45"/>
        <v>September</v>
      </c>
      <c r="AD200" s="3" t="str">
        <f t="shared" si="46"/>
        <v>Q3</v>
      </c>
      <c r="AE200" s="3">
        <f t="shared" si="47"/>
        <v>2026</v>
      </c>
      <c r="AF200" s="3" t="str">
        <f t="shared" si="48"/>
        <v>Friday</v>
      </c>
      <c r="AG200" s="3" t="str">
        <f t="shared" si="49"/>
        <v>36-45</v>
      </c>
      <c r="AH200" s="3" t="str">
        <f t="shared" si="50"/>
        <v>Large</v>
      </c>
      <c r="AI200" s="3" t="str">
        <f t="shared" si="51"/>
        <v>Medium</v>
      </c>
      <c r="AJ200" s="3" t="str" cm="1">
        <f t="array" ref="AJ200">_xlfn.IFS(S200&gt;=80000,"VIP",S200&gt;=40000,"Gold",S200&gt;=15000,"Silver",TRUE,"Bronze")</f>
        <v>Gold</v>
      </c>
    </row>
    <row r="201" spans="1:36" x14ac:dyDescent="0.3">
      <c r="A201" s="3" t="s">
        <v>627</v>
      </c>
      <c r="B201" s="15">
        <v>46279</v>
      </c>
      <c r="C201" s="15">
        <v>46285</v>
      </c>
      <c r="D201" s="3" t="s">
        <v>628</v>
      </c>
      <c r="E201" s="3" t="s">
        <v>320</v>
      </c>
      <c r="F201" s="3" t="s">
        <v>39</v>
      </c>
      <c r="G201" s="3">
        <v>27</v>
      </c>
      <c r="H201" s="3" t="s">
        <v>119</v>
      </c>
      <c r="I201" s="3" t="s">
        <v>120</v>
      </c>
      <c r="J201" s="3" t="s">
        <v>121</v>
      </c>
      <c r="K201" s="3" t="s">
        <v>105</v>
      </c>
      <c r="L201" s="3" t="s">
        <v>112</v>
      </c>
      <c r="M201" s="3" t="s">
        <v>113</v>
      </c>
      <c r="N201" s="3" t="s">
        <v>114</v>
      </c>
      <c r="O201" s="3" t="s">
        <v>115</v>
      </c>
      <c r="P201" s="3">
        <v>5</v>
      </c>
      <c r="Q201" s="9">
        <v>3500</v>
      </c>
      <c r="R201" s="6">
        <v>0.05</v>
      </c>
      <c r="S201" s="12">
        <f t="shared" si="39"/>
        <v>16625</v>
      </c>
      <c r="T201" s="12">
        <v>2500</v>
      </c>
      <c r="U201" s="9">
        <f t="shared" si="40"/>
        <v>4125</v>
      </c>
      <c r="V201" s="6">
        <f t="shared" si="41"/>
        <v>0.24812030075187969</v>
      </c>
      <c r="W201" s="3" t="s">
        <v>92</v>
      </c>
      <c r="X201" s="3" t="s">
        <v>106</v>
      </c>
      <c r="Y201" s="3">
        <f t="shared" si="42"/>
        <v>6</v>
      </c>
      <c r="Z201" s="3" t="str">
        <f t="shared" si="43"/>
        <v>Regular</v>
      </c>
      <c r="AA201" s="3">
        <v>5</v>
      </c>
      <c r="AB201" s="3" t="str">
        <f t="shared" si="44"/>
        <v>Excellent</v>
      </c>
      <c r="AC201" s="3" t="str">
        <f t="shared" si="45"/>
        <v>September</v>
      </c>
      <c r="AD201" s="3" t="str">
        <f t="shared" si="46"/>
        <v>Q3</v>
      </c>
      <c r="AE201" s="3">
        <f t="shared" si="47"/>
        <v>2026</v>
      </c>
      <c r="AF201" s="3" t="str">
        <f t="shared" si="48"/>
        <v>Monday</v>
      </c>
      <c r="AG201" s="3" t="str">
        <f t="shared" si="49"/>
        <v>26-35</v>
      </c>
      <c r="AH201" s="3" t="str">
        <f t="shared" si="50"/>
        <v>Medium</v>
      </c>
      <c r="AI201" s="3" t="str">
        <f t="shared" si="51"/>
        <v>Low</v>
      </c>
      <c r="AJ201" s="3" t="str" cm="1">
        <f t="array" ref="AJ201">_xlfn.IFS(S201&gt;=80000,"VIP",S201&gt;=40000,"Gold",S201&gt;=15000,"Silver",TRUE,"Bronze")</f>
        <v>Silver</v>
      </c>
    </row>
    <row r="202" spans="1:36" x14ac:dyDescent="0.3">
      <c r="A202" s="3" t="s">
        <v>629</v>
      </c>
      <c r="B202" s="15">
        <v>46056</v>
      </c>
      <c r="C202" s="15">
        <v>46060</v>
      </c>
      <c r="D202" s="3" t="s">
        <v>630</v>
      </c>
      <c r="E202" s="3" t="s">
        <v>347</v>
      </c>
      <c r="F202" s="3" t="s">
        <v>39</v>
      </c>
      <c r="G202" s="3">
        <v>35</v>
      </c>
      <c r="H202" s="3" t="s">
        <v>68</v>
      </c>
      <c r="I202" s="3" t="s">
        <v>68</v>
      </c>
      <c r="J202" s="3" t="s">
        <v>69</v>
      </c>
      <c r="K202" s="3" t="s">
        <v>43</v>
      </c>
      <c r="L202" s="3" t="s">
        <v>44</v>
      </c>
      <c r="M202" s="3" t="s">
        <v>45</v>
      </c>
      <c r="N202" s="3" t="s">
        <v>46</v>
      </c>
      <c r="O202" s="3" t="s">
        <v>47</v>
      </c>
      <c r="P202" s="3">
        <v>2</v>
      </c>
      <c r="Q202" s="9">
        <v>28500</v>
      </c>
      <c r="R202" s="6">
        <v>0.2</v>
      </c>
      <c r="S202" s="12">
        <f t="shared" si="39"/>
        <v>45600</v>
      </c>
      <c r="T202" s="12">
        <v>22000</v>
      </c>
      <c r="U202" s="9">
        <f t="shared" si="40"/>
        <v>1600</v>
      </c>
      <c r="V202" s="6">
        <f t="shared" si="41"/>
        <v>3.5087719298245612E-2</v>
      </c>
      <c r="W202" s="3" t="s">
        <v>48</v>
      </c>
      <c r="X202" s="3" t="s">
        <v>101</v>
      </c>
      <c r="Y202" s="3">
        <f t="shared" si="42"/>
        <v>4</v>
      </c>
      <c r="Z202" s="3" t="str">
        <f t="shared" si="43"/>
        <v>Regular</v>
      </c>
      <c r="AA202" s="3">
        <v>3</v>
      </c>
      <c r="AB202" s="3" t="str">
        <f t="shared" si="44"/>
        <v>Average</v>
      </c>
      <c r="AC202" s="3" t="str">
        <f t="shared" si="45"/>
        <v>February</v>
      </c>
      <c r="AD202" s="3" t="str">
        <f t="shared" si="46"/>
        <v>Q1</v>
      </c>
      <c r="AE202" s="3">
        <f t="shared" si="47"/>
        <v>2026</v>
      </c>
      <c r="AF202" s="3" t="str">
        <f t="shared" si="48"/>
        <v>Tuesday</v>
      </c>
      <c r="AG202" s="3" t="str">
        <f t="shared" si="49"/>
        <v>26-35</v>
      </c>
      <c r="AH202" s="3" t="str">
        <f t="shared" si="50"/>
        <v>Large</v>
      </c>
      <c r="AI202" s="3" t="str">
        <f t="shared" si="51"/>
        <v>High</v>
      </c>
      <c r="AJ202" s="3" t="str" cm="1">
        <f t="array" ref="AJ202">_xlfn.IFS(S202&gt;=80000,"VIP",S202&gt;=40000,"Gold",S202&gt;=15000,"Silver",TRUE,"Bronze")</f>
        <v>Gold</v>
      </c>
    </row>
    <row r="203" spans="1:36" x14ac:dyDescent="0.3">
      <c r="A203" s="3" t="s">
        <v>631</v>
      </c>
      <c r="B203" s="15">
        <v>46285</v>
      </c>
      <c r="C203" s="15">
        <v>46291</v>
      </c>
      <c r="D203" s="3" t="s">
        <v>632</v>
      </c>
      <c r="E203" s="3" t="s">
        <v>546</v>
      </c>
      <c r="F203" s="3" t="s">
        <v>39</v>
      </c>
      <c r="G203" s="3">
        <v>50</v>
      </c>
      <c r="H203" s="3" t="s">
        <v>60</v>
      </c>
      <c r="I203" s="3" t="s">
        <v>61</v>
      </c>
      <c r="J203" s="3" t="s">
        <v>42</v>
      </c>
      <c r="K203" s="3" t="s">
        <v>81</v>
      </c>
      <c r="L203" s="3" t="s">
        <v>82</v>
      </c>
      <c r="M203" s="3" t="s">
        <v>45</v>
      </c>
      <c r="N203" s="3" t="s">
        <v>83</v>
      </c>
      <c r="O203" s="3" t="s">
        <v>84</v>
      </c>
      <c r="P203" s="3">
        <v>2</v>
      </c>
      <c r="Q203" s="9">
        <v>42000</v>
      </c>
      <c r="R203" s="6">
        <v>0.2</v>
      </c>
      <c r="S203" s="12">
        <f t="shared" si="39"/>
        <v>67200</v>
      </c>
      <c r="T203" s="12">
        <v>35000</v>
      </c>
      <c r="U203" s="9">
        <f t="shared" si="40"/>
        <v>-2800</v>
      </c>
      <c r="V203" s="6">
        <f t="shared" si="41"/>
        <v>-4.1666666666666664E-2</v>
      </c>
      <c r="W203" s="3" t="s">
        <v>100</v>
      </c>
      <c r="X203" s="3" t="s">
        <v>49</v>
      </c>
      <c r="Y203" s="3">
        <f t="shared" si="42"/>
        <v>6</v>
      </c>
      <c r="Z203" s="3" t="str">
        <f t="shared" si="43"/>
        <v>Premium</v>
      </c>
      <c r="AA203" s="3">
        <v>3</v>
      </c>
      <c r="AB203" s="3" t="str">
        <f t="shared" si="44"/>
        <v>Average</v>
      </c>
      <c r="AC203" s="3" t="str">
        <f t="shared" si="45"/>
        <v>September</v>
      </c>
      <c r="AD203" s="3" t="str">
        <f t="shared" si="46"/>
        <v>Q3</v>
      </c>
      <c r="AE203" s="3">
        <f t="shared" si="47"/>
        <v>2026</v>
      </c>
      <c r="AF203" s="3" t="str">
        <f t="shared" si="48"/>
        <v>Sunday</v>
      </c>
      <c r="AG203" s="3" t="str">
        <f t="shared" si="49"/>
        <v>46+</v>
      </c>
      <c r="AH203" s="3" t="str">
        <f t="shared" si="50"/>
        <v>Large</v>
      </c>
      <c r="AI203" s="3" t="str">
        <f t="shared" si="51"/>
        <v>High</v>
      </c>
      <c r="AJ203" s="3" t="str" cm="1">
        <f t="array" ref="AJ203">_xlfn.IFS(S203&gt;=80000,"VIP",S203&gt;=40000,"Gold",S203&gt;=15000,"Silver",TRUE,"Bronze")</f>
        <v>Gold</v>
      </c>
    </row>
    <row r="204" spans="1:36" x14ac:dyDescent="0.3">
      <c r="A204" s="3" t="s">
        <v>633</v>
      </c>
      <c r="B204" s="15">
        <v>46282</v>
      </c>
      <c r="C204" s="15">
        <v>46284</v>
      </c>
      <c r="D204" s="3" t="s">
        <v>634</v>
      </c>
      <c r="E204" s="3" t="s">
        <v>317</v>
      </c>
      <c r="F204" s="3" t="s">
        <v>39</v>
      </c>
      <c r="G204" s="3">
        <v>34</v>
      </c>
      <c r="H204" s="3" t="s">
        <v>78</v>
      </c>
      <c r="I204" s="3" t="s">
        <v>79</v>
      </c>
      <c r="J204" s="3" t="s">
        <v>80</v>
      </c>
      <c r="K204" s="3" t="s">
        <v>90</v>
      </c>
      <c r="L204" s="3" t="s">
        <v>122</v>
      </c>
      <c r="M204" s="3" t="s">
        <v>45</v>
      </c>
      <c r="N204" s="3" t="s">
        <v>91</v>
      </c>
      <c r="O204" s="3" t="s">
        <v>123</v>
      </c>
      <c r="P204" s="3">
        <v>5</v>
      </c>
      <c r="Q204" s="9">
        <v>2500</v>
      </c>
      <c r="R204" s="6">
        <v>0.1</v>
      </c>
      <c r="S204" s="12">
        <f t="shared" si="39"/>
        <v>11250</v>
      </c>
      <c r="T204" s="12">
        <v>1700</v>
      </c>
      <c r="U204" s="9">
        <f t="shared" si="40"/>
        <v>2750</v>
      </c>
      <c r="V204" s="6">
        <f t="shared" si="41"/>
        <v>0.24444444444444444</v>
      </c>
      <c r="W204" s="3" t="s">
        <v>56</v>
      </c>
      <c r="X204" s="3" t="s">
        <v>106</v>
      </c>
      <c r="Y204" s="3">
        <f t="shared" si="42"/>
        <v>2</v>
      </c>
      <c r="Z204" s="3" t="str">
        <f t="shared" si="43"/>
        <v>Regular</v>
      </c>
      <c r="AA204" s="3">
        <v>3</v>
      </c>
      <c r="AB204" s="3" t="str">
        <f t="shared" si="44"/>
        <v>Average</v>
      </c>
      <c r="AC204" s="3" t="str">
        <f t="shared" si="45"/>
        <v>September</v>
      </c>
      <c r="AD204" s="3" t="str">
        <f t="shared" si="46"/>
        <v>Q3</v>
      </c>
      <c r="AE204" s="3">
        <f t="shared" si="47"/>
        <v>2026</v>
      </c>
      <c r="AF204" s="3" t="str">
        <f t="shared" si="48"/>
        <v>Thursday</v>
      </c>
      <c r="AG204" s="3" t="str">
        <f t="shared" si="49"/>
        <v>26-35</v>
      </c>
      <c r="AH204" s="3" t="str">
        <f t="shared" si="50"/>
        <v>Medium</v>
      </c>
      <c r="AI204" s="3" t="str">
        <f t="shared" si="51"/>
        <v>Medium</v>
      </c>
      <c r="AJ204" s="3" t="str" cm="1">
        <f t="array" ref="AJ204">_xlfn.IFS(S204&gt;=80000,"VIP",S204&gt;=40000,"Gold",S204&gt;=15000,"Silver",TRUE,"Bronze")</f>
        <v>Bronze</v>
      </c>
    </row>
    <row r="205" spans="1:36" x14ac:dyDescent="0.3">
      <c r="A205" s="3" t="s">
        <v>635</v>
      </c>
      <c r="B205" s="15">
        <v>46234</v>
      </c>
      <c r="C205" s="15">
        <v>46239</v>
      </c>
      <c r="D205" s="3" t="s">
        <v>636</v>
      </c>
      <c r="E205" s="3" t="s">
        <v>174</v>
      </c>
      <c r="F205" s="3" t="s">
        <v>39</v>
      </c>
      <c r="G205" s="3">
        <v>42</v>
      </c>
      <c r="H205" s="3" t="s">
        <v>119</v>
      </c>
      <c r="I205" s="3" t="s">
        <v>120</v>
      </c>
      <c r="J205" s="3" t="s">
        <v>121</v>
      </c>
      <c r="K205" s="3" t="s">
        <v>43</v>
      </c>
      <c r="L205" s="3" t="s">
        <v>44</v>
      </c>
      <c r="M205" s="3" t="s">
        <v>45</v>
      </c>
      <c r="N205" s="3" t="s">
        <v>46</v>
      </c>
      <c r="O205" s="3" t="s">
        <v>47</v>
      </c>
      <c r="P205" s="3">
        <v>1</v>
      </c>
      <c r="Q205" s="9">
        <v>28500</v>
      </c>
      <c r="R205" s="6">
        <v>0.12</v>
      </c>
      <c r="S205" s="12">
        <f t="shared" si="39"/>
        <v>25080</v>
      </c>
      <c r="T205" s="12">
        <v>22000</v>
      </c>
      <c r="U205" s="9">
        <f t="shared" si="40"/>
        <v>3080</v>
      </c>
      <c r="V205" s="6">
        <f t="shared" si="41"/>
        <v>0.12280701754385964</v>
      </c>
      <c r="W205" s="3" t="s">
        <v>73</v>
      </c>
      <c r="X205" s="3" t="s">
        <v>49</v>
      </c>
      <c r="Y205" s="3">
        <f t="shared" si="42"/>
        <v>5</v>
      </c>
      <c r="Z205" s="3" t="str">
        <f t="shared" si="43"/>
        <v>Regular</v>
      </c>
      <c r="AA205" s="3">
        <v>4</v>
      </c>
      <c r="AB205" s="3" t="str">
        <f t="shared" si="44"/>
        <v>Excellent</v>
      </c>
      <c r="AC205" s="3" t="str">
        <f t="shared" si="45"/>
        <v>July</v>
      </c>
      <c r="AD205" s="3" t="str">
        <f t="shared" si="46"/>
        <v>Q3</v>
      </c>
      <c r="AE205" s="3">
        <f t="shared" si="47"/>
        <v>2026</v>
      </c>
      <c r="AF205" s="3" t="str">
        <f t="shared" si="48"/>
        <v>Friday</v>
      </c>
      <c r="AG205" s="3" t="str">
        <f t="shared" si="49"/>
        <v>36-45</v>
      </c>
      <c r="AH205" s="3" t="str">
        <f t="shared" si="50"/>
        <v>Medium</v>
      </c>
      <c r="AI205" s="3" t="str">
        <f t="shared" si="51"/>
        <v>Medium</v>
      </c>
      <c r="AJ205" s="3" t="str" cm="1">
        <f t="array" ref="AJ205">_xlfn.IFS(S205&gt;=80000,"VIP",S205&gt;=40000,"Gold",S205&gt;=15000,"Silver",TRUE,"Bronze")</f>
        <v>Silver</v>
      </c>
    </row>
    <row r="206" spans="1:36" x14ac:dyDescent="0.3">
      <c r="A206" s="3" t="s">
        <v>637</v>
      </c>
      <c r="B206" s="15">
        <v>46136</v>
      </c>
      <c r="C206" s="15">
        <v>46140</v>
      </c>
      <c r="D206" s="3" t="s">
        <v>638</v>
      </c>
      <c r="E206" s="3" t="s">
        <v>639</v>
      </c>
      <c r="F206" s="3" t="s">
        <v>39</v>
      </c>
      <c r="G206" s="3">
        <v>43</v>
      </c>
      <c r="H206" s="3" t="s">
        <v>68</v>
      </c>
      <c r="I206" s="3" t="s">
        <v>68</v>
      </c>
      <c r="J206" s="3" t="s">
        <v>69</v>
      </c>
      <c r="K206" s="3" t="s">
        <v>43</v>
      </c>
      <c r="L206" s="3" t="s">
        <v>44</v>
      </c>
      <c r="M206" s="3" t="s">
        <v>45</v>
      </c>
      <c r="N206" s="3" t="s">
        <v>46</v>
      </c>
      <c r="O206" s="3" t="s">
        <v>47</v>
      </c>
      <c r="P206" s="3">
        <v>1</v>
      </c>
      <c r="Q206" s="9">
        <v>28500</v>
      </c>
      <c r="R206" s="6">
        <v>0.05</v>
      </c>
      <c r="S206" s="12">
        <f t="shared" si="39"/>
        <v>27075</v>
      </c>
      <c r="T206" s="12">
        <v>22000</v>
      </c>
      <c r="U206" s="9">
        <f t="shared" si="40"/>
        <v>5075</v>
      </c>
      <c r="V206" s="6">
        <f t="shared" si="41"/>
        <v>0.18744228993536471</v>
      </c>
      <c r="W206" s="3" t="s">
        <v>100</v>
      </c>
      <c r="X206" s="3" t="s">
        <v>49</v>
      </c>
      <c r="Y206" s="3">
        <f t="shared" si="42"/>
        <v>4</v>
      </c>
      <c r="Z206" s="3" t="str">
        <f t="shared" si="43"/>
        <v>Regular</v>
      </c>
      <c r="AA206" s="3">
        <v>3</v>
      </c>
      <c r="AB206" s="3" t="str">
        <f t="shared" si="44"/>
        <v>Average</v>
      </c>
      <c r="AC206" s="3" t="str">
        <f t="shared" si="45"/>
        <v>April</v>
      </c>
      <c r="AD206" s="3" t="str">
        <f t="shared" si="46"/>
        <v>Q2</v>
      </c>
      <c r="AE206" s="3">
        <f t="shared" si="47"/>
        <v>2026</v>
      </c>
      <c r="AF206" s="3" t="str">
        <f t="shared" si="48"/>
        <v>Friday</v>
      </c>
      <c r="AG206" s="3" t="str">
        <f t="shared" si="49"/>
        <v>36-45</v>
      </c>
      <c r="AH206" s="3" t="str">
        <f t="shared" si="50"/>
        <v>Medium</v>
      </c>
      <c r="AI206" s="3" t="str">
        <f t="shared" si="51"/>
        <v>Low</v>
      </c>
      <c r="AJ206" s="3" t="str" cm="1">
        <f t="array" ref="AJ206">_xlfn.IFS(S206&gt;=80000,"VIP",S206&gt;=40000,"Gold",S206&gt;=15000,"Silver",TRUE,"Bronze")</f>
        <v>Silver</v>
      </c>
    </row>
    <row r="207" spans="1:36" x14ac:dyDescent="0.3">
      <c r="A207" s="3" t="s">
        <v>640</v>
      </c>
      <c r="B207" s="15">
        <v>46207</v>
      </c>
      <c r="C207" s="15">
        <v>46210</v>
      </c>
      <c r="D207" s="3" t="s">
        <v>641</v>
      </c>
      <c r="E207" s="3" t="s">
        <v>642</v>
      </c>
      <c r="F207" s="3" t="s">
        <v>52</v>
      </c>
      <c r="G207" s="3">
        <v>31</v>
      </c>
      <c r="H207" s="3" t="s">
        <v>78</v>
      </c>
      <c r="I207" s="3" t="s">
        <v>79</v>
      </c>
      <c r="J207" s="3" t="s">
        <v>80</v>
      </c>
      <c r="K207" s="3" t="s">
        <v>81</v>
      </c>
      <c r="L207" s="3" t="s">
        <v>82</v>
      </c>
      <c r="M207" s="3" t="s">
        <v>45</v>
      </c>
      <c r="N207" s="3" t="s">
        <v>83</v>
      </c>
      <c r="O207" s="3" t="s">
        <v>84</v>
      </c>
      <c r="P207" s="3">
        <v>2</v>
      </c>
      <c r="Q207" s="9">
        <v>42000</v>
      </c>
      <c r="R207" s="6">
        <v>0.2</v>
      </c>
      <c r="S207" s="12">
        <f t="shared" si="39"/>
        <v>67200</v>
      </c>
      <c r="T207" s="12">
        <v>35000</v>
      </c>
      <c r="U207" s="9">
        <f t="shared" si="40"/>
        <v>-2800</v>
      </c>
      <c r="V207" s="6">
        <f t="shared" si="41"/>
        <v>-4.1666666666666664E-2</v>
      </c>
      <c r="W207" s="3" t="s">
        <v>56</v>
      </c>
      <c r="X207" s="3" t="s">
        <v>74</v>
      </c>
      <c r="Y207" s="3">
        <f t="shared" si="42"/>
        <v>3</v>
      </c>
      <c r="Z207" s="3" t="str">
        <f t="shared" si="43"/>
        <v>Premium</v>
      </c>
      <c r="AA207" s="3">
        <v>4</v>
      </c>
      <c r="AB207" s="3" t="str">
        <f t="shared" si="44"/>
        <v>Excellent</v>
      </c>
      <c r="AC207" s="3" t="str">
        <f t="shared" si="45"/>
        <v>July</v>
      </c>
      <c r="AD207" s="3" t="str">
        <f t="shared" si="46"/>
        <v>Q3</v>
      </c>
      <c r="AE207" s="3">
        <f t="shared" si="47"/>
        <v>2026</v>
      </c>
      <c r="AF207" s="3" t="str">
        <f t="shared" si="48"/>
        <v>Saturday</v>
      </c>
      <c r="AG207" s="3" t="str">
        <f t="shared" si="49"/>
        <v>26-35</v>
      </c>
      <c r="AH207" s="3" t="str">
        <f t="shared" si="50"/>
        <v>Large</v>
      </c>
      <c r="AI207" s="3" t="str">
        <f t="shared" si="51"/>
        <v>High</v>
      </c>
      <c r="AJ207" s="3" t="str" cm="1">
        <f t="array" ref="AJ207">_xlfn.IFS(S207&gt;=80000,"VIP",S207&gt;=40000,"Gold",S207&gt;=15000,"Silver",TRUE,"Bronze")</f>
        <v>Gold</v>
      </c>
    </row>
    <row r="208" spans="1:36" x14ac:dyDescent="0.3">
      <c r="A208" s="3" t="s">
        <v>643</v>
      </c>
      <c r="B208" s="15">
        <v>46381</v>
      </c>
      <c r="C208" s="15">
        <v>46384</v>
      </c>
      <c r="D208" s="3" t="s">
        <v>644</v>
      </c>
      <c r="E208" s="3" t="s">
        <v>306</v>
      </c>
      <c r="F208" s="3" t="s">
        <v>39</v>
      </c>
      <c r="G208" s="3">
        <v>22</v>
      </c>
      <c r="H208" s="3" t="s">
        <v>53</v>
      </c>
      <c r="I208" s="3" t="s">
        <v>41</v>
      </c>
      <c r="J208" s="3" t="s">
        <v>42</v>
      </c>
      <c r="K208" s="3" t="s">
        <v>90</v>
      </c>
      <c r="L208" s="3" t="s">
        <v>122</v>
      </c>
      <c r="M208" s="3" t="s">
        <v>45</v>
      </c>
      <c r="N208" s="3" t="s">
        <v>91</v>
      </c>
      <c r="O208" s="3" t="s">
        <v>123</v>
      </c>
      <c r="P208" s="3">
        <v>2</v>
      </c>
      <c r="Q208" s="9">
        <v>2500</v>
      </c>
      <c r="R208" s="6">
        <v>0.12</v>
      </c>
      <c r="S208" s="12">
        <f t="shared" si="39"/>
        <v>4400</v>
      </c>
      <c r="T208" s="12">
        <v>1700</v>
      </c>
      <c r="U208" s="9">
        <f t="shared" si="40"/>
        <v>1000</v>
      </c>
      <c r="V208" s="6">
        <f t="shared" si="41"/>
        <v>0.22727272727272727</v>
      </c>
      <c r="W208" s="3" t="s">
        <v>65</v>
      </c>
      <c r="X208" s="3" t="s">
        <v>74</v>
      </c>
      <c r="Y208" s="3">
        <f t="shared" si="42"/>
        <v>3</v>
      </c>
      <c r="Z208" s="3" t="str">
        <f t="shared" si="43"/>
        <v>Regular</v>
      </c>
      <c r="AA208" s="3">
        <v>3</v>
      </c>
      <c r="AB208" s="3" t="str">
        <f t="shared" si="44"/>
        <v>Average</v>
      </c>
      <c r="AC208" s="3" t="str">
        <f t="shared" si="45"/>
        <v>December</v>
      </c>
      <c r="AD208" s="3" t="str">
        <f t="shared" si="46"/>
        <v>Q4</v>
      </c>
      <c r="AE208" s="3">
        <f t="shared" si="47"/>
        <v>2026</v>
      </c>
      <c r="AF208" s="3" t="str">
        <f t="shared" si="48"/>
        <v>Friday</v>
      </c>
      <c r="AG208" s="3" t="str">
        <f t="shared" si="49"/>
        <v>18-25</v>
      </c>
      <c r="AH208" s="3" t="str">
        <f t="shared" si="50"/>
        <v>Small</v>
      </c>
      <c r="AI208" s="3" t="str">
        <f t="shared" si="51"/>
        <v>Medium</v>
      </c>
      <c r="AJ208" s="3" t="str" cm="1">
        <f t="array" ref="AJ208">_xlfn.IFS(S208&gt;=80000,"VIP",S208&gt;=40000,"Gold",S208&gt;=15000,"Silver",TRUE,"Bronze")</f>
        <v>Bronze</v>
      </c>
    </row>
    <row r="209" spans="1:36" x14ac:dyDescent="0.3">
      <c r="A209" s="3" t="s">
        <v>645</v>
      </c>
      <c r="B209" s="15">
        <v>46267</v>
      </c>
      <c r="C209" s="15">
        <v>46272</v>
      </c>
      <c r="D209" s="3" t="s">
        <v>646</v>
      </c>
      <c r="E209" s="3" t="s">
        <v>347</v>
      </c>
      <c r="F209" s="3" t="s">
        <v>39</v>
      </c>
      <c r="G209" s="3">
        <v>38</v>
      </c>
      <c r="H209" s="3" t="s">
        <v>40</v>
      </c>
      <c r="I209" s="3" t="s">
        <v>41</v>
      </c>
      <c r="J209" s="3" t="s">
        <v>42</v>
      </c>
      <c r="K209" s="3" t="s">
        <v>105</v>
      </c>
      <c r="L209" s="3" t="s">
        <v>112</v>
      </c>
      <c r="M209" s="3" t="s">
        <v>113</v>
      </c>
      <c r="N209" s="3" t="s">
        <v>114</v>
      </c>
      <c r="O209" s="3" t="s">
        <v>115</v>
      </c>
      <c r="P209" s="3">
        <v>4</v>
      </c>
      <c r="Q209" s="9">
        <v>3500</v>
      </c>
      <c r="R209" s="6">
        <v>0.15</v>
      </c>
      <c r="S209" s="12">
        <f t="shared" si="39"/>
        <v>11900</v>
      </c>
      <c r="T209" s="12">
        <v>2500</v>
      </c>
      <c r="U209" s="9">
        <f t="shared" si="40"/>
        <v>1900</v>
      </c>
      <c r="V209" s="6">
        <f t="shared" si="41"/>
        <v>0.15966386554621848</v>
      </c>
      <c r="W209" s="3" t="s">
        <v>92</v>
      </c>
      <c r="X209" s="3" t="s">
        <v>49</v>
      </c>
      <c r="Y209" s="3">
        <f t="shared" si="42"/>
        <v>5</v>
      </c>
      <c r="Z209" s="3" t="str">
        <f t="shared" si="43"/>
        <v>Regular</v>
      </c>
      <c r="AA209" s="3">
        <v>5</v>
      </c>
      <c r="AB209" s="3" t="str">
        <f t="shared" si="44"/>
        <v>Excellent</v>
      </c>
      <c r="AC209" s="3" t="str">
        <f t="shared" si="45"/>
        <v>September</v>
      </c>
      <c r="AD209" s="3" t="str">
        <f t="shared" si="46"/>
        <v>Q3</v>
      </c>
      <c r="AE209" s="3">
        <f t="shared" si="47"/>
        <v>2026</v>
      </c>
      <c r="AF209" s="3" t="str">
        <f t="shared" si="48"/>
        <v>Wednesday</v>
      </c>
      <c r="AG209" s="3" t="str">
        <f t="shared" si="49"/>
        <v>36-45</v>
      </c>
      <c r="AH209" s="3" t="str">
        <f t="shared" si="50"/>
        <v>Medium</v>
      </c>
      <c r="AI209" s="3" t="str">
        <f t="shared" si="51"/>
        <v>Medium</v>
      </c>
      <c r="AJ209" s="3" t="str" cm="1">
        <f t="array" ref="AJ209">_xlfn.IFS(S209&gt;=80000,"VIP",S209&gt;=40000,"Gold",S209&gt;=15000,"Silver",TRUE,"Bronze")</f>
        <v>Bronze</v>
      </c>
    </row>
    <row r="210" spans="1:36" x14ac:dyDescent="0.3">
      <c r="A210" s="3" t="s">
        <v>647</v>
      </c>
      <c r="B210" s="15">
        <v>46302</v>
      </c>
      <c r="C210" s="15">
        <v>46304</v>
      </c>
      <c r="D210" s="3" t="s">
        <v>648</v>
      </c>
      <c r="E210" s="3" t="s">
        <v>172</v>
      </c>
      <c r="F210" s="3" t="s">
        <v>52</v>
      </c>
      <c r="G210" s="3">
        <v>20</v>
      </c>
      <c r="H210" s="3" t="s">
        <v>68</v>
      </c>
      <c r="I210" s="3" t="s">
        <v>68</v>
      </c>
      <c r="J210" s="3" t="s">
        <v>69</v>
      </c>
      <c r="K210" s="3" t="s">
        <v>105</v>
      </c>
      <c r="L210" s="3" t="s">
        <v>112</v>
      </c>
      <c r="M210" s="3" t="s">
        <v>113</v>
      </c>
      <c r="N210" s="3" t="s">
        <v>114</v>
      </c>
      <c r="O210" s="3" t="s">
        <v>115</v>
      </c>
      <c r="P210" s="3">
        <v>5</v>
      </c>
      <c r="Q210" s="9">
        <v>3500</v>
      </c>
      <c r="R210" s="6">
        <v>0.2</v>
      </c>
      <c r="S210" s="12">
        <f t="shared" si="39"/>
        <v>14000</v>
      </c>
      <c r="T210" s="12">
        <v>2500</v>
      </c>
      <c r="U210" s="9">
        <f t="shared" si="40"/>
        <v>1500</v>
      </c>
      <c r="V210" s="6">
        <f t="shared" si="41"/>
        <v>0.10714285714285714</v>
      </c>
      <c r="W210" s="3" t="s">
        <v>73</v>
      </c>
      <c r="X210" s="3" t="s">
        <v>74</v>
      </c>
      <c r="Y210" s="3">
        <f t="shared" si="42"/>
        <v>2</v>
      </c>
      <c r="Z210" s="3" t="str">
        <f t="shared" si="43"/>
        <v>Regular</v>
      </c>
      <c r="AA210" s="3">
        <v>4</v>
      </c>
      <c r="AB210" s="3" t="str">
        <f t="shared" si="44"/>
        <v>Excellent</v>
      </c>
      <c r="AC210" s="3" t="str">
        <f t="shared" si="45"/>
        <v>October</v>
      </c>
      <c r="AD210" s="3" t="str">
        <f t="shared" si="46"/>
        <v>Q4</v>
      </c>
      <c r="AE210" s="3">
        <f t="shared" si="47"/>
        <v>2026</v>
      </c>
      <c r="AF210" s="3" t="str">
        <f t="shared" si="48"/>
        <v>Wednesday</v>
      </c>
      <c r="AG210" s="3" t="str">
        <f t="shared" si="49"/>
        <v>18-25</v>
      </c>
      <c r="AH210" s="3" t="str">
        <f t="shared" si="50"/>
        <v>Medium</v>
      </c>
      <c r="AI210" s="3" t="str">
        <f t="shared" si="51"/>
        <v>High</v>
      </c>
      <c r="AJ210" s="3" t="str" cm="1">
        <f t="array" ref="AJ210">_xlfn.IFS(S210&gt;=80000,"VIP",S210&gt;=40000,"Gold",S210&gt;=15000,"Silver",TRUE,"Bronze")</f>
        <v>Bronze</v>
      </c>
    </row>
    <row r="211" spans="1:36" x14ac:dyDescent="0.3">
      <c r="A211" s="3" t="s">
        <v>649</v>
      </c>
      <c r="B211" s="15">
        <v>46276</v>
      </c>
      <c r="C211" s="15">
        <v>46279</v>
      </c>
      <c r="D211" s="3" t="s">
        <v>650</v>
      </c>
      <c r="E211" s="3" t="s">
        <v>306</v>
      </c>
      <c r="F211" s="3" t="s">
        <v>39</v>
      </c>
      <c r="G211" s="3">
        <v>36</v>
      </c>
      <c r="H211" s="3" t="s">
        <v>119</v>
      </c>
      <c r="I211" s="3" t="s">
        <v>120</v>
      </c>
      <c r="J211" s="3" t="s">
        <v>121</v>
      </c>
      <c r="K211" s="3" t="s">
        <v>105</v>
      </c>
      <c r="L211" s="3" t="s">
        <v>112</v>
      </c>
      <c r="M211" s="3" t="s">
        <v>113</v>
      </c>
      <c r="N211" s="3" t="s">
        <v>114</v>
      </c>
      <c r="O211" s="3" t="s">
        <v>115</v>
      </c>
      <c r="P211" s="3">
        <v>1</v>
      </c>
      <c r="Q211" s="9">
        <v>3500</v>
      </c>
      <c r="R211" s="6">
        <v>0.15</v>
      </c>
      <c r="S211" s="12">
        <f t="shared" si="39"/>
        <v>2975</v>
      </c>
      <c r="T211" s="12">
        <v>2500</v>
      </c>
      <c r="U211" s="9">
        <f t="shared" si="40"/>
        <v>475</v>
      </c>
      <c r="V211" s="6">
        <f t="shared" si="41"/>
        <v>0.15966386554621848</v>
      </c>
      <c r="W211" s="3" t="s">
        <v>92</v>
      </c>
      <c r="X211" s="3" t="s">
        <v>106</v>
      </c>
      <c r="Y211" s="3">
        <f t="shared" si="42"/>
        <v>3</v>
      </c>
      <c r="Z211" s="3" t="str">
        <f t="shared" si="43"/>
        <v>Regular</v>
      </c>
      <c r="AA211" s="3">
        <v>3</v>
      </c>
      <c r="AB211" s="3" t="str">
        <f t="shared" si="44"/>
        <v>Average</v>
      </c>
      <c r="AC211" s="3" t="str">
        <f t="shared" si="45"/>
        <v>September</v>
      </c>
      <c r="AD211" s="3" t="str">
        <f t="shared" si="46"/>
        <v>Q3</v>
      </c>
      <c r="AE211" s="3">
        <f t="shared" si="47"/>
        <v>2026</v>
      </c>
      <c r="AF211" s="3" t="str">
        <f t="shared" si="48"/>
        <v>Friday</v>
      </c>
      <c r="AG211" s="3" t="str">
        <f t="shared" si="49"/>
        <v>36-45</v>
      </c>
      <c r="AH211" s="3" t="str">
        <f t="shared" si="50"/>
        <v>Small</v>
      </c>
      <c r="AI211" s="3" t="str">
        <f t="shared" si="51"/>
        <v>Medium</v>
      </c>
      <c r="AJ211" s="3" t="str" cm="1">
        <f t="array" ref="AJ211">_xlfn.IFS(S211&gt;=80000,"VIP",S211&gt;=40000,"Gold",S211&gt;=15000,"Silver",TRUE,"Bronze")</f>
        <v>Bronze</v>
      </c>
    </row>
    <row r="212" spans="1:36" x14ac:dyDescent="0.3">
      <c r="A212" s="3" t="s">
        <v>651</v>
      </c>
      <c r="B212" s="15">
        <v>46258</v>
      </c>
      <c r="C212" s="15">
        <v>46260</v>
      </c>
      <c r="D212" s="3" t="s">
        <v>652</v>
      </c>
      <c r="E212" s="3" t="s">
        <v>653</v>
      </c>
      <c r="F212" s="3" t="s">
        <v>52</v>
      </c>
      <c r="G212" s="3">
        <v>37</v>
      </c>
      <c r="H212" s="3" t="s">
        <v>119</v>
      </c>
      <c r="I212" s="3" t="s">
        <v>120</v>
      </c>
      <c r="J212" s="3" t="s">
        <v>121</v>
      </c>
      <c r="K212" s="3" t="s">
        <v>96</v>
      </c>
      <c r="L212" s="3" t="s">
        <v>166</v>
      </c>
      <c r="M212" s="3" t="s">
        <v>97</v>
      </c>
      <c r="N212" s="3" t="s">
        <v>98</v>
      </c>
      <c r="O212" s="3" t="s">
        <v>99</v>
      </c>
      <c r="P212" s="3">
        <v>3</v>
      </c>
      <c r="Q212" s="9">
        <v>4500</v>
      </c>
      <c r="R212" s="6">
        <v>0.15</v>
      </c>
      <c r="S212" s="12">
        <f t="shared" si="39"/>
        <v>11475</v>
      </c>
      <c r="T212" s="12">
        <v>3000</v>
      </c>
      <c r="U212" s="9">
        <f t="shared" si="40"/>
        <v>2475</v>
      </c>
      <c r="V212" s="6">
        <f t="shared" si="41"/>
        <v>0.21568627450980393</v>
      </c>
      <c r="W212" s="3" t="s">
        <v>100</v>
      </c>
      <c r="X212" s="3" t="s">
        <v>101</v>
      </c>
      <c r="Y212" s="3">
        <f t="shared" si="42"/>
        <v>2</v>
      </c>
      <c r="Z212" s="3" t="str">
        <f t="shared" si="43"/>
        <v>Regular</v>
      </c>
      <c r="AA212" s="3">
        <v>4</v>
      </c>
      <c r="AB212" s="3" t="str">
        <f t="shared" si="44"/>
        <v>Excellent</v>
      </c>
      <c r="AC212" s="3" t="str">
        <f t="shared" si="45"/>
        <v>August</v>
      </c>
      <c r="AD212" s="3" t="str">
        <f t="shared" si="46"/>
        <v>Q3</v>
      </c>
      <c r="AE212" s="3">
        <f t="shared" si="47"/>
        <v>2026</v>
      </c>
      <c r="AF212" s="3" t="str">
        <f t="shared" si="48"/>
        <v>Monday</v>
      </c>
      <c r="AG212" s="3" t="str">
        <f t="shared" si="49"/>
        <v>36-45</v>
      </c>
      <c r="AH212" s="3" t="str">
        <f t="shared" si="50"/>
        <v>Medium</v>
      </c>
      <c r="AI212" s="3" t="str">
        <f t="shared" si="51"/>
        <v>Medium</v>
      </c>
      <c r="AJ212" s="3" t="str" cm="1">
        <f t="array" ref="AJ212">_xlfn.IFS(S212&gt;=80000,"VIP",S212&gt;=40000,"Gold",S212&gt;=15000,"Silver",TRUE,"Bronze")</f>
        <v>Bronze</v>
      </c>
    </row>
    <row r="213" spans="1:36" x14ac:dyDescent="0.3">
      <c r="A213" s="3" t="s">
        <v>654</v>
      </c>
      <c r="B213" s="15">
        <v>46058</v>
      </c>
      <c r="C213" s="15">
        <v>46060</v>
      </c>
      <c r="D213" s="3" t="s">
        <v>655</v>
      </c>
      <c r="E213" s="3" t="s">
        <v>402</v>
      </c>
      <c r="F213" s="3" t="s">
        <v>52</v>
      </c>
      <c r="G213" s="3">
        <v>31</v>
      </c>
      <c r="H213" s="3" t="s">
        <v>40</v>
      </c>
      <c r="I213" s="3" t="s">
        <v>41</v>
      </c>
      <c r="J213" s="3" t="s">
        <v>42</v>
      </c>
      <c r="K213" s="3" t="s">
        <v>81</v>
      </c>
      <c r="L213" s="3" t="s">
        <v>82</v>
      </c>
      <c r="M213" s="3" t="s">
        <v>45</v>
      </c>
      <c r="N213" s="3" t="s">
        <v>83</v>
      </c>
      <c r="O213" s="3" t="s">
        <v>84</v>
      </c>
      <c r="P213" s="3">
        <v>5</v>
      </c>
      <c r="Q213" s="9">
        <v>42000</v>
      </c>
      <c r="R213" s="6">
        <v>0.15</v>
      </c>
      <c r="S213" s="12">
        <f t="shared" si="39"/>
        <v>178500</v>
      </c>
      <c r="T213" s="12">
        <v>35000</v>
      </c>
      <c r="U213" s="9">
        <f t="shared" si="40"/>
        <v>3500</v>
      </c>
      <c r="V213" s="6">
        <f t="shared" si="41"/>
        <v>1.9607843137254902E-2</v>
      </c>
      <c r="W213" s="3" t="s">
        <v>56</v>
      </c>
      <c r="X213" s="3" t="s">
        <v>74</v>
      </c>
      <c r="Y213" s="3">
        <f t="shared" si="42"/>
        <v>2</v>
      </c>
      <c r="Z213" s="3" t="str">
        <f t="shared" si="43"/>
        <v>Premium</v>
      </c>
      <c r="AA213" s="3">
        <v>4</v>
      </c>
      <c r="AB213" s="3" t="str">
        <f t="shared" si="44"/>
        <v>Excellent</v>
      </c>
      <c r="AC213" s="3" t="str">
        <f t="shared" si="45"/>
        <v>February</v>
      </c>
      <c r="AD213" s="3" t="str">
        <f t="shared" si="46"/>
        <v>Q1</v>
      </c>
      <c r="AE213" s="3">
        <f t="shared" si="47"/>
        <v>2026</v>
      </c>
      <c r="AF213" s="3" t="str">
        <f t="shared" si="48"/>
        <v>Thursday</v>
      </c>
      <c r="AG213" s="3" t="str">
        <f t="shared" si="49"/>
        <v>26-35</v>
      </c>
      <c r="AH213" s="3" t="str">
        <f t="shared" si="50"/>
        <v>Large</v>
      </c>
      <c r="AI213" s="3" t="str">
        <f t="shared" si="51"/>
        <v>Medium</v>
      </c>
      <c r="AJ213" s="3" t="str" cm="1">
        <f t="array" ref="AJ213">_xlfn.IFS(S213&gt;=80000,"VIP",S213&gt;=40000,"Gold",S213&gt;=15000,"Silver",TRUE,"Bronze")</f>
        <v>VIP</v>
      </c>
    </row>
    <row r="214" spans="1:36" x14ac:dyDescent="0.3">
      <c r="A214" s="3" t="s">
        <v>656</v>
      </c>
      <c r="B214" s="15">
        <v>46152</v>
      </c>
      <c r="C214" s="15">
        <v>46157</v>
      </c>
      <c r="D214" s="3" t="s">
        <v>657</v>
      </c>
      <c r="E214" s="3" t="s">
        <v>658</v>
      </c>
      <c r="F214" s="3" t="s">
        <v>52</v>
      </c>
      <c r="G214" s="3">
        <v>42</v>
      </c>
      <c r="H214" s="3" t="s">
        <v>68</v>
      </c>
      <c r="I214" s="3" t="s">
        <v>68</v>
      </c>
      <c r="J214" s="3" t="s">
        <v>69</v>
      </c>
      <c r="K214" s="3" t="s">
        <v>54</v>
      </c>
      <c r="L214" s="3" t="s">
        <v>173</v>
      </c>
      <c r="M214" s="3" t="s">
        <v>45</v>
      </c>
      <c r="N214" s="3" t="s">
        <v>46</v>
      </c>
      <c r="O214" s="3" t="s">
        <v>55</v>
      </c>
      <c r="P214" s="3">
        <v>2</v>
      </c>
      <c r="Q214" s="9">
        <v>79900</v>
      </c>
      <c r="R214" s="6">
        <v>0.12</v>
      </c>
      <c r="S214" s="12">
        <f t="shared" si="39"/>
        <v>140624</v>
      </c>
      <c r="T214" s="12">
        <v>65000</v>
      </c>
      <c r="U214" s="9">
        <f t="shared" si="40"/>
        <v>10624</v>
      </c>
      <c r="V214" s="6">
        <f t="shared" si="41"/>
        <v>7.5548981681647517E-2</v>
      </c>
      <c r="W214" s="3" t="s">
        <v>100</v>
      </c>
      <c r="X214" s="3" t="s">
        <v>49</v>
      </c>
      <c r="Y214" s="3">
        <f t="shared" si="42"/>
        <v>5</v>
      </c>
      <c r="Z214" s="3" t="str">
        <f t="shared" si="43"/>
        <v>Premium</v>
      </c>
      <c r="AA214" s="3">
        <v>2</v>
      </c>
      <c r="AB214" s="3" t="str">
        <f t="shared" si="44"/>
        <v>Average</v>
      </c>
      <c r="AC214" s="3" t="str">
        <f t="shared" si="45"/>
        <v>May</v>
      </c>
      <c r="AD214" s="3" t="str">
        <f t="shared" si="46"/>
        <v>Q2</v>
      </c>
      <c r="AE214" s="3">
        <f t="shared" si="47"/>
        <v>2026</v>
      </c>
      <c r="AF214" s="3" t="str">
        <f t="shared" si="48"/>
        <v>Sunday</v>
      </c>
      <c r="AG214" s="3" t="str">
        <f t="shared" si="49"/>
        <v>36-45</v>
      </c>
      <c r="AH214" s="3" t="str">
        <f t="shared" si="50"/>
        <v>Large</v>
      </c>
      <c r="AI214" s="3" t="str">
        <f t="shared" si="51"/>
        <v>Medium</v>
      </c>
      <c r="AJ214" s="3" t="str" cm="1">
        <f t="array" ref="AJ214">_xlfn.IFS(S214&gt;=80000,"VIP",S214&gt;=40000,"Gold",S214&gt;=15000,"Silver",TRUE,"Bronze")</f>
        <v>VIP</v>
      </c>
    </row>
    <row r="215" spans="1:36" x14ac:dyDescent="0.3">
      <c r="A215" s="3" t="s">
        <v>659</v>
      </c>
      <c r="B215" s="15">
        <v>46329</v>
      </c>
      <c r="C215" s="15">
        <v>46333</v>
      </c>
      <c r="D215" s="3" t="s">
        <v>660</v>
      </c>
      <c r="E215" s="3" t="s">
        <v>577</v>
      </c>
      <c r="F215" s="3" t="s">
        <v>52</v>
      </c>
      <c r="G215" s="3">
        <v>28</v>
      </c>
      <c r="H215" s="3" t="s">
        <v>68</v>
      </c>
      <c r="I215" s="3" t="s">
        <v>68</v>
      </c>
      <c r="J215" s="3" t="s">
        <v>69</v>
      </c>
      <c r="K215" s="3" t="s">
        <v>90</v>
      </c>
      <c r="L215" s="3" t="s">
        <v>122</v>
      </c>
      <c r="M215" s="3" t="s">
        <v>45</v>
      </c>
      <c r="N215" s="3" t="s">
        <v>91</v>
      </c>
      <c r="O215" s="3" t="s">
        <v>123</v>
      </c>
      <c r="P215" s="3">
        <v>5</v>
      </c>
      <c r="Q215" s="9">
        <v>2500</v>
      </c>
      <c r="R215" s="6">
        <v>0.08</v>
      </c>
      <c r="S215" s="12">
        <f t="shared" si="39"/>
        <v>11500</v>
      </c>
      <c r="T215" s="12">
        <v>1700</v>
      </c>
      <c r="U215" s="9">
        <f t="shared" si="40"/>
        <v>3000</v>
      </c>
      <c r="V215" s="6">
        <f t="shared" si="41"/>
        <v>0.2608695652173913</v>
      </c>
      <c r="W215" s="3" t="s">
        <v>100</v>
      </c>
      <c r="X215" s="3" t="s">
        <v>49</v>
      </c>
      <c r="Y215" s="3">
        <f t="shared" si="42"/>
        <v>4</v>
      </c>
      <c r="Z215" s="3" t="str">
        <f t="shared" si="43"/>
        <v>Regular</v>
      </c>
      <c r="AA215" s="3">
        <v>3</v>
      </c>
      <c r="AB215" s="3" t="str">
        <f t="shared" si="44"/>
        <v>Average</v>
      </c>
      <c r="AC215" s="3" t="str">
        <f t="shared" si="45"/>
        <v>November</v>
      </c>
      <c r="AD215" s="3" t="str">
        <f t="shared" si="46"/>
        <v>Q4</v>
      </c>
      <c r="AE215" s="3">
        <f t="shared" si="47"/>
        <v>2026</v>
      </c>
      <c r="AF215" s="3" t="str">
        <f t="shared" si="48"/>
        <v>Tuesday</v>
      </c>
      <c r="AG215" s="3" t="str">
        <f t="shared" si="49"/>
        <v>26-35</v>
      </c>
      <c r="AH215" s="3" t="str">
        <f t="shared" si="50"/>
        <v>Medium</v>
      </c>
      <c r="AI215" s="3" t="str">
        <f t="shared" si="51"/>
        <v>Medium</v>
      </c>
      <c r="AJ215" s="3" t="str" cm="1">
        <f t="array" ref="AJ215">_xlfn.IFS(S215&gt;=80000,"VIP",S215&gt;=40000,"Gold",S215&gt;=15000,"Silver",TRUE,"Bronze")</f>
        <v>Bronze</v>
      </c>
    </row>
    <row r="216" spans="1:36" x14ac:dyDescent="0.3">
      <c r="A216" s="3" t="s">
        <v>661</v>
      </c>
      <c r="B216" s="15">
        <v>46325</v>
      </c>
      <c r="C216" s="15">
        <v>46329</v>
      </c>
      <c r="D216" s="3" t="s">
        <v>662</v>
      </c>
      <c r="E216" s="3" t="s">
        <v>663</v>
      </c>
      <c r="F216" s="3" t="s">
        <v>39</v>
      </c>
      <c r="G216" s="3">
        <v>29</v>
      </c>
      <c r="H216" s="3" t="s">
        <v>78</v>
      </c>
      <c r="I216" s="3" t="s">
        <v>79</v>
      </c>
      <c r="J216" s="3" t="s">
        <v>80</v>
      </c>
      <c r="K216" s="3" t="s">
        <v>54</v>
      </c>
      <c r="L216" s="3" t="s">
        <v>173</v>
      </c>
      <c r="M216" s="3" t="s">
        <v>45</v>
      </c>
      <c r="N216" s="3" t="s">
        <v>46</v>
      </c>
      <c r="O216" s="3" t="s">
        <v>55</v>
      </c>
      <c r="P216" s="3">
        <v>4</v>
      </c>
      <c r="Q216" s="9">
        <v>79900</v>
      </c>
      <c r="R216" s="6">
        <v>0.1</v>
      </c>
      <c r="S216" s="12">
        <f t="shared" si="39"/>
        <v>287640</v>
      </c>
      <c r="T216" s="12">
        <v>65000</v>
      </c>
      <c r="U216" s="9">
        <f t="shared" si="40"/>
        <v>27640</v>
      </c>
      <c r="V216" s="6">
        <f t="shared" si="41"/>
        <v>9.6092337644277576E-2</v>
      </c>
      <c r="W216" s="3" t="s">
        <v>56</v>
      </c>
      <c r="X216" s="3" t="s">
        <v>74</v>
      </c>
      <c r="Y216" s="3">
        <f t="shared" si="42"/>
        <v>4</v>
      </c>
      <c r="Z216" s="3" t="str">
        <f t="shared" si="43"/>
        <v>Premium</v>
      </c>
      <c r="AA216" s="3">
        <v>5</v>
      </c>
      <c r="AB216" s="3" t="str">
        <f t="shared" si="44"/>
        <v>Excellent</v>
      </c>
      <c r="AC216" s="3" t="str">
        <f t="shared" si="45"/>
        <v>October</v>
      </c>
      <c r="AD216" s="3" t="str">
        <f t="shared" si="46"/>
        <v>Q4</v>
      </c>
      <c r="AE216" s="3">
        <f t="shared" si="47"/>
        <v>2026</v>
      </c>
      <c r="AF216" s="3" t="str">
        <f t="shared" si="48"/>
        <v>Friday</v>
      </c>
      <c r="AG216" s="3" t="str">
        <f t="shared" si="49"/>
        <v>26-35</v>
      </c>
      <c r="AH216" s="3" t="str">
        <f t="shared" si="50"/>
        <v>Large</v>
      </c>
      <c r="AI216" s="3" t="str">
        <f t="shared" si="51"/>
        <v>Medium</v>
      </c>
      <c r="AJ216" s="3" t="str" cm="1">
        <f t="array" ref="AJ216">_xlfn.IFS(S216&gt;=80000,"VIP",S216&gt;=40000,"Gold",S216&gt;=15000,"Silver",TRUE,"Bronze")</f>
        <v>VIP</v>
      </c>
    </row>
    <row r="217" spans="1:36" x14ac:dyDescent="0.3">
      <c r="A217" s="3" t="s">
        <v>664</v>
      </c>
      <c r="B217" s="15">
        <v>46271</v>
      </c>
      <c r="C217" s="15">
        <v>46275</v>
      </c>
      <c r="D217" s="3" t="s">
        <v>665</v>
      </c>
      <c r="E217" s="3" t="s">
        <v>199</v>
      </c>
      <c r="F217" s="3" t="s">
        <v>52</v>
      </c>
      <c r="G217" s="3">
        <v>42</v>
      </c>
      <c r="H217" s="3" t="s">
        <v>119</v>
      </c>
      <c r="I217" s="3" t="s">
        <v>120</v>
      </c>
      <c r="J217" s="3" t="s">
        <v>121</v>
      </c>
      <c r="K217" s="3" t="s">
        <v>90</v>
      </c>
      <c r="L217" s="3" t="s">
        <v>122</v>
      </c>
      <c r="M217" s="3" t="s">
        <v>45</v>
      </c>
      <c r="N217" s="3" t="s">
        <v>91</v>
      </c>
      <c r="O217" s="3" t="s">
        <v>123</v>
      </c>
      <c r="P217" s="3">
        <v>3</v>
      </c>
      <c r="Q217" s="9">
        <v>2500</v>
      </c>
      <c r="R217" s="6">
        <v>0.05</v>
      </c>
      <c r="S217" s="12">
        <f t="shared" si="39"/>
        <v>7125</v>
      </c>
      <c r="T217" s="12">
        <v>1700</v>
      </c>
      <c r="U217" s="9">
        <f t="shared" si="40"/>
        <v>2025</v>
      </c>
      <c r="V217" s="6">
        <f t="shared" si="41"/>
        <v>0.28421052631578947</v>
      </c>
      <c r="W217" s="3" t="s">
        <v>56</v>
      </c>
      <c r="X217" s="3" t="s">
        <v>106</v>
      </c>
      <c r="Y217" s="3">
        <f t="shared" si="42"/>
        <v>4</v>
      </c>
      <c r="Z217" s="3" t="str">
        <f t="shared" si="43"/>
        <v>Regular</v>
      </c>
      <c r="AA217" s="3">
        <v>2</v>
      </c>
      <c r="AB217" s="3" t="str">
        <f t="shared" si="44"/>
        <v>Average</v>
      </c>
      <c r="AC217" s="3" t="str">
        <f t="shared" si="45"/>
        <v>September</v>
      </c>
      <c r="AD217" s="3" t="str">
        <f t="shared" si="46"/>
        <v>Q3</v>
      </c>
      <c r="AE217" s="3">
        <f t="shared" si="47"/>
        <v>2026</v>
      </c>
      <c r="AF217" s="3" t="str">
        <f t="shared" si="48"/>
        <v>Sunday</v>
      </c>
      <c r="AG217" s="3" t="str">
        <f t="shared" si="49"/>
        <v>36-45</v>
      </c>
      <c r="AH217" s="3" t="str">
        <f t="shared" si="50"/>
        <v>Small</v>
      </c>
      <c r="AI217" s="3" t="str">
        <f t="shared" si="51"/>
        <v>Low</v>
      </c>
      <c r="AJ217" s="3" t="str" cm="1">
        <f t="array" ref="AJ217">_xlfn.IFS(S217&gt;=80000,"VIP",S217&gt;=40000,"Gold",S217&gt;=15000,"Silver",TRUE,"Bronze")</f>
        <v>Bronze</v>
      </c>
    </row>
    <row r="218" spans="1:36" x14ac:dyDescent="0.3">
      <c r="A218" s="3" t="s">
        <v>666</v>
      </c>
      <c r="B218" s="15">
        <v>46051</v>
      </c>
      <c r="C218" s="15">
        <v>46056</v>
      </c>
      <c r="D218" s="3" t="s">
        <v>667</v>
      </c>
      <c r="E218" s="3" t="s">
        <v>668</v>
      </c>
      <c r="F218" s="3" t="s">
        <v>52</v>
      </c>
      <c r="G218" s="3">
        <v>22</v>
      </c>
      <c r="H218" s="3" t="s">
        <v>68</v>
      </c>
      <c r="I218" s="3" t="s">
        <v>68</v>
      </c>
      <c r="J218" s="3" t="s">
        <v>69</v>
      </c>
      <c r="K218" s="3" t="s">
        <v>62</v>
      </c>
      <c r="L218" s="3" t="s">
        <v>163</v>
      </c>
      <c r="M218" s="3" t="s">
        <v>45</v>
      </c>
      <c r="N218" s="3" t="s">
        <v>63</v>
      </c>
      <c r="O218" s="3" t="s">
        <v>64</v>
      </c>
      <c r="P218" s="3">
        <v>1</v>
      </c>
      <c r="Q218" s="9">
        <v>62000</v>
      </c>
      <c r="R218" s="6">
        <v>0.1</v>
      </c>
      <c r="S218" s="12">
        <f t="shared" si="39"/>
        <v>55800</v>
      </c>
      <c r="T218" s="12">
        <v>52000</v>
      </c>
      <c r="U218" s="9">
        <f t="shared" si="40"/>
        <v>3800</v>
      </c>
      <c r="V218" s="6">
        <f t="shared" si="41"/>
        <v>6.8100358422939072E-2</v>
      </c>
      <c r="W218" s="3" t="s">
        <v>48</v>
      </c>
      <c r="X218" s="3" t="s">
        <v>74</v>
      </c>
      <c r="Y218" s="3">
        <f t="shared" si="42"/>
        <v>5</v>
      </c>
      <c r="Z218" s="3" t="str">
        <f t="shared" si="43"/>
        <v>Premium</v>
      </c>
      <c r="AA218" s="3">
        <v>2</v>
      </c>
      <c r="AB218" s="3" t="str">
        <f t="shared" si="44"/>
        <v>Average</v>
      </c>
      <c r="AC218" s="3" t="str">
        <f t="shared" si="45"/>
        <v>January</v>
      </c>
      <c r="AD218" s="3" t="str">
        <f t="shared" si="46"/>
        <v>Q1</v>
      </c>
      <c r="AE218" s="3">
        <f t="shared" si="47"/>
        <v>2026</v>
      </c>
      <c r="AF218" s="3" t="str">
        <f t="shared" si="48"/>
        <v>Thursday</v>
      </c>
      <c r="AG218" s="3" t="str">
        <f t="shared" si="49"/>
        <v>18-25</v>
      </c>
      <c r="AH218" s="3" t="str">
        <f t="shared" si="50"/>
        <v>Large</v>
      </c>
      <c r="AI218" s="3" t="str">
        <f t="shared" si="51"/>
        <v>Medium</v>
      </c>
      <c r="AJ218" s="3" t="str" cm="1">
        <f t="array" ref="AJ218">_xlfn.IFS(S218&gt;=80000,"VIP",S218&gt;=40000,"Gold",S218&gt;=15000,"Silver",TRUE,"Bronze")</f>
        <v>Gold</v>
      </c>
    </row>
    <row r="219" spans="1:36" x14ac:dyDescent="0.3">
      <c r="A219" s="3" t="s">
        <v>669</v>
      </c>
      <c r="B219" s="15">
        <v>46318</v>
      </c>
      <c r="C219" s="15">
        <v>46320</v>
      </c>
      <c r="D219" s="3" t="s">
        <v>670</v>
      </c>
      <c r="E219" s="3" t="s">
        <v>671</v>
      </c>
      <c r="F219" s="3" t="s">
        <v>39</v>
      </c>
      <c r="G219" s="3">
        <v>30</v>
      </c>
      <c r="H219" s="3" t="s">
        <v>119</v>
      </c>
      <c r="I219" s="3" t="s">
        <v>120</v>
      </c>
      <c r="J219" s="3" t="s">
        <v>121</v>
      </c>
      <c r="K219" s="3" t="s">
        <v>105</v>
      </c>
      <c r="L219" s="3" t="s">
        <v>112</v>
      </c>
      <c r="M219" s="3" t="s">
        <v>113</v>
      </c>
      <c r="N219" s="3" t="s">
        <v>114</v>
      </c>
      <c r="O219" s="3" t="s">
        <v>115</v>
      </c>
      <c r="P219" s="3">
        <v>3</v>
      </c>
      <c r="Q219" s="9">
        <v>3500</v>
      </c>
      <c r="R219" s="6">
        <v>0.05</v>
      </c>
      <c r="S219" s="12">
        <f t="shared" si="39"/>
        <v>9975</v>
      </c>
      <c r="T219" s="12">
        <v>2500</v>
      </c>
      <c r="U219" s="9">
        <f t="shared" si="40"/>
        <v>2475</v>
      </c>
      <c r="V219" s="6">
        <f t="shared" si="41"/>
        <v>0.24812030075187969</v>
      </c>
      <c r="W219" s="3" t="s">
        <v>73</v>
      </c>
      <c r="X219" s="3" t="s">
        <v>49</v>
      </c>
      <c r="Y219" s="3">
        <f t="shared" si="42"/>
        <v>2</v>
      </c>
      <c r="Z219" s="3" t="str">
        <f t="shared" si="43"/>
        <v>Regular</v>
      </c>
      <c r="AA219" s="3">
        <v>5</v>
      </c>
      <c r="AB219" s="3" t="str">
        <f t="shared" si="44"/>
        <v>Excellent</v>
      </c>
      <c r="AC219" s="3" t="str">
        <f t="shared" si="45"/>
        <v>October</v>
      </c>
      <c r="AD219" s="3" t="str">
        <f t="shared" si="46"/>
        <v>Q4</v>
      </c>
      <c r="AE219" s="3">
        <f t="shared" si="47"/>
        <v>2026</v>
      </c>
      <c r="AF219" s="3" t="str">
        <f t="shared" si="48"/>
        <v>Friday</v>
      </c>
      <c r="AG219" s="3" t="str">
        <f t="shared" si="49"/>
        <v>26-35</v>
      </c>
      <c r="AH219" s="3" t="str">
        <f t="shared" si="50"/>
        <v>Small</v>
      </c>
      <c r="AI219" s="3" t="str">
        <f t="shared" si="51"/>
        <v>Low</v>
      </c>
      <c r="AJ219" s="3" t="str" cm="1">
        <f t="array" ref="AJ219">_xlfn.IFS(S219&gt;=80000,"VIP",S219&gt;=40000,"Gold",S219&gt;=15000,"Silver",TRUE,"Bronze")</f>
        <v>Bronze</v>
      </c>
    </row>
    <row r="220" spans="1:36" x14ac:dyDescent="0.3">
      <c r="A220" s="3" t="s">
        <v>672</v>
      </c>
      <c r="B220" s="15">
        <v>46298</v>
      </c>
      <c r="C220" s="15">
        <v>46301</v>
      </c>
      <c r="D220" s="3" t="s">
        <v>673</v>
      </c>
      <c r="E220" s="3" t="s">
        <v>218</v>
      </c>
      <c r="F220" s="3" t="s">
        <v>52</v>
      </c>
      <c r="G220" s="3">
        <v>42</v>
      </c>
      <c r="H220" s="3" t="s">
        <v>110</v>
      </c>
      <c r="I220" s="3" t="s">
        <v>111</v>
      </c>
      <c r="J220" s="3" t="s">
        <v>80</v>
      </c>
      <c r="K220" s="3" t="s">
        <v>70</v>
      </c>
      <c r="L220" s="3" t="s">
        <v>71</v>
      </c>
      <c r="M220" s="3" t="s">
        <v>45</v>
      </c>
      <c r="N220" s="3" t="s">
        <v>63</v>
      </c>
      <c r="O220" s="3" t="s">
        <v>72</v>
      </c>
      <c r="P220" s="3">
        <v>3</v>
      </c>
      <c r="Q220" s="9">
        <v>58000</v>
      </c>
      <c r="R220" s="6">
        <v>0.15</v>
      </c>
      <c r="S220" s="12">
        <f t="shared" si="39"/>
        <v>147900</v>
      </c>
      <c r="T220" s="12">
        <v>49000</v>
      </c>
      <c r="U220" s="9">
        <f t="shared" si="40"/>
        <v>900</v>
      </c>
      <c r="V220" s="6">
        <f t="shared" si="41"/>
        <v>6.0851926977687626E-3</v>
      </c>
      <c r="W220" s="3" t="s">
        <v>56</v>
      </c>
      <c r="X220" s="3" t="s">
        <v>49</v>
      </c>
      <c r="Y220" s="3">
        <f t="shared" si="42"/>
        <v>3</v>
      </c>
      <c r="Z220" s="3" t="str">
        <f t="shared" si="43"/>
        <v>Premium</v>
      </c>
      <c r="AA220" s="3">
        <v>3</v>
      </c>
      <c r="AB220" s="3" t="str">
        <f t="shared" si="44"/>
        <v>Average</v>
      </c>
      <c r="AC220" s="3" t="str">
        <f t="shared" si="45"/>
        <v>October</v>
      </c>
      <c r="AD220" s="3" t="str">
        <f t="shared" si="46"/>
        <v>Q4</v>
      </c>
      <c r="AE220" s="3">
        <f t="shared" si="47"/>
        <v>2026</v>
      </c>
      <c r="AF220" s="3" t="str">
        <f t="shared" si="48"/>
        <v>Saturday</v>
      </c>
      <c r="AG220" s="3" t="str">
        <f t="shared" si="49"/>
        <v>36-45</v>
      </c>
      <c r="AH220" s="3" t="str">
        <f t="shared" si="50"/>
        <v>Large</v>
      </c>
      <c r="AI220" s="3" t="str">
        <f t="shared" si="51"/>
        <v>Medium</v>
      </c>
      <c r="AJ220" s="3" t="str" cm="1">
        <f t="array" ref="AJ220">_xlfn.IFS(S220&gt;=80000,"VIP",S220&gt;=40000,"Gold",S220&gt;=15000,"Silver",TRUE,"Bronze")</f>
        <v>VIP</v>
      </c>
    </row>
    <row r="221" spans="1:36" x14ac:dyDescent="0.3">
      <c r="A221" s="3" t="s">
        <v>674</v>
      </c>
      <c r="B221" s="15">
        <v>46089</v>
      </c>
      <c r="C221" s="15">
        <v>46095</v>
      </c>
      <c r="D221" s="3" t="s">
        <v>675</v>
      </c>
      <c r="E221" s="3" t="s">
        <v>676</v>
      </c>
      <c r="F221" s="3" t="s">
        <v>39</v>
      </c>
      <c r="G221" s="3">
        <v>35</v>
      </c>
      <c r="H221" s="3" t="s">
        <v>40</v>
      </c>
      <c r="I221" s="3" t="s">
        <v>41</v>
      </c>
      <c r="J221" s="3" t="s">
        <v>42</v>
      </c>
      <c r="K221" s="3" t="s">
        <v>81</v>
      </c>
      <c r="L221" s="3" t="s">
        <v>82</v>
      </c>
      <c r="M221" s="3" t="s">
        <v>45</v>
      </c>
      <c r="N221" s="3" t="s">
        <v>83</v>
      </c>
      <c r="O221" s="3" t="s">
        <v>84</v>
      </c>
      <c r="P221" s="3">
        <v>1</v>
      </c>
      <c r="Q221" s="9">
        <v>42000</v>
      </c>
      <c r="R221" s="6">
        <v>0.1</v>
      </c>
      <c r="S221" s="12">
        <f t="shared" si="39"/>
        <v>37800</v>
      </c>
      <c r="T221" s="12">
        <v>35000</v>
      </c>
      <c r="U221" s="9">
        <f t="shared" si="40"/>
        <v>2800</v>
      </c>
      <c r="V221" s="6">
        <f t="shared" si="41"/>
        <v>7.407407407407407E-2</v>
      </c>
      <c r="W221" s="3" t="s">
        <v>100</v>
      </c>
      <c r="X221" s="3" t="s">
        <v>49</v>
      </c>
      <c r="Y221" s="3">
        <f t="shared" si="42"/>
        <v>6</v>
      </c>
      <c r="Z221" s="3" t="str">
        <f t="shared" si="43"/>
        <v>Regular</v>
      </c>
      <c r="AA221" s="3">
        <v>2</v>
      </c>
      <c r="AB221" s="3" t="str">
        <f t="shared" si="44"/>
        <v>Average</v>
      </c>
      <c r="AC221" s="3" t="str">
        <f t="shared" si="45"/>
        <v>March</v>
      </c>
      <c r="AD221" s="3" t="str">
        <f t="shared" si="46"/>
        <v>Q1</v>
      </c>
      <c r="AE221" s="3">
        <f t="shared" si="47"/>
        <v>2026</v>
      </c>
      <c r="AF221" s="3" t="str">
        <f t="shared" si="48"/>
        <v>Sunday</v>
      </c>
      <c r="AG221" s="3" t="str">
        <f t="shared" si="49"/>
        <v>26-35</v>
      </c>
      <c r="AH221" s="3" t="str">
        <f t="shared" si="50"/>
        <v>Large</v>
      </c>
      <c r="AI221" s="3" t="str">
        <f t="shared" si="51"/>
        <v>Medium</v>
      </c>
      <c r="AJ221" s="3" t="str" cm="1">
        <f t="array" ref="AJ221">_xlfn.IFS(S221&gt;=80000,"VIP",S221&gt;=40000,"Gold",S221&gt;=15000,"Silver",TRUE,"Bronze")</f>
        <v>Silver</v>
      </c>
    </row>
    <row r="222" spans="1:36" x14ac:dyDescent="0.3">
      <c r="A222" s="3" t="s">
        <v>677</v>
      </c>
      <c r="B222" s="15">
        <v>46303</v>
      </c>
      <c r="C222" s="15">
        <v>46307</v>
      </c>
      <c r="D222" s="3" t="s">
        <v>678</v>
      </c>
      <c r="E222" s="3" t="s">
        <v>180</v>
      </c>
      <c r="F222" s="3" t="s">
        <v>52</v>
      </c>
      <c r="G222" s="3">
        <v>20</v>
      </c>
      <c r="H222" s="3" t="s">
        <v>78</v>
      </c>
      <c r="I222" s="3" t="s">
        <v>79</v>
      </c>
      <c r="J222" s="3" t="s">
        <v>80</v>
      </c>
      <c r="K222" s="3" t="s">
        <v>81</v>
      </c>
      <c r="L222" s="3" t="s">
        <v>82</v>
      </c>
      <c r="M222" s="3" t="s">
        <v>45</v>
      </c>
      <c r="N222" s="3" t="s">
        <v>83</v>
      </c>
      <c r="O222" s="3" t="s">
        <v>84</v>
      </c>
      <c r="P222" s="3">
        <v>2</v>
      </c>
      <c r="Q222" s="9">
        <v>42000</v>
      </c>
      <c r="R222" s="6">
        <v>0.2</v>
      </c>
      <c r="S222" s="12">
        <f t="shared" si="39"/>
        <v>67200</v>
      </c>
      <c r="T222" s="12">
        <v>35000</v>
      </c>
      <c r="U222" s="9">
        <f t="shared" si="40"/>
        <v>-2800</v>
      </c>
      <c r="V222" s="6">
        <f t="shared" si="41"/>
        <v>-4.1666666666666664E-2</v>
      </c>
      <c r="W222" s="3" t="s">
        <v>65</v>
      </c>
      <c r="X222" s="3" t="s">
        <v>49</v>
      </c>
      <c r="Y222" s="3">
        <f t="shared" si="42"/>
        <v>4</v>
      </c>
      <c r="Z222" s="3" t="str">
        <f t="shared" si="43"/>
        <v>Premium</v>
      </c>
      <c r="AA222" s="3">
        <v>3</v>
      </c>
      <c r="AB222" s="3" t="str">
        <f t="shared" si="44"/>
        <v>Average</v>
      </c>
      <c r="AC222" s="3" t="str">
        <f t="shared" si="45"/>
        <v>October</v>
      </c>
      <c r="AD222" s="3" t="str">
        <f t="shared" si="46"/>
        <v>Q4</v>
      </c>
      <c r="AE222" s="3">
        <f t="shared" si="47"/>
        <v>2026</v>
      </c>
      <c r="AF222" s="3" t="str">
        <f t="shared" si="48"/>
        <v>Thursday</v>
      </c>
      <c r="AG222" s="3" t="str">
        <f t="shared" si="49"/>
        <v>18-25</v>
      </c>
      <c r="AH222" s="3" t="str">
        <f t="shared" si="50"/>
        <v>Large</v>
      </c>
      <c r="AI222" s="3" t="str">
        <f t="shared" si="51"/>
        <v>High</v>
      </c>
      <c r="AJ222" s="3" t="str" cm="1">
        <f t="array" ref="AJ222">_xlfn.IFS(S222&gt;=80000,"VIP",S222&gt;=40000,"Gold",S222&gt;=15000,"Silver",TRUE,"Bronze")</f>
        <v>Gold</v>
      </c>
    </row>
    <row r="223" spans="1:36" x14ac:dyDescent="0.3">
      <c r="A223" s="3" t="s">
        <v>679</v>
      </c>
      <c r="B223" s="15">
        <v>46273</v>
      </c>
      <c r="C223" s="15">
        <v>46278</v>
      </c>
      <c r="D223" s="3" t="s">
        <v>680</v>
      </c>
      <c r="E223" s="3" t="s">
        <v>333</v>
      </c>
      <c r="F223" s="3" t="s">
        <v>52</v>
      </c>
      <c r="G223" s="3">
        <v>31</v>
      </c>
      <c r="H223" s="3" t="s">
        <v>60</v>
      </c>
      <c r="I223" s="3" t="s">
        <v>61</v>
      </c>
      <c r="J223" s="3" t="s">
        <v>42</v>
      </c>
      <c r="K223" s="3" t="s">
        <v>81</v>
      </c>
      <c r="L223" s="3" t="s">
        <v>82</v>
      </c>
      <c r="M223" s="3" t="s">
        <v>45</v>
      </c>
      <c r="N223" s="3" t="s">
        <v>83</v>
      </c>
      <c r="O223" s="3" t="s">
        <v>84</v>
      </c>
      <c r="P223" s="3">
        <v>2</v>
      </c>
      <c r="Q223" s="9">
        <v>42000</v>
      </c>
      <c r="R223" s="6">
        <v>0.15</v>
      </c>
      <c r="S223" s="12">
        <f t="shared" si="39"/>
        <v>71400</v>
      </c>
      <c r="T223" s="12">
        <v>35000</v>
      </c>
      <c r="U223" s="9">
        <f t="shared" si="40"/>
        <v>1400</v>
      </c>
      <c r="V223" s="6">
        <f t="shared" si="41"/>
        <v>1.9607843137254902E-2</v>
      </c>
      <c r="W223" s="3" t="s">
        <v>65</v>
      </c>
      <c r="X223" s="3" t="s">
        <v>101</v>
      </c>
      <c r="Y223" s="3">
        <f t="shared" si="42"/>
        <v>5</v>
      </c>
      <c r="Z223" s="3" t="str">
        <f t="shared" si="43"/>
        <v>Premium</v>
      </c>
      <c r="AA223" s="3">
        <v>2</v>
      </c>
      <c r="AB223" s="3" t="str">
        <f t="shared" si="44"/>
        <v>Average</v>
      </c>
      <c r="AC223" s="3" t="str">
        <f t="shared" si="45"/>
        <v>September</v>
      </c>
      <c r="AD223" s="3" t="str">
        <f t="shared" si="46"/>
        <v>Q3</v>
      </c>
      <c r="AE223" s="3">
        <f t="shared" si="47"/>
        <v>2026</v>
      </c>
      <c r="AF223" s="3" t="str">
        <f t="shared" si="48"/>
        <v>Tuesday</v>
      </c>
      <c r="AG223" s="3" t="str">
        <f t="shared" si="49"/>
        <v>26-35</v>
      </c>
      <c r="AH223" s="3" t="str">
        <f t="shared" si="50"/>
        <v>Large</v>
      </c>
      <c r="AI223" s="3" t="str">
        <f t="shared" si="51"/>
        <v>Medium</v>
      </c>
      <c r="AJ223" s="3" t="str" cm="1">
        <f t="array" ref="AJ223">_xlfn.IFS(S223&gt;=80000,"VIP",S223&gt;=40000,"Gold",S223&gt;=15000,"Silver",TRUE,"Bronze")</f>
        <v>Gold</v>
      </c>
    </row>
    <row r="224" spans="1:36" x14ac:dyDescent="0.3">
      <c r="A224" s="3" t="s">
        <v>681</v>
      </c>
      <c r="B224" s="15">
        <v>46298</v>
      </c>
      <c r="C224" s="15">
        <v>46300</v>
      </c>
      <c r="D224" s="3" t="s">
        <v>682</v>
      </c>
      <c r="E224" s="3" t="s">
        <v>172</v>
      </c>
      <c r="F224" s="3" t="s">
        <v>39</v>
      </c>
      <c r="G224" s="3">
        <v>21</v>
      </c>
      <c r="H224" s="3" t="s">
        <v>53</v>
      </c>
      <c r="I224" s="3" t="s">
        <v>41</v>
      </c>
      <c r="J224" s="3" t="s">
        <v>42</v>
      </c>
      <c r="K224" s="3" t="s">
        <v>90</v>
      </c>
      <c r="L224" s="3" t="s">
        <v>122</v>
      </c>
      <c r="M224" s="3" t="s">
        <v>45</v>
      </c>
      <c r="N224" s="3" t="s">
        <v>91</v>
      </c>
      <c r="O224" s="3" t="s">
        <v>123</v>
      </c>
      <c r="P224" s="3">
        <v>3</v>
      </c>
      <c r="Q224" s="9">
        <v>2500</v>
      </c>
      <c r="R224" s="6">
        <v>0.2</v>
      </c>
      <c r="S224" s="12">
        <f t="shared" si="39"/>
        <v>6000</v>
      </c>
      <c r="T224" s="12">
        <v>1700</v>
      </c>
      <c r="U224" s="9">
        <f t="shared" si="40"/>
        <v>900</v>
      </c>
      <c r="V224" s="6">
        <f t="shared" si="41"/>
        <v>0.15</v>
      </c>
      <c r="W224" s="3" t="s">
        <v>73</v>
      </c>
      <c r="X224" s="3" t="s">
        <v>49</v>
      </c>
      <c r="Y224" s="3">
        <f t="shared" si="42"/>
        <v>2</v>
      </c>
      <c r="Z224" s="3" t="str">
        <f t="shared" si="43"/>
        <v>Regular</v>
      </c>
      <c r="AA224" s="3">
        <v>2</v>
      </c>
      <c r="AB224" s="3" t="str">
        <f t="shared" si="44"/>
        <v>Average</v>
      </c>
      <c r="AC224" s="3" t="str">
        <f t="shared" si="45"/>
        <v>October</v>
      </c>
      <c r="AD224" s="3" t="str">
        <f t="shared" si="46"/>
        <v>Q4</v>
      </c>
      <c r="AE224" s="3">
        <f t="shared" si="47"/>
        <v>2026</v>
      </c>
      <c r="AF224" s="3" t="str">
        <f t="shared" si="48"/>
        <v>Saturday</v>
      </c>
      <c r="AG224" s="3" t="str">
        <f t="shared" si="49"/>
        <v>18-25</v>
      </c>
      <c r="AH224" s="3" t="str">
        <f t="shared" si="50"/>
        <v>Small</v>
      </c>
      <c r="AI224" s="3" t="str">
        <f t="shared" si="51"/>
        <v>High</v>
      </c>
      <c r="AJ224" s="3" t="str" cm="1">
        <f t="array" ref="AJ224">_xlfn.IFS(S224&gt;=80000,"VIP",S224&gt;=40000,"Gold",S224&gt;=15000,"Silver",TRUE,"Bronze")</f>
        <v>Bronze</v>
      </c>
    </row>
    <row r="225" spans="1:36" x14ac:dyDescent="0.3">
      <c r="A225" s="3" t="s">
        <v>683</v>
      </c>
      <c r="B225" s="15">
        <v>46282</v>
      </c>
      <c r="C225" s="15">
        <v>46288</v>
      </c>
      <c r="D225" s="3" t="s">
        <v>684</v>
      </c>
      <c r="E225" s="3" t="s">
        <v>371</v>
      </c>
      <c r="F225" s="3" t="s">
        <v>52</v>
      </c>
      <c r="G225" s="3">
        <v>30</v>
      </c>
      <c r="H225" s="3" t="s">
        <v>110</v>
      </c>
      <c r="I225" s="3" t="s">
        <v>111</v>
      </c>
      <c r="J225" s="3" t="s">
        <v>80</v>
      </c>
      <c r="K225" s="3" t="s">
        <v>96</v>
      </c>
      <c r="L225" s="3" t="s">
        <v>166</v>
      </c>
      <c r="M225" s="3" t="s">
        <v>97</v>
      </c>
      <c r="N225" s="3" t="s">
        <v>98</v>
      </c>
      <c r="O225" s="3" t="s">
        <v>99</v>
      </c>
      <c r="P225" s="3">
        <v>5</v>
      </c>
      <c r="Q225" s="9">
        <v>4500</v>
      </c>
      <c r="R225" s="6">
        <v>0.2</v>
      </c>
      <c r="S225" s="12">
        <f t="shared" si="39"/>
        <v>18000</v>
      </c>
      <c r="T225" s="12">
        <v>3000</v>
      </c>
      <c r="U225" s="9">
        <f t="shared" si="40"/>
        <v>3000</v>
      </c>
      <c r="V225" s="6">
        <f t="shared" si="41"/>
        <v>0.16666666666666666</v>
      </c>
      <c r="W225" s="3" t="s">
        <v>48</v>
      </c>
      <c r="X225" s="3" t="s">
        <v>49</v>
      </c>
      <c r="Y225" s="3">
        <f t="shared" si="42"/>
        <v>6</v>
      </c>
      <c r="Z225" s="3" t="str">
        <f t="shared" si="43"/>
        <v>Regular</v>
      </c>
      <c r="AA225" s="3">
        <v>5</v>
      </c>
      <c r="AB225" s="3" t="str">
        <f t="shared" si="44"/>
        <v>Excellent</v>
      </c>
      <c r="AC225" s="3" t="str">
        <f t="shared" si="45"/>
        <v>September</v>
      </c>
      <c r="AD225" s="3" t="str">
        <f t="shared" si="46"/>
        <v>Q3</v>
      </c>
      <c r="AE225" s="3">
        <f t="shared" si="47"/>
        <v>2026</v>
      </c>
      <c r="AF225" s="3" t="str">
        <f t="shared" si="48"/>
        <v>Thursday</v>
      </c>
      <c r="AG225" s="3" t="str">
        <f t="shared" si="49"/>
        <v>26-35</v>
      </c>
      <c r="AH225" s="3" t="str">
        <f t="shared" si="50"/>
        <v>Medium</v>
      </c>
      <c r="AI225" s="3" t="str">
        <f t="shared" si="51"/>
        <v>High</v>
      </c>
      <c r="AJ225" s="3" t="str" cm="1">
        <f t="array" ref="AJ225">_xlfn.IFS(S225&gt;=80000,"VIP",S225&gt;=40000,"Gold",S225&gt;=15000,"Silver",TRUE,"Bronze")</f>
        <v>Silver</v>
      </c>
    </row>
    <row r="226" spans="1:36" x14ac:dyDescent="0.3">
      <c r="A226" s="3" t="s">
        <v>685</v>
      </c>
      <c r="B226" s="15">
        <v>46046</v>
      </c>
      <c r="C226" s="15">
        <v>46052</v>
      </c>
      <c r="D226" s="3" t="s">
        <v>686</v>
      </c>
      <c r="E226" s="3" t="s">
        <v>639</v>
      </c>
      <c r="F226" s="3" t="s">
        <v>39</v>
      </c>
      <c r="G226" s="3">
        <v>44</v>
      </c>
      <c r="H226" s="3" t="s">
        <v>88</v>
      </c>
      <c r="I226" s="3" t="s">
        <v>89</v>
      </c>
      <c r="J226" s="3" t="s">
        <v>80</v>
      </c>
      <c r="K226" s="3" t="s">
        <v>105</v>
      </c>
      <c r="L226" s="3" t="s">
        <v>112</v>
      </c>
      <c r="M226" s="3" t="s">
        <v>113</v>
      </c>
      <c r="N226" s="3" t="s">
        <v>114</v>
      </c>
      <c r="O226" s="3" t="s">
        <v>115</v>
      </c>
      <c r="P226" s="3">
        <v>5</v>
      </c>
      <c r="Q226" s="9">
        <v>3500</v>
      </c>
      <c r="R226" s="6">
        <v>0.1</v>
      </c>
      <c r="S226" s="12">
        <f t="shared" si="39"/>
        <v>15750</v>
      </c>
      <c r="T226" s="12">
        <v>2500</v>
      </c>
      <c r="U226" s="9">
        <f t="shared" si="40"/>
        <v>3250</v>
      </c>
      <c r="V226" s="6">
        <f t="shared" si="41"/>
        <v>0.20634920634920634</v>
      </c>
      <c r="W226" s="3" t="s">
        <v>48</v>
      </c>
      <c r="X226" s="3" t="s">
        <v>106</v>
      </c>
      <c r="Y226" s="3">
        <f t="shared" si="42"/>
        <v>6</v>
      </c>
      <c r="Z226" s="3" t="str">
        <f t="shared" si="43"/>
        <v>Regular</v>
      </c>
      <c r="AA226" s="3">
        <v>4</v>
      </c>
      <c r="AB226" s="3" t="str">
        <f t="shared" si="44"/>
        <v>Excellent</v>
      </c>
      <c r="AC226" s="3" t="str">
        <f t="shared" si="45"/>
        <v>January</v>
      </c>
      <c r="AD226" s="3" t="str">
        <f t="shared" si="46"/>
        <v>Q1</v>
      </c>
      <c r="AE226" s="3">
        <f t="shared" si="47"/>
        <v>2026</v>
      </c>
      <c r="AF226" s="3" t="str">
        <f t="shared" si="48"/>
        <v>Saturday</v>
      </c>
      <c r="AG226" s="3" t="str">
        <f t="shared" si="49"/>
        <v>36-45</v>
      </c>
      <c r="AH226" s="3" t="str">
        <f t="shared" si="50"/>
        <v>Medium</v>
      </c>
      <c r="AI226" s="3" t="str">
        <f t="shared" si="51"/>
        <v>Medium</v>
      </c>
      <c r="AJ226" s="3" t="str" cm="1">
        <f t="array" ref="AJ226">_xlfn.IFS(S226&gt;=80000,"VIP",S226&gt;=40000,"Gold",S226&gt;=15000,"Silver",TRUE,"Bronze")</f>
        <v>Silver</v>
      </c>
    </row>
    <row r="227" spans="1:36" x14ac:dyDescent="0.3">
      <c r="A227" s="3" t="s">
        <v>687</v>
      </c>
      <c r="B227" s="15">
        <v>46252</v>
      </c>
      <c r="C227" s="15">
        <v>46255</v>
      </c>
      <c r="D227" s="3" t="s">
        <v>688</v>
      </c>
      <c r="E227" s="3" t="s">
        <v>182</v>
      </c>
      <c r="F227" s="3" t="s">
        <v>39</v>
      </c>
      <c r="G227" s="3">
        <v>50</v>
      </c>
      <c r="H227" s="3" t="s">
        <v>53</v>
      </c>
      <c r="I227" s="3" t="s">
        <v>41</v>
      </c>
      <c r="J227" s="3" t="s">
        <v>42</v>
      </c>
      <c r="K227" s="3" t="s">
        <v>81</v>
      </c>
      <c r="L227" s="3" t="s">
        <v>82</v>
      </c>
      <c r="M227" s="3" t="s">
        <v>45</v>
      </c>
      <c r="N227" s="3" t="s">
        <v>83</v>
      </c>
      <c r="O227" s="3" t="s">
        <v>84</v>
      </c>
      <c r="P227" s="3">
        <v>2</v>
      </c>
      <c r="Q227" s="9">
        <v>42000</v>
      </c>
      <c r="R227" s="6">
        <v>0.05</v>
      </c>
      <c r="S227" s="12">
        <f t="shared" si="39"/>
        <v>79800</v>
      </c>
      <c r="T227" s="12">
        <v>35000</v>
      </c>
      <c r="U227" s="9">
        <f t="shared" si="40"/>
        <v>9800</v>
      </c>
      <c r="V227" s="6">
        <f t="shared" si="41"/>
        <v>0.12280701754385964</v>
      </c>
      <c r="W227" s="3" t="s">
        <v>48</v>
      </c>
      <c r="X227" s="3" t="s">
        <v>49</v>
      </c>
      <c r="Y227" s="3">
        <f t="shared" si="42"/>
        <v>3</v>
      </c>
      <c r="Z227" s="3" t="str">
        <f t="shared" si="43"/>
        <v>Premium</v>
      </c>
      <c r="AA227" s="3">
        <v>3</v>
      </c>
      <c r="AB227" s="3" t="str">
        <f t="shared" si="44"/>
        <v>Average</v>
      </c>
      <c r="AC227" s="3" t="str">
        <f t="shared" si="45"/>
        <v>August</v>
      </c>
      <c r="AD227" s="3" t="str">
        <f t="shared" si="46"/>
        <v>Q3</v>
      </c>
      <c r="AE227" s="3">
        <f t="shared" si="47"/>
        <v>2026</v>
      </c>
      <c r="AF227" s="3" t="str">
        <f t="shared" si="48"/>
        <v>Tuesday</v>
      </c>
      <c r="AG227" s="3" t="str">
        <f t="shared" si="49"/>
        <v>46+</v>
      </c>
      <c r="AH227" s="3" t="str">
        <f t="shared" si="50"/>
        <v>Large</v>
      </c>
      <c r="AI227" s="3" t="str">
        <f t="shared" si="51"/>
        <v>Low</v>
      </c>
      <c r="AJ227" s="3" t="str" cm="1">
        <f t="array" ref="AJ227">_xlfn.IFS(S227&gt;=80000,"VIP",S227&gt;=40000,"Gold",S227&gt;=15000,"Silver",TRUE,"Bronze")</f>
        <v>Gold</v>
      </c>
    </row>
    <row r="228" spans="1:36" x14ac:dyDescent="0.3">
      <c r="A228" s="3" t="s">
        <v>689</v>
      </c>
      <c r="B228" s="15">
        <v>46255</v>
      </c>
      <c r="C228" s="15">
        <v>46261</v>
      </c>
      <c r="D228" s="3" t="s">
        <v>690</v>
      </c>
      <c r="E228" s="3" t="s">
        <v>224</v>
      </c>
      <c r="F228" s="3" t="s">
        <v>52</v>
      </c>
      <c r="G228" s="3">
        <v>38</v>
      </c>
      <c r="H228" s="3" t="s">
        <v>68</v>
      </c>
      <c r="I228" s="3" t="s">
        <v>68</v>
      </c>
      <c r="J228" s="3" t="s">
        <v>69</v>
      </c>
      <c r="K228" s="3" t="s">
        <v>62</v>
      </c>
      <c r="L228" s="3" t="s">
        <v>163</v>
      </c>
      <c r="M228" s="3" t="s">
        <v>45</v>
      </c>
      <c r="N228" s="3" t="s">
        <v>63</v>
      </c>
      <c r="O228" s="3" t="s">
        <v>64</v>
      </c>
      <c r="P228" s="3">
        <v>2</v>
      </c>
      <c r="Q228" s="9">
        <v>62000</v>
      </c>
      <c r="R228" s="6">
        <v>0.2</v>
      </c>
      <c r="S228" s="12">
        <f t="shared" si="39"/>
        <v>99200</v>
      </c>
      <c r="T228" s="12">
        <v>52000</v>
      </c>
      <c r="U228" s="9">
        <f t="shared" si="40"/>
        <v>-4800</v>
      </c>
      <c r="V228" s="6">
        <f t="shared" si="41"/>
        <v>-4.8387096774193547E-2</v>
      </c>
      <c r="W228" s="3" t="s">
        <v>92</v>
      </c>
      <c r="X228" s="3" t="s">
        <v>49</v>
      </c>
      <c r="Y228" s="3">
        <f t="shared" si="42"/>
        <v>6</v>
      </c>
      <c r="Z228" s="3" t="str">
        <f t="shared" si="43"/>
        <v>Premium</v>
      </c>
      <c r="AA228" s="3">
        <v>5</v>
      </c>
      <c r="AB228" s="3" t="str">
        <f t="shared" si="44"/>
        <v>Excellent</v>
      </c>
      <c r="AC228" s="3" t="str">
        <f t="shared" si="45"/>
        <v>August</v>
      </c>
      <c r="AD228" s="3" t="str">
        <f t="shared" si="46"/>
        <v>Q3</v>
      </c>
      <c r="AE228" s="3">
        <f t="shared" si="47"/>
        <v>2026</v>
      </c>
      <c r="AF228" s="3" t="str">
        <f t="shared" si="48"/>
        <v>Friday</v>
      </c>
      <c r="AG228" s="3" t="str">
        <f t="shared" si="49"/>
        <v>36-45</v>
      </c>
      <c r="AH228" s="3" t="str">
        <f t="shared" si="50"/>
        <v>Large</v>
      </c>
      <c r="AI228" s="3" t="str">
        <f t="shared" si="51"/>
        <v>High</v>
      </c>
      <c r="AJ228" s="3" t="str" cm="1">
        <f t="array" ref="AJ228">_xlfn.IFS(S228&gt;=80000,"VIP",S228&gt;=40000,"Gold",S228&gt;=15000,"Silver",TRUE,"Bronze")</f>
        <v>VIP</v>
      </c>
    </row>
    <row r="229" spans="1:36" x14ac:dyDescent="0.3">
      <c r="A229" s="3" t="s">
        <v>691</v>
      </c>
      <c r="B229" s="15">
        <v>46257</v>
      </c>
      <c r="C229" s="15">
        <v>46259</v>
      </c>
      <c r="D229" s="3" t="s">
        <v>692</v>
      </c>
      <c r="E229" s="3" t="s">
        <v>693</v>
      </c>
      <c r="F229" s="3" t="s">
        <v>39</v>
      </c>
      <c r="G229" s="3">
        <v>44</v>
      </c>
      <c r="H229" s="3" t="s">
        <v>53</v>
      </c>
      <c r="I229" s="3" t="s">
        <v>41</v>
      </c>
      <c r="J229" s="3" t="s">
        <v>42</v>
      </c>
      <c r="K229" s="3" t="s">
        <v>70</v>
      </c>
      <c r="L229" s="3" t="s">
        <v>71</v>
      </c>
      <c r="M229" s="3" t="s">
        <v>45</v>
      </c>
      <c r="N229" s="3" t="s">
        <v>63</v>
      </c>
      <c r="O229" s="3" t="s">
        <v>72</v>
      </c>
      <c r="P229" s="3">
        <v>4</v>
      </c>
      <c r="Q229" s="9">
        <v>58000</v>
      </c>
      <c r="R229" s="6">
        <v>0.15</v>
      </c>
      <c r="S229" s="12">
        <f t="shared" si="39"/>
        <v>197200</v>
      </c>
      <c r="T229" s="12">
        <v>49000</v>
      </c>
      <c r="U229" s="9">
        <f t="shared" si="40"/>
        <v>1200</v>
      </c>
      <c r="V229" s="6">
        <f t="shared" si="41"/>
        <v>6.0851926977687626E-3</v>
      </c>
      <c r="W229" s="3" t="s">
        <v>56</v>
      </c>
      <c r="X229" s="3" t="s">
        <v>106</v>
      </c>
      <c r="Y229" s="3">
        <f t="shared" si="42"/>
        <v>2</v>
      </c>
      <c r="Z229" s="3" t="str">
        <f t="shared" si="43"/>
        <v>Premium</v>
      </c>
      <c r="AA229" s="3">
        <v>4</v>
      </c>
      <c r="AB229" s="3" t="str">
        <f t="shared" si="44"/>
        <v>Excellent</v>
      </c>
      <c r="AC229" s="3" t="str">
        <f t="shared" si="45"/>
        <v>August</v>
      </c>
      <c r="AD229" s="3" t="str">
        <f t="shared" si="46"/>
        <v>Q3</v>
      </c>
      <c r="AE229" s="3">
        <f t="shared" si="47"/>
        <v>2026</v>
      </c>
      <c r="AF229" s="3" t="str">
        <f t="shared" si="48"/>
        <v>Sunday</v>
      </c>
      <c r="AG229" s="3" t="str">
        <f t="shared" si="49"/>
        <v>36-45</v>
      </c>
      <c r="AH229" s="3" t="str">
        <f t="shared" si="50"/>
        <v>Large</v>
      </c>
      <c r="AI229" s="3" t="str">
        <f t="shared" si="51"/>
        <v>Medium</v>
      </c>
      <c r="AJ229" s="3" t="str" cm="1">
        <f t="array" ref="AJ229">_xlfn.IFS(S229&gt;=80000,"VIP",S229&gt;=40000,"Gold",S229&gt;=15000,"Silver",TRUE,"Bronze")</f>
        <v>VIP</v>
      </c>
    </row>
    <row r="230" spans="1:36" x14ac:dyDescent="0.3">
      <c r="A230" s="3" t="s">
        <v>694</v>
      </c>
      <c r="B230" s="15">
        <v>46129</v>
      </c>
      <c r="C230" s="15">
        <v>46131</v>
      </c>
      <c r="D230" s="3" t="s">
        <v>695</v>
      </c>
      <c r="E230" s="3" t="s">
        <v>696</v>
      </c>
      <c r="F230" s="3" t="s">
        <v>39</v>
      </c>
      <c r="G230" s="3">
        <v>41</v>
      </c>
      <c r="H230" s="3" t="s">
        <v>110</v>
      </c>
      <c r="I230" s="3" t="s">
        <v>111</v>
      </c>
      <c r="J230" s="3" t="s">
        <v>80</v>
      </c>
      <c r="K230" s="3" t="s">
        <v>43</v>
      </c>
      <c r="L230" s="3" t="s">
        <v>44</v>
      </c>
      <c r="M230" s="3" t="s">
        <v>45</v>
      </c>
      <c r="N230" s="3" t="s">
        <v>46</v>
      </c>
      <c r="O230" s="3" t="s">
        <v>47</v>
      </c>
      <c r="P230" s="3">
        <v>5</v>
      </c>
      <c r="Q230" s="9">
        <v>28500</v>
      </c>
      <c r="R230" s="6">
        <v>0.12</v>
      </c>
      <c r="S230" s="12">
        <f t="shared" si="39"/>
        <v>125400</v>
      </c>
      <c r="T230" s="12">
        <v>22000</v>
      </c>
      <c r="U230" s="9">
        <f t="shared" si="40"/>
        <v>15400</v>
      </c>
      <c r="V230" s="6">
        <f t="shared" si="41"/>
        <v>0.12280701754385964</v>
      </c>
      <c r="W230" s="3" t="s">
        <v>65</v>
      </c>
      <c r="X230" s="3" t="s">
        <v>106</v>
      </c>
      <c r="Y230" s="3">
        <f t="shared" si="42"/>
        <v>2</v>
      </c>
      <c r="Z230" s="3" t="str">
        <f t="shared" si="43"/>
        <v>Premium</v>
      </c>
      <c r="AA230" s="3">
        <v>5</v>
      </c>
      <c r="AB230" s="3" t="str">
        <f t="shared" si="44"/>
        <v>Excellent</v>
      </c>
      <c r="AC230" s="3" t="str">
        <f t="shared" si="45"/>
        <v>April</v>
      </c>
      <c r="AD230" s="3" t="str">
        <f t="shared" si="46"/>
        <v>Q2</v>
      </c>
      <c r="AE230" s="3">
        <f t="shared" si="47"/>
        <v>2026</v>
      </c>
      <c r="AF230" s="3" t="str">
        <f t="shared" si="48"/>
        <v>Friday</v>
      </c>
      <c r="AG230" s="3" t="str">
        <f t="shared" si="49"/>
        <v>36-45</v>
      </c>
      <c r="AH230" s="3" t="str">
        <f t="shared" si="50"/>
        <v>Large</v>
      </c>
      <c r="AI230" s="3" t="str">
        <f t="shared" si="51"/>
        <v>Medium</v>
      </c>
      <c r="AJ230" s="3" t="str" cm="1">
        <f t="array" ref="AJ230">_xlfn.IFS(S230&gt;=80000,"VIP",S230&gt;=40000,"Gold",S230&gt;=15000,"Silver",TRUE,"Bronze")</f>
        <v>VIP</v>
      </c>
    </row>
    <row r="231" spans="1:36" x14ac:dyDescent="0.3">
      <c r="A231" s="3" t="s">
        <v>697</v>
      </c>
      <c r="B231" s="15">
        <v>46288</v>
      </c>
      <c r="C231" s="15">
        <v>46293</v>
      </c>
      <c r="D231" s="3" t="s">
        <v>698</v>
      </c>
      <c r="E231" s="3" t="s">
        <v>699</v>
      </c>
      <c r="F231" s="3" t="s">
        <v>39</v>
      </c>
      <c r="G231" s="3">
        <v>25</v>
      </c>
      <c r="H231" s="3" t="s">
        <v>78</v>
      </c>
      <c r="I231" s="3" t="s">
        <v>79</v>
      </c>
      <c r="J231" s="3" t="s">
        <v>80</v>
      </c>
      <c r="K231" s="3" t="s">
        <v>62</v>
      </c>
      <c r="L231" s="3" t="s">
        <v>163</v>
      </c>
      <c r="M231" s="3" t="s">
        <v>45</v>
      </c>
      <c r="N231" s="3" t="s">
        <v>63</v>
      </c>
      <c r="O231" s="3" t="s">
        <v>64</v>
      </c>
      <c r="P231" s="3">
        <v>5</v>
      </c>
      <c r="Q231" s="9">
        <v>62000</v>
      </c>
      <c r="R231" s="6">
        <v>0.08</v>
      </c>
      <c r="S231" s="12">
        <f t="shared" si="39"/>
        <v>285200</v>
      </c>
      <c r="T231" s="12">
        <v>52000</v>
      </c>
      <c r="U231" s="9">
        <f t="shared" si="40"/>
        <v>25200</v>
      </c>
      <c r="V231" s="6">
        <f t="shared" si="41"/>
        <v>8.8359046283309955E-2</v>
      </c>
      <c r="W231" s="3" t="s">
        <v>92</v>
      </c>
      <c r="X231" s="3" t="s">
        <v>106</v>
      </c>
      <c r="Y231" s="3">
        <f t="shared" si="42"/>
        <v>5</v>
      </c>
      <c r="Z231" s="3" t="str">
        <f t="shared" si="43"/>
        <v>Premium</v>
      </c>
      <c r="AA231" s="3">
        <v>4</v>
      </c>
      <c r="AB231" s="3" t="str">
        <f t="shared" si="44"/>
        <v>Excellent</v>
      </c>
      <c r="AC231" s="3" t="str">
        <f t="shared" si="45"/>
        <v>September</v>
      </c>
      <c r="AD231" s="3" t="str">
        <f t="shared" si="46"/>
        <v>Q3</v>
      </c>
      <c r="AE231" s="3">
        <f t="shared" si="47"/>
        <v>2026</v>
      </c>
      <c r="AF231" s="3" t="str">
        <f t="shared" si="48"/>
        <v>Wednesday</v>
      </c>
      <c r="AG231" s="3" t="str">
        <f t="shared" si="49"/>
        <v>18-25</v>
      </c>
      <c r="AH231" s="3" t="str">
        <f t="shared" si="50"/>
        <v>Large</v>
      </c>
      <c r="AI231" s="3" t="str">
        <f t="shared" si="51"/>
        <v>Medium</v>
      </c>
      <c r="AJ231" s="3" t="str" cm="1">
        <f t="array" ref="AJ231">_xlfn.IFS(S231&gt;=80000,"VIP",S231&gt;=40000,"Gold",S231&gt;=15000,"Silver",TRUE,"Bronze")</f>
        <v>VIP</v>
      </c>
    </row>
    <row r="232" spans="1:36" x14ac:dyDescent="0.3">
      <c r="A232" s="3" t="s">
        <v>700</v>
      </c>
      <c r="B232" s="15">
        <v>46069</v>
      </c>
      <c r="C232" s="15">
        <v>46073</v>
      </c>
      <c r="D232" s="3" t="s">
        <v>701</v>
      </c>
      <c r="E232" s="3" t="s">
        <v>702</v>
      </c>
      <c r="F232" s="3" t="s">
        <v>52</v>
      </c>
      <c r="G232" s="3">
        <v>46</v>
      </c>
      <c r="H232" s="3" t="s">
        <v>53</v>
      </c>
      <c r="I232" s="3" t="s">
        <v>41</v>
      </c>
      <c r="J232" s="3" t="s">
        <v>42</v>
      </c>
      <c r="K232" s="3" t="s">
        <v>81</v>
      </c>
      <c r="L232" s="3" t="s">
        <v>82</v>
      </c>
      <c r="M232" s="3" t="s">
        <v>45</v>
      </c>
      <c r="N232" s="3" t="s">
        <v>83</v>
      </c>
      <c r="O232" s="3" t="s">
        <v>84</v>
      </c>
      <c r="P232" s="3">
        <v>5</v>
      </c>
      <c r="Q232" s="9">
        <v>42000</v>
      </c>
      <c r="R232" s="6">
        <v>0.15</v>
      </c>
      <c r="S232" s="12">
        <f t="shared" si="39"/>
        <v>178500</v>
      </c>
      <c r="T232" s="12">
        <v>35000</v>
      </c>
      <c r="U232" s="9">
        <f t="shared" si="40"/>
        <v>3500</v>
      </c>
      <c r="V232" s="6">
        <f t="shared" si="41"/>
        <v>1.9607843137254902E-2</v>
      </c>
      <c r="W232" s="3" t="s">
        <v>100</v>
      </c>
      <c r="X232" s="3" t="s">
        <v>49</v>
      </c>
      <c r="Y232" s="3">
        <f t="shared" si="42"/>
        <v>4</v>
      </c>
      <c r="Z232" s="3" t="str">
        <f t="shared" si="43"/>
        <v>Premium</v>
      </c>
      <c r="AA232" s="3">
        <v>2</v>
      </c>
      <c r="AB232" s="3" t="str">
        <f t="shared" si="44"/>
        <v>Average</v>
      </c>
      <c r="AC232" s="3" t="str">
        <f t="shared" si="45"/>
        <v>February</v>
      </c>
      <c r="AD232" s="3" t="str">
        <f t="shared" si="46"/>
        <v>Q1</v>
      </c>
      <c r="AE232" s="3">
        <f t="shared" si="47"/>
        <v>2026</v>
      </c>
      <c r="AF232" s="3" t="str">
        <f t="shared" si="48"/>
        <v>Monday</v>
      </c>
      <c r="AG232" s="3" t="str">
        <f t="shared" si="49"/>
        <v>46+</v>
      </c>
      <c r="AH232" s="3" t="str">
        <f t="shared" si="50"/>
        <v>Large</v>
      </c>
      <c r="AI232" s="3" t="str">
        <f t="shared" si="51"/>
        <v>Medium</v>
      </c>
      <c r="AJ232" s="3" t="str" cm="1">
        <f t="array" ref="AJ232">_xlfn.IFS(S232&gt;=80000,"VIP",S232&gt;=40000,"Gold",S232&gt;=15000,"Silver",TRUE,"Bronze")</f>
        <v>VIP</v>
      </c>
    </row>
    <row r="233" spans="1:36" x14ac:dyDescent="0.3">
      <c r="A233" s="3" t="s">
        <v>703</v>
      </c>
      <c r="B233" s="15">
        <v>46107</v>
      </c>
      <c r="C233" s="15">
        <v>46110</v>
      </c>
      <c r="D233" s="3" t="s">
        <v>704</v>
      </c>
      <c r="E233" s="3" t="s">
        <v>350</v>
      </c>
      <c r="F233" s="3" t="s">
        <v>39</v>
      </c>
      <c r="G233" s="3">
        <v>21</v>
      </c>
      <c r="H233" s="3" t="s">
        <v>88</v>
      </c>
      <c r="I233" s="3" t="s">
        <v>89</v>
      </c>
      <c r="J233" s="3" t="s">
        <v>80</v>
      </c>
      <c r="K233" s="3" t="s">
        <v>81</v>
      </c>
      <c r="L233" s="3" t="s">
        <v>82</v>
      </c>
      <c r="M233" s="3" t="s">
        <v>45</v>
      </c>
      <c r="N233" s="3" t="s">
        <v>83</v>
      </c>
      <c r="O233" s="3" t="s">
        <v>84</v>
      </c>
      <c r="P233" s="3">
        <v>2</v>
      </c>
      <c r="Q233" s="9">
        <v>42000</v>
      </c>
      <c r="R233" s="6">
        <v>0.08</v>
      </c>
      <c r="S233" s="12">
        <f t="shared" si="39"/>
        <v>77280</v>
      </c>
      <c r="T233" s="12">
        <v>35000</v>
      </c>
      <c r="U233" s="9">
        <f t="shared" si="40"/>
        <v>7280</v>
      </c>
      <c r="V233" s="6">
        <f t="shared" si="41"/>
        <v>9.420289855072464E-2</v>
      </c>
      <c r="W233" s="3" t="s">
        <v>100</v>
      </c>
      <c r="X233" s="3" t="s">
        <v>101</v>
      </c>
      <c r="Y233" s="3">
        <f t="shared" si="42"/>
        <v>3</v>
      </c>
      <c r="Z233" s="3" t="str">
        <f t="shared" si="43"/>
        <v>Premium</v>
      </c>
      <c r="AA233" s="3">
        <v>5</v>
      </c>
      <c r="AB233" s="3" t="str">
        <f t="shared" si="44"/>
        <v>Excellent</v>
      </c>
      <c r="AC233" s="3" t="str">
        <f t="shared" si="45"/>
        <v>March</v>
      </c>
      <c r="AD233" s="3" t="str">
        <f t="shared" si="46"/>
        <v>Q1</v>
      </c>
      <c r="AE233" s="3">
        <f t="shared" si="47"/>
        <v>2026</v>
      </c>
      <c r="AF233" s="3" t="str">
        <f t="shared" si="48"/>
        <v>Thursday</v>
      </c>
      <c r="AG233" s="3" t="str">
        <f t="shared" si="49"/>
        <v>18-25</v>
      </c>
      <c r="AH233" s="3" t="str">
        <f t="shared" si="50"/>
        <v>Large</v>
      </c>
      <c r="AI233" s="3" t="str">
        <f t="shared" si="51"/>
        <v>Medium</v>
      </c>
      <c r="AJ233" s="3" t="str" cm="1">
        <f t="array" ref="AJ233">_xlfn.IFS(S233&gt;=80000,"VIP",S233&gt;=40000,"Gold",S233&gt;=15000,"Silver",TRUE,"Bronze")</f>
        <v>Gold</v>
      </c>
    </row>
    <row r="234" spans="1:36" x14ac:dyDescent="0.3">
      <c r="A234" s="3" t="s">
        <v>705</v>
      </c>
      <c r="B234" s="15">
        <v>46128</v>
      </c>
      <c r="C234" s="15">
        <v>46131</v>
      </c>
      <c r="D234" s="3" t="s">
        <v>706</v>
      </c>
      <c r="E234" s="3" t="s">
        <v>317</v>
      </c>
      <c r="F234" s="3" t="s">
        <v>39</v>
      </c>
      <c r="G234" s="3">
        <v>35</v>
      </c>
      <c r="H234" s="3" t="s">
        <v>40</v>
      </c>
      <c r="I234" s="3" t="s">
        <v>41</v>
      </c>
      <c r="J234" s="3" t="s">
        <v>42</v>
      </c>
      <c r="K234" s="3" t="s">
        <v>96</v>
      </c>
      <c r="L234" s="3" t="s">
        <v>166</v>
      </c>
      <c r="M234" s="3" t="s">
        <v>97</v>
      </c>
      <c r="N234" s="3" t="s">
        <v>98</v>
      </c>
      <c r="O234" s="3" t="s">
        <v>99</v>
      </c>
      <c r="P234" s="3">
        <v>4</v>
      </c>
      <c r="Q234" s="9">
        <v>4500</v>
      </c>
      <c r="R234" s="6">
        <v>0.05</v>
      </c>
      <c r="S234" s="12">
        <f t="shared" si="39"/>
        <v>17100</v>
      </c>
      <c r="T234" s="12">
        <v>3000</v>
      </c>
      <c r="U234" s="9">
        <f t="shared" si="40"/>
        <v>5100</v>
      </c>
      <c r="V234" s="6">
        <f t="shared" si="41"/>
        <v>0.2982456140350877</v>
      </c>
      <c r="W234" s="3" t="s">
        <v>100</v>
      </c>
      <c r="X234" s="3" t="s">
        <v>49</v>
      </c>
      <c r="Y234" s="3">
        <f t="shared" si="42"/>
        <v>3</v>
      </c>
      <c r="Z234" s="3" t="str">
        <f t="shared" si="43"/>
        <v>Regular</v>
      </c>
      <c r="AA234" s="3">
        <v>2</v>
      </c>
      <c r="AB234" s="3" t="str">
        <f t="shared" si="44"/>
        <v>Average</v>
      </c>
      <c r="AC234" s="3" t="str">
        <f t="shared" si="45"/>
        <v>April</v>
      </c>
      <c r="AD234" s="3" t="str">
        <f t="shared" si="46"/>
        <v>Q2</v>
      </c>
      <c r="AE234" s="3">
        <f t="shared" si="47"/>
        <v>2026</v>
      </c>
      <c r="AF234" s="3" t="str">
        <f t="shared" si="48"/>
        <v>Thursday</v>
      </c>
      <c r="AG234" s="3" t="str">
        <f t="shared" si="49"/>
        <v>26-35</v>
      </c>
      <c r="AH234" s="3" t="str">
        <f t="shared" si="50"/>
        <v>Medium</v>
      </c>
      <c r="AI234" s="3" t="str">
        <f t="shared" si="51"/>
        <v>Low</v>
      </c>
      <c r="AJ234" s="3" t="str" cm="1">
        <f t="array" ref="AJ234">_xlfn.IFS(S234&gt;=80000,"VIP",S234&gt;=40000,"Gold",S234&gt;=15000,"Silver",TRUE,"Bronze")</f>
        <v>Silver</v>
      </c>
    </row>
    <row r="235" spans="1:36" x14ac:dyDescent="0.3">
      <c r="A235" s="3" t="s">
        <v>707</v>
      </c>
      <c r="B235" s="15">
        <v>46077</v>
      </c>
      <c r="C235" s="15">
        <v>46080</v>
      </c>
      <c r="D235" s="3" t="s">
        <v>708</v>
      </c>
      <c r="E235" s="3" t="s">
        <v>709</v>
      </c>
      <c r="F235" s="3" t="s">
        <v>52</v>
      </c>
      <c r="G235" s="3">
        <v>32</v>
      </c>
      <c r="H235" s="3" t="s">
        <v>60</v>
      </c>
      <c r="I235" s="3" t="s">
        <v>61</v>
      </c>
      <c r="J235" s="3" t="s">
        <v>42</v>
      </c>
      <c r="K235" s="3" t="s">
        <v>43</v>
      </c>
      <c r="L235" s="3" t="s">
        <v>44</v>
      </c>
      <c r="M235" s="3" t="s">
        <v>45</v>
      </c>
      <c r="N235" s="3" t="s">
        <v>46</v>
      </c>
      <c r="O235" s="3" t="s">
        <v>47</v>
      </c>
      <c r="P235" s="3">
        <v>1</v>
      </c>
      <c r="Q235" s="9">
        <v>28500</v>
      </c>
      <c r="R235" s="6">
        <v>0.1</v>
      </c>
      <c r="S235" s="12">
        <f t="shared" si="39"/>
        <v>25650</v>
      </c>
      <c r="T235" s="12">
        <v>22000</v>
      </c>
      <c r="U235" s="9">
        <f t="shared" si="40"/>
        <v>3650</v>
      </c>
      <c r="V235" s="6">
        <f t="shared" si="41"/>
        <v>0.14230019493177387</v>
      </c>
      <c r="W235" s="3" t="s">
        <v>48</v>
      </c>
      <c r="X235" s="3" t="s">
        <v>49</v>
      </c>
      <c r="Y235" s="3">
        <f t="shared" si="42"/>
        <v>3</v>
      </c>
      <c r="Z235" s="3" t="str">
        <f t="shared" si="43"/>
        <v>Regular</v>
      </c>
      <c r="AA235" s="3">
        <v>3</v>
      </c>
      <c r="AB235" s="3" t="str">
        <f t="shared" si="44"/>
        <v>Average</v>
      </c>
      <c r="AC235" s="3" t="str">
        <f t="shared" si="45"/>
        <v>February</v>
      </c>
      <c r="AD235" s="3" t="str">
        <f t="shared" si="46"/>
        <v>Q1</v>
      </c>
      <c r="AE235" s="3">
        <f t="shared" si="47"/>
        <v>2026</v>
      </c>
      <c r="AF235" s="3" t="str">
        <f t="shared" si="48"/>
        <v>Tuesday</v>
      </c>
      <c r="AG235" s="3" t="str">
        <f t="shared" si="49"/>
        <v>26-35</v>
      </c>
      <c r="AH235" s="3" t="str">
        <f t="shared" si="50"/>
        <v>Medium</v>
      </c>
      <c r="AI235" s="3" t="str">
        <f t="shared" si="51"/>
        <v>Medium</v>
      </c>
      <c r="AJ235" s="3" t="str" cm="1">
        <f t="array" ref="AJ235">_xlfn.IFS(S235&gt;=80000,"VIP",S235&gt;=40000,"Gold",S235&gt;=15000,"Silver",TRUE,"Bronze")</f>
        <v>Silver</v>
      </c>
    </row>
    <row r="236" spans="1:36" x14ac:dyDescent="0.3">
      <c r="A236" s="3" t="s">
        <v>710</v>
      </c>
      <c r="B236" s="15">
        <v>46359</v>
      </c>
      <c r="C236" s="15">
        <v>46362</v>
      </c>
      <c r="D236" s="3" t="s">
        <v>711</v>
      </c>
      <c r="E236" s="3" t="s">
        <v>693</v>
      </c>
      <c r="F236" s="3" t="s">
        <v>52</v>
      </c>
      <c r="G236" s="3">
        <v>46</v>
      </c>
      <c r="H236" s="3" t="s">
        <v>53</v>
      </c>
      <c r="I236" s="3" t="s">
        <v>41</v>
      </c>
      <c r="J236" s="3" t="s">
        <v>42</v>
      </c>
      <c r="K236" s="3" t="s">
        <v>54</v>
      </c>
      <c r="L236" s="3" t="s">
        <v>173</v>
      </c>
      <c r="M236" s="3" t="s">
        <v>45</v>
      </c>
      <c r="N236" s="3" t="s">
        <v>46</v>
      </c>
      <c r="O236" s="3" t="s">
        <v>55</v>
      </c>
      <c r="P236" s="3">
        <v>4</v>
      </c>
      <c r="Q236" s="9">
        <v>79900</v>
      </c>
      <c r="R236" s="6">
        <v>0.15</v>
      </c>
      <c r="S236" s="12">
        <f t="shared" si="39"/>
        <v>271660</v>
      </c>
      <c r="T236" s="12">
        <v>65000</v>
      </c>
      <c r="U236" s="9">
        <f t="shared" si="40"/>
        <v>11660</v>
      </c>
      <c r="V236" s="6">
        <f t="shared" si="41"/>
        <v>4.292129868217625E-2</v>
      </c>
      <c r="W236" s="3" t="s">
        <v>48</v>
      </c>
      <c r="X236" s="3" t="s">
        <v>106</v>
      </c>
      <c r="Y236" s="3">
        <f t="shared" si="42"/>
        <v>3</v>
      </c>
      <c r="Z236" s="3" t="str">
        <f t="shared" si="43"/>
        <v>Premium</v>
      </c>
      <c r="AA236" s="3">
        <v>2</v>
      </c>
      <c r="AB236" s="3" t="str">
        <f t="shared" si="44"/>
        <v>Average</v>
      </c>
      <c r="AC236" s="3" t="str">
        <f t="shared" si="45"/>
        <v>December</v>
      </c>
      <c r="AD236" s="3" t="str">
        <f t="shared" si="46"/>
        <v>Q4</v>
      </c>
      <c r="AE236" s="3">
        <f t="shared" si="47"/>
        <v>2026</v>
      </c>
      <c r="AF236" s="3" t="str">
        <f t="shared" si="48"/>
        <v>Thursday</v>
      </c>
      <c r="AG236" s="3" t="str">
        <f t="shared" si="49"/>
        <v>46+</v>
      </c>
      <c r="AH236" s="3" t="str">
        <f t="shared" si="50"/>
        <v>Large</v>
      </c>
      <c r="AI236" s="3" t="str">
        <f t="shared" si="51"/>
        <v>Medium</v>
      </c>
      <c r="AJ236" s="3" t="str" cm="1">
        <f t="array" ref="AJ236">_xlfn.IFS(S236&gt;=80000,"VIP",S236&gt;=40000,"Gold",S236&gt;=15000,"Silver",TRUE,"Bronze")</f>
        <v>VIP</v>
      </c>
    </row>
    <row r="237" spans="1:36" x14ac:dyDescent="0.3">
      <c r="A237" s="3" t="s">
        <v>712</v>
      </c>
      <c r="B237" s="15">
        <v>46030</v>
      </c>
      <c r="C237" s="15">
        <v>46035</v>
      </c>
      <c r="D237" s="3" t="s">
        <v>713</v>
      </c>
      <c r="E237" s="3" t="s">
        <v>503</v>
      </c>
      <c r="F237" s="3" t="s">
        <v>52</v>
      </c>
      <c r="G237" s="3">
        <v>40</v>
      </c>
      <c r="H237" s="3" t="s">
        <v>40</v>
      </c>
      <c r="I237" s="3" t="s">
        <v>41</v>
      </c>
      <c r="J237" s="3" t="s">
        <v>42</v>
      </c>
      <c r="K237" s="3" t="s">
        <v>70</v>
      </c>
      <c r="L237" s="3" t="s">
        <v>71</v>
      </c>
      <c r="M237" s="3" t="s">
        <v>45</v>
      </c>
      <c r="N237" s="3" t="s">
        <v>63</v>
      </c>
      <c r="O237" s="3" t="s">
        <v>72</v>
      </c>
      <c r="P237" s="3">
        <v>5</v>
      </c>
      <c r="Q237" s="9">
        <v>58000</v>
      </c>
      <c r="R237" s="6">
        <v>0.12</v>
      </c>
      <c r="S237" s="12">
        <f t="shared" si="39"/>
        <v>255200</v>
      </c>
      <c r="T237" s="12">
        <v>49000</v>
      </c>
      <c r="U237" s="9">
        <f t="shared" si="40"/>
        <v>10200</v>
      </c>
      <c r="V237" s="6">
        <f t="shared" si="41"/>
        <v>3.9968652037617555E-2</v>
      </c>
      <c r="W237" s="3" t="s">
        <v>73</v>
      </c>
      <c r="X237" s="3" t="s">
        <v>106</v>
      </c>
      <c r="Y237" s="3">
        <f t="shared" si="42"/>
        <v>5</v>
      </c>
      <c r="Z237" s="3" t="str">
        <f t="shared" si="43"/>
        <v>Premium</v>
      </c>
      <c r="AA237" s="3">
        <v>3</v>
      </c>
      <c r="AB237" s="3" t="str">
        <f t="shared" si="44"/>
        <v>Average</v>
      </c>
      <c r="AC237" s="3" t="str">
        <f t="shared" si="45"/>
        <v>January</v>
      </c>
      <c r="AD237" s="3" t="str">
        <f t="shared" si="46"/>
        <v>Q1</v>
      </c>
      <c r="AE237" s="3">
        <f t="shared" si="47"/>
        <v>2026</v>
      </c>
      <c r="AF237" s="3" t="str">
        <f t="shared" si="48"/>
        <v>Thursday</v>
      </c>
      <c r="AG237" s="3" t="str">
        <f t="shared" si="49"/>
        <v>36-45</v>
      </c>
      <c r="AH237" s="3" t="str">
        <f t="shared" si="50"/>
        <v>Large</v>
      </c>
      <c r="AI237" s="3" t="str">
        <f t="shared" si="51"/>
        <v>Medium</v>
      </c>
      <c r="AJ237" s="3" t="str" cm="1">
        <f t="array" ref="AJ237">_xlfn.IFS(S237&gt;=80000,"VIP",S237&gt;=40000,"Gold",S237&gt;=15000,"Silver",TRUE,"Bronze")</f>
        <v>VIP</v>
      </c>
    </row>
    <row r="238" spans="1:36" x14ac:dyDescent="0.3">
      <c r="A238" s="3" t="s">
        <v>714</v>
      </c>
      <c r="B238" s="15">
        <v>46203</v>
      </c>
      <c r="C238" s="15">
        <v>46206</v>
      </c>
      <c r="D238" s="3" t="s">
        <v>715</v>
      </c>
      <c r="E238" s="3" t="s">
        <v>716</v>
      </c>
      <c r="F238" s="3" t="s">
        <v>52</v>
      </c>
      <c r="G238" s="3">
        <v>23</v>
      </c>
      <c r="H238" s="3" t="s">
        <v>78</v>
      </c>
      <c r="I238" s="3" t="s">
        <v>79</v>
      </c>
      <c r="J238" s="3" t="s">
        <v>80</v>
      </c>
      <c r="K238" s="3" t="s">
        <v>90</v>
      </c>
      <c r="L238" s="3" t="s">
        <v>122</v>
      </c>
      <c r="M238" s="3" t="s">
        <v>45</v>
      </c>
      <c r="N238" s="3" t="s">
        <v>91</v>
      </c>
      <c r="O238" s="3" t="s">
        <v>123</v>
      </c>
      <c r="P238" s="3">
        <v>4</v>
      </c>
      <c r="Q238" s="9">
        <v>2500</v>
      </c>
      <c r="R238" s="6">
        <v>0.15</v>
      </c>
      <c r="S238" s="12">
        <f t="shared" si="39"/>
        <v>8500</v>
      </c>
      <c r="T238" s="12">
        <v>1700</v>
      </c>
      <c r="U238" s="9">
        <f t="shared" si="40"/>
        <v>1700</v>
      </c>
      <c r="V238" s="6">
        <f t="shared" si="41"/>
        <v>0.2</v>
      </c>
      <c r="W238" s="3" t="s">
        <v>56</v>
      </c>
      <c r="X238" s="3" t="s">
        <v>74</v>
      </c>
      <c r="Y238" s="3">
        <f t="shared" si="42"/>
        <v>3</v>
      </c>
      <c r="Z238" s="3" t="str">
        <f t="shared" si="43"/>
        <v>Regular</v>
      </c>
      <c r="AA238" s="3">
        <v>2</v>
      </c>
      <c r="AB238" s="3" t="str">
        <f t="shared" si="44"/>
        <v>Average</v>
      </c>
      <c r="AC238" s="3" t="str">
        <f t="shared" si="45"/>
        <v>June</v>
      </c>
      <c r="AD238" s="3" t="str">
        <f t="shared" si="46"/>
        <v>Q2</v>
      </c>
      <c r="AE238" s="3">
        <f t="shared" si="47"/>
        <v>2026</v>
      </c>
      <c r="AF238" s="3" t="str">
        <f t="shared" si="48"/>
        <v>Tuesday</v>
      </c>
      <c r="AG238" s="3" t="str">
        <f t="shared" si="49"/>
        <v>18-25</v>
      </c>
      <c r="AH238" s="3" t="str">
        <f t="shared" si="50"/>
        <v>Small</v>
      </c>
      <c r="AI238" s="3" t="str">
        <f t="shared" si="51"/>
        <v>Medium</v>
      </c>
      <c r="AJ238" s="3" t="str" cm="1">
        <f t="array" ref="AJ238">_xlfn.IFS(S238&gt;=80000,"VIP",S238&gt;=40000,"Gold",S238&gt;=15000,"Silver",TRUE,"Bronze")</f>
        <v>Bronze</v>
      </c>
    </row>
    <row r="239" spans="1:36" x14ac:dyDescent="0.3">
      <c r="A239" s="3" t="s">
        <v>717</v>
      </c>
      <c r="B239" s="15">
        <v>46246</v>
      </c>
      <c r="C239" s="15">
        <v>46250</v>
      </c>
      <c r="D239" s="3" t="s">
        <v>718</v>
      </c>
      <c r="E239" s="3" t="s">
        <v>719</v>
      </c>
      <c r="F239" s="3" t="s">
        <v>52</v>
      </c>
      <c r="G239" s="3">
        <v>25</v>
      </c>
      <c r="H239" s="3" t="s">
        <v>110</v>
      </c>
      <c r="I239" s="3" t="s">
        <v>111</v>
      </c>
      <c r="J239" s="3" t="s">
        <v>80</v>
      </c>
      <c r="K239" s="3" t="s">
        <v>90</v>
      </c>
      <c r="L239" s="3" t="s">
        <v>122</v>
      </c>
      <c r="M239" s="3" t="s">
        <v>45</v>
      </c>
      <c r="N239" s="3" t="s">
        <v>91</v>
      </c>
      <c r="O239" s="3" t="s">
        <v>123</v>
      </c>
      <c r="P239" s="3">
        <v>5</v>
      </c>
      <c r="Q239" s="9">
        <v>2500</v>
      </c>
      <c r="R239" s="6">
        <v>0.08</v>
      </c>
      <c r="S239" s="12">
        <f t="shared" si="39"/>
        <v>11500</v>
      </c>
      <c r="T239" s="12">
        <v>1700</v>
      </c>
      <c r="U239" s="9">
        <f t="shared" si="40"/>
        <v>3000</v>
      </c>
      <c r="V239" s="6">
        <f t="shared" si="41"/>
        <v>0.2608695652173913</v>
      </c>
      <c r="W239" s="3" t="s">
        <v>100</v>
      </c>
      <c r="X239" s="3" t="s">
        <v>49</v>
      </c>
      <c r="Y239" s="3">
        <f t="shared" si="42"/>
        <v>4</v>
      </c>
      <c r="Z239" s="3" t="str">
        <f t="shared" si="43"/>
        <v>Regular</v>
      </c>
      <c r="AA239" s="3">
        <v>5</v>
      </c>
      <c r="AB239" s="3" t="str">
        <f t="shared" si="44"/>
        <v>Excellent</v>
      </c>
      <c r="AC239" s="3" t="str">
        <f t="shared" si="45"/>
        <v>August</v>
      </c>
      <c r="AD239" s="3" t="str">
        <f t="shared" si="46"/>
        <v>Q3</v>
      </c>
      <c r="AE239" s="3">
        <f t="shared" si="47"/>
        <v>2026</v>
      </c>
      <c r="AF239" s="3" t="str">
        <f t="shared" si="48"/>
        <v>Wednesday</v>
      </c>
      <c r="AG239" s="3" t="str">
        <f t="shared" si="49"/>
        <v>18-25</v>
      </c>
      <c r="AH239" s="3" t="str">
        <f t="shared" si="50"/>
        <v>Medium</v>
      </c>
      <c r="AI239" s="3" t="str">
        <f t="shared" si="51"/>
        <v>Medium</v>
      </c>
      <c r="AJ239" s="3" t="str" cm="1">
        <f t="array" ref="AJ239">_xlfn.IFS(S239&gt;=80000,"VIP",S239&gt;=40000,"Gold",S239&gt;=15000,"Silver",TRUE,"Bronze")</f>
        <v>Bronze</v>
      </c>
    </row>
    <row r="240" spans="1:36" x14ac:dyDescent="0.3">
      <c r="A240" s="3" t="s">
        <v>720</v>
      </c>
      <c r="B240" s="15">
        <v>46076</v>
      </c>
      <c r="C240" s="15">
        <v>46078</v>
      </c>
      <c r="D240" s="3" t="s">
        <v>721</v>
      </c>
      <c r="E240" s="3" t="s">
        <v>722</v>
      </c>
      <c r="F240" s="3" t="s">
        <v>52</v>
      </c>
      <c r="G240" s="3">
        <v>22</v>
      </c>
      <c r="H240" s="3" t="s">
        <v>40</v>
      </c>
      <c r="I240" s="3" t="s">
        <v>41</v>
      </c>
      <c r="J240" s="3" t="s">
        <v>42</v>
      </c>
      <c r="K240" s="3" t="s">
        <v>54</v>
      </c>
      <c r="L240" s="3" t="s">
        <v>173</v>
      </c>
      <c r="M240" s="3" t="s">
        <v>45</v>
      </c>
      <c r="N240" s="3" t="s">
        <v>46</v>
      </c>
      <c r="O240" s="3" t="s">
        <v>55</v>
      </c>
      <c r="P240" s="3">
        <v>4</v>
      </c>
      <c r="Q240" s="9">
        <v>79900</v>
      </c>
      <c r="R240" s="6">
        <v>0.1</v>
      </c>
      <c r="S240" s="12">
        <f t="shared" si="39"/>
        <v>287640</v>
      </c>
      <c r="T240" s="12">
        <v>65000</v>
      </c>
      <c r="U240" s="9">
        <f t="shared" si="40"/>
        <v>27640</v>
      </c>
      <c r="V240" s="6">
        <f t="shared" si="41"/>
        <v>9.6092337644277576E-2</v>
      </c>
      <c r="W240" s="3" t="s">
        <v>100</v>
      </c>
      <c r="X240" s="3" t="s">
        <v>106</v>
      </c>
      <c r="Y240" s="3">
        <f t="shared" si="42"/>
        <v>2</v>
      </c>
      <c r="Z240" s="3" t="str">
        <f t="shared" si="43"/>
        <v>Premium</v>
      </c>
      <c r="AA240" s="3">
        <v>4</v>
      </c>
      <c r="AB240" s="3" t="str">
        <f t="shared" si="44"/>
        <v>Excellent</v>
      </c>
      <c r="AC240" s="3" t="str">
        <f t="shared" si="45"/>
        <v>February</v>
      </c>
      <c r="AD240" s="3" t="str">
        <f t="shared" si="46"/>
        <v>Q1</v>
      </c>
      <c r="AE240" s="3">
        <f t="shared" si="47"/>
        <v>2026</v>
      </c>
      <c r="AF240" s="3" t="str">
        <f t="shared" si="48"/>
        <v>Monday</v>
      </c>
      <c r="AG240" s="3" t="str">
        <f t="shared" si="49"/>
        <v>18-25</v>
      </c>
      <c r="AH240" s="3" t="str">
        <f t="shared" si="50"/>
        <v>Large</v>
      </c>
      <c r="AI240" s="3" t="str">
        <f t="shared" si="51"/>
        <v>Medium</v>
      </c>
      <c r="AJ240" s="3" t="str" cm="1">
        <f t="array" ref="AJ240">_xlfn.IFS(S240&gt;=80000,"VIP",S240&gt;=40000,"Gold",S240&gt;=15000,"Silver",TRUE,"Bronze")</f>
        <v>VIP</v>
      </c>
    </row>
    <row r="241" spans="1:36" x14ac:dyDescent="0.3">
      <c r="A241" s="3" t="s">
        <v>723</v>
      </c>
      <c r="B241" s="15">
        <v>46157</v>
      </c>
      <c r="C241" s="15">
        <v>46163</v>
      </c>
      <c r="D241" s="3" t="s">
        <v>724</v>
      </c>
      <c r="E241" s="3" t="s">
        <v>266</v>
      </c>
      <c r="F241" s="3" t="s">
        <v>39</v>
      </c>
      <c r="G241" s="3">
        <v>36</v>
      </c>
      <c r="H241" s="3" t="s">
        <v>53</v>
      </c>
      <c r="I241" s="3" t="s">
        <v>41</v>
      </c>
      <c r="J241" s="3" t="s">
        <v>42</v>
      </c>
      <c r="K241" s="3" t="s">
        <v>62</v>
      </c>
      <c r="L241" s="3" t="s">
        <v>163</v>
      </c>
      <c r="M241" s="3" t="s">
        <v>45</v>
      </c>
      <c r="N241" s="3" t="s">
        <v>63</v>
      </c>
      <c r="O241" s="3" t="s">
        <v>64</v>
      </c>
      <c r="P241" s="3">
        <v>4</v>
      </c>
      <c r="Q241" s="9">
        <v>62000</v>
      </c>
      <c r="R241" s="6">
        <v>0.15</v>
      </c>
      <c r="S241" s="12">
        <f t="shared" si="39"/>
        <v>210800</v>
      </c>
      <c r="T241" s="12">
        <v>52000</v>
      </c>
      <c r="U241" s="9">
        <f t="shared" si="40"/>
        <v>2800</v>
      </c>
      <c r="V241" s="6">
        <f t="shared" si="41"/>
        <v>1.3282732447817837E-2</v>
      </c>
      <c r="W241" s="3" t="s">
        <v>56</v>
      </c>
      <c r="X241" s="3" t="s">
        <v>101</v>
      </c>
      <c r="Y241" s="3">
        <f t="shared" si="42"/>
        <v>6</v>
      </c>
      <c r="Z241" s="3" t="str">
        <f t="shared" si="43"/>
        <v>Premium</v>
      </c>
      <c r="AA241" s="3">
        <v>2</v>
      </c>
      <c r="AB241" s="3" t="str">
        <f t="shared" si="44"/>
        <v>Average</v>
      </c>
      <c r="AC241" s="3" t="str">
        <f t="shared" si="45"/>
        <v>May</v>
      </c>
      <c r="AD241" s="3" t="str">
        <f t="shared" si="46"/>
        <v>Q2</v>
      </c>
      <c r="AE241" s="3">
        <f t="shared" si="47"/>
        <v>2026</v>
      </c>
      <c r="AF241" s="3" t="str">
        <f t="shared" si="48"/>
        <v>Friday</v>
      </c>
      <c r="AG241" s="3" t="str">
        <f t="shared" si="49"/>
        <v>36-45</v>
      </c>
      <c r="AH241" s="3" t="str">
        <f t="shared" si="50"/>
        <v>Large</v>
      </c>
      <c r="AI241" s="3" t="str">
        <f t="shared" si="51"/>
        <v>Medium</v>
      </c>
      <c r="AJ241" s="3" t="str" cm="1">
        <f t="array" ref="AJ241">_xlfn.IFS(S241&gt;=80000,"VIP",S241&gt;=40000,"Gold",S241&gt;=15000,"Silver",TRUE,"Bronze")</f>
        <v>VIP</v>
      </c>
    </row>
    <row r="242" spans="1:36" x14ac:dyDescent="0.3">
      <c r="A242" s="3" t="s">
        <v>725</v>
      </c>
      <c r="B242" s="15">
        <v>46174</v>
      </c>
      <c r="C242" s="15">
        <v>46177</v>
      </c>
      <c r="D242" s="3" t="s">
        <v>726</v>
      </c>
      <c r="E242" s="3" t="s">
        <v>385</v>
      </c>
      <c r="F242" s="3" t="s">
        <v>52</v>
      </c>
      <c r="G242" s="3">
        <v>26</v>
      </c>
      <c r="H242" s="3" t="s">
        <v>53</v>
      </c>
      <c r="I242" s="3" t="s">
        <v>41</v>
      </c>
      <c r="J242" s="3" t="s">
        <v>42</v>
      </c>
      <c r="K242" s="3" t="s">
        <v>70</v>
      </c>
      <c r="L242" s="3" t="s">
        <v>71</v>
      </c>
      <c r="M242" s="3" t="s">
        <v>45</v>
      </c>
      <c r="N242" s="3" t="s">
        <v>63</v>
      </c>
      <c r="O242" s="3" t="s">
        <v>72</v>
      </c>
      <c r="P242" s="3">
        <v>3</v>
      </c>
      <c r="Q242" s="9">
        <v>58000</v>
      </c>
      <c r="R242" s="6">
        <v>0.08</v>
      </c>
      <c r="S242" s="12">
        <f t="shared" si="39"/>
        <v>160080</v>
      </c>
      <c r="T242" s="12">
        <v>49000</v>
      </c>
      <c r="U242" s="9">
        <f t="shared" si="40"/>
        <v>13080</v>
      </c>
      <c r="V242" s="6">
        <f t="shared" si="41"/>
        <v>8.1709145427286356E-2</v>
      </c>
      <c r="W242" s="3" t="s">
        <v>56</v>
      </c>
      <c r="X242" s="3" t="s">
        <v>106</v>
      </c>
      <c r="Y242" s="3">
        <f t="shared" si="42"/>
        <v>3</v>
      </c>
      <c r="Z242" s="3" t="str">
        <f t="shared" si="43"/>
        <v>Premium</v>
      </c>
      <c r="AA242" s="3">
        <v>3</v>
      </c>
      <c r="AB242" s="3" t="str">
        <f t="shared" si="44"/>
        <v>Average</v>
      </c>
      <c r="AC242" s="3" t="str">
        <f t="shared" si="45"/>
        <v>June</v>
      </c>
      <c r="AD242" s="3" t="str">
        <f t="shared" si="46"/>
        <v>Q2</v>
      </c>
      <c r="AE242" s="3">
        <f t="shared" si="47"/>
        <v>2026</v>
      </c>
      <c r="AF242" s="3" t="str">
        <f t="shared" si="48"/>
        <v>Monday</v>
      </c>
      <c r="AG242" s="3" t="str">
        <f t="shared" si="49"/>
        <v>26-35</v>
      </c>
      <c r="AH242" s="3" t="str">
        <f t="shared" si="50"/>
        <v>Large</v>
      </c>
      <c r="AI242" s="3" t="str">
        <f t="shared" si="51"/>
        <v>Medium</v>
      </c>
      <c r="AJ242" s="3" t="str" cm="1">
        <f t="array" ref="AJ242">_xlfn.IFS(S242&gt;=80000,"VIP",S242&gt;=40000,"Gold",S242&gt;=15000,"Silver",TRUE,"Bronze")</f>
        <v>VIP</v>
      </c>
    </row>
    <row r="243" spans="1:36" x14ac:dyDescent="0.3">
      <c r="A243" s="3" t="s">
        <v>727</v>
      </c>
      <c r="B243" s="15">
        <v>46336</v>
      </c>
      <c r="C243" s="15">
        <v>46342</v>
      </c>
      <c r="D243" s="3" t="s">
        <v>728</v>
      </c>
      <c r="E243" s="3" t="s">
        <v>171</v>
      </c>
      <c r="F243" s="3" t="s">
        <v>39</v>
      </c>
      <c r="G243" s="3">
        <v>32</v>
      </c>
      <c r="H243" s="3" t="s">
        <v>40</v>
      </c>
      <c r="I243" s="3" t="s">
        <v>41</v>
      </c>
      <c r="J243" s="3" t="s">
        <v>42</v>
      </c>
      <c r="K243" s="3" t="s">
        <v>96</v>
      </c>
      <c r="L243" s="3" t="s">
        <v>166</v>
      </c>
      <c r="M243" s="3" t="s">
        <v>97</v>
      </c>
      <c r="N243" s="3" t="s">
        <v>98</v>
      </c>
      <c r="O243" s="3" t="s">
        <v>99</v>
      </c>
      <c r="P243" s="3">
        <v>2</v>
      </c>
      <c r="Q243" s="9">
        <v>4500</v>
      </c>
      <c r="R243" s="6">
        <v>0.12</v>
      </c>
      <c r="S243" s="12">
        <f t="shared" si="39"/>
        <v>7920</v>
      </c>
      <c r="T243" s="12">
        <v>3000</v>
      </c>
      <c r="U243" s="9">
        <f t="shared" si="40"/>
        <v>1920</v>
      </c>
      <c r="V243" s="6">
        <f t="shared" si="41"/>
        <v>0.24242424242424243</v>
      </c>
      <c r="W243" s="3" t="s">
        <v>56</v>
      </c>
      <c r="X243" s="3" t="s">
        <v>106</v>
      </c>
      <c r="Y243" s="3">
        <f t="shared" si="42"/>
        <v>6</v>
      </c>
      <c r="Z243" s="3" t="str">
        <f t="shared" si="43"/>
        <v>Regular</v>
      </c>
      <c r="AA243" s="3">
        <v>5</v>
      </c>
      <c r="AB243" s="3" t="str">
        <f t="shared" si="44"/>
        <v>Excellent</v>
      </c>
      <c r="AC243" s="3" t="str">
        <f t="shared" si="45"/>
        <v>November</v>
      </c>
      <c r="AD243" s="3" t="str">
        <f t="shared" si="46"/>
        <v>Q4</v>
      </c>
      <c r="AE243" s="3">
        <f t="shared" si="47"/>
        <v>2026</v>
      </c>
      <c r="AF243" s="3" t="str">
        <f t="shared" si="48"/>
        <v>Tuesday</v>
      </c>
      <c r="AG243" s="3" t="str">
        <f t="shared" si="49"/>
        <v>26-35</v>
      </c>
      <c r="AH243" s="3" t="str">
        <f t="shared" si="50"/>
        <v>Small</v>
      </c>
      <c r="AI243" s="3" t="str">
        <f t="shared" si="51"/>
        <v>Medium</v>
      </c>
      <c r="AJ243" s="3" t="str" cm="1">
        <f t="array" ref="AJ243">_xlfn.IFS(S243&gt;=80000,"VIP",S243&gt;=40000,"Gold",S243&gt;=15000,"Silver",TRUE,"Bronze")</f>
        <v>Bronze</v>
      </c>
    </row>
    <row r="244" spans="1:36" x14ac:dyDescent="0.3">
      <c r="A244" s="3" t="s">
        <v>729</v>
      </c>
      <c r="B244" s="15">
        <v>46373</v>
      </c>
      <c r="C244" s="15">
        <v>46375</v>
      </c>
      <c r="D244" s="3" t="s">
        <v>730</v>
      </c>
      <c r="E244" s="3" t="s">
        <v>177</v>
      </c>
      <c r="F244" s="3" t="s">
        <v>39</v>
      </c>
      <c r="G244" s="3">
        <v>38</v>
      </c>
      <c r="H244" s="3" t="s">
        <v>40</v>
      </c>
      <c r="I244" s="3" t="s">
        <v>41</v>
      </c>
      <c r="J244" s="3" t="s">
        <v>42</v>
      </c>
      <c r="K244" s="3" t="s">
        <v>54</v>
      </c>
      <c r="L244" s="3" t="s">
        <v>173</v>
      </c>
      <c r="M244" s="3" t="s">
        <v>45</v>
      </c>
      <c r="N244" s="3" t="s">
        <v>46</v>
      </c>
      <c r="O244" s="3" t="s">
        <v>55</v>
      </c>
      <c r="P244" s="3">
        <v>5</v>
      </c>
      <c r="Q244" s="9">
        <v>79900</v>
      </c>
      <c r="R244" s="6">
        <v>0.2</v>
      </c>
      <c r="S244" s="12">
        <f t="shared" si="39"/>
        <v>319600</v>
      </c>
      <c r="T244" s="12">
        <v>65000</v>
      </c>
      <c r="U244" s="9">
        <f t="shared" si="40"/>
        <v>-5400</v>
      </c>
      <c r="V244" s="6">
        <f t="shared" si="41"/>
        <v>-1.6896120150187734E-2</v>
      </c>
      <c r="W244" s="3" t="s">
        <v>100</v>
      </c>
      <c r="X244" s="3" t="s">
        <v>101</v>
      </c>
      <c r="Y244" s="3">
        <f t="shared" si="42"/>
        <v>2</v>
      </c>
      <c r="Z244" s="3" t="str">
        <f t="shared" si="43"/>
        <v>Premium</v>
      </c>
      <c r="AA244" s="3">
        <v>5</v>
      </c>
      <c r="AB244" s="3" t="str">
        <f t="shared" si="44"/>
        <v>Excellent</v>
      </c>
      <c r="AC244" s="3" t="str">
        <f t="shared" si="45"/>
        <v>December</v>
      </c>
      <c r="AD244" s="3" t="str">
        <f t="shared" si="46"/>
        <v>Q4</v>
      </c>
      <c r="AE244" s="3">
        <f t="shared" si="47"/>
        <v>2026</v>
      </c>
      <c r="AF244" s="3" t="str">
        <f t="shared" si="48"/>
        <v>Thursday</v>
      </c>
      <c r="AG244" s="3" t="str">
        <f t="shared" si="49"/>
        <v>36-45</v>
      </c>
      <c r="AH244" s="3" t="str">
        <f t="shared" si="50"/>
        <v>Large</v>
      </c>
      <c r="AI244" s="3" t="str">
        <f t="shared" si="51"/>
        <v>High</v>
      </c>
      <c r="AJ244" s="3" t="str" cm="1">
        <f t="array" ref="AJ244">_xlfn.IFS(S244&gt;=80000,"VIP",S244&gt;=40000,"Gold",S244&gt;=15000,"Silver",TRUE,"Bronze")</f>
        <v>VIP</v>
      </c>
    </row>
    <row r="245" spans="1:36" x14ac:dyDescent="0.3">
      <c r="A245" s="3" t="s">
        <v>731</v>
      </c>
      <c r="B245" s="15">
        <v>46330</v>
      </c>
      <c r="C245" s="15">
        <v>46335</v>
      </c>
      <c r="D245" s="3" t="s">
        <v>732</v>
      </c>
      <c r="E245" s="3" t="s">
        <v>344</v>
      </c>
      <c r="F245" s="3" t="s">
        <v>52</v>
      </c>
      <c r="G245" s="3">
        <v>34</v>
      </c>
      <c r="H245" s="3" t="s">
        <v>110</v>
      </c>
      <c r="I245" s="3" t="s">
        <v>111</v>
      </c>
      <c r="J245" s="3" t="s">
        <v>80</v>
      </c>
      <c r="K245" s="3" t="s">
        <v>90</v>
      </c>
      <c r="L245" s="3" t="s">
        <v>122</v>
      </c>
      <c r="M245" s="3" t="s">
        <v>45</v>
      </c>
      <c r="N245" s="3" t="s">
        <v>91</v>
      </c>
      <c r="O245" s="3" t="s">
        <v>123</v>
      </c>
      <c r="P245" s="3">
        <v>3</v>
      </c>
      <c r="Q245" s="9">
        <v>2500</v>
      </c>
      <c r="R245" s="6">
        <v>0.05</v>
      </c>
      <c r="S245" s="12">
        <f t="shared" si="39"/>
        <v>7125</v>
      </c>
      <c r="T245" s="12">
        <v>1700</v>
      </c>
      <c r="U245" s="9">
        <f t="shared" si="40"/>
        <v>2025</v>
      </c>
      <c r="V245" s="6">
        <f t="shared" si="41"/>
        <v>0.28421052631578947</v>
      </c>
      <c r="W245" s="3" t="s">
        <v>92</v>
      </c>
      <c r="X245" s="3" t="s">
        <v>106</v>
      </c>
      <c r="Y245" s="3">
        <f t="shared" si="42"/>
        <v>5</v>
      </c>
      <c r="Z245" s="3" t="str">
        <f t="shared" si="43"/>
        <v>Regular</v>
      </c>
      <c r="AA245" s="3">
        <v>5</v>
      </c>
      <c r="AB245" s="3" t="str">
        <f t="shared" si="44"/>
        <v>Excellent</v>
      </c>
      <c r="AC245" s="3" t="str">
        <f t="shared" si="45"/>
        <v>November</v>
      </c>
      <c r="AD245" s="3" t="str">
        <f t="shared" si="46"/>
        <v>Q4</v>
      </c>
      <c r="AE245" s="3">
        <f t="shared" si="47"/>
        <v>2026</v>
      </c>
      <c r="AF245" s="3" t="str">
        <f t="shared" si="48"/>
        <v>Wednesday</v>
      </c>
      <c r="AG245" s="3" t="str">
        <f t="shared" si="49"/>
        <v>26-35</v>
      </c>
      <c r="AH245" s="3" t="str">
        <f t="shared" si="50"/>
        <v>Small</v>
      </c>
      <c r="AI245" s="3" t="str">
        <f t="shared" si="51"/>
        <v>Low</v>
      </c>
      <c r="AJ245" s="3" t="str" cm="1">
        <f t="array" ref="AJ245">_xlfn.IFS(S245&gt;=80000,"VIP",S245&gt;=40000,"Gold",S245&gt;=15000,"Silver",TRUE,"Bronze")</f>
        <v>Bronze</v>
      </c>
    </row>
    <row r="246" spans="1:36" x14ac:dyDescent="0.3">
      <c r="A246" s="3" t="s">
        <v>733</v>
      </c>
      <c r="B246" s="15">
        <v>46306</v>
      </c>
      <c r="C246" s="15">
        <v>46308</v>
      </c>
      <c r="D246" s="3" t="s">
        <v>734</v>
      </c>
      <c r="E246" s="3" t="s">
        <v>181</v>
      </c>
      <c r="F246" s="3" t="s">
        <v>52</v>
      </c>
      <c r="G246" s="3">
        <v>41</v>
      </c>
      <c r="H246" s="3" t="s">
        <v>88</v>
      </c>
      <c r="I246" s="3" t="s">
        <v>89</v>
      </c>
      <c r="J246" s="3" t="s">
        <v>80</v>
      </c>
      <c r="K246" s="3" t="s">
        <v>62</v>
      </c>
      <c r="L246" s="3" t="s">
        <v>163</v>
      </c>
      <c r="M246" s="3" t="s">
        <v>45</v>
      </c>
      <c r="N246" s="3" t="s">
        <v>63</v>
      </c>
      <c r="O246" s="3" t="s">
        <v>64</v>
      </c>
      <c r="P246" s="3">
        <v>1</v>
      </c>
      <c r="Q246" s="9">
        <v>62000</v>
      </c>
      <c r="R246" s="6">
        <v>0.1</v>
      </c>
      <c r="S246" s="12">
        <f t="shared" si="39"/>
        <v>55800</v>
      </c>
      <c r="T246" s="12">
        <v>52000</v>
      </c>
      <c r="U246" s="9">
        <f t="shared" si="40"/>
        <v>3800</v>
      </c>
      <c r="V246" s="6">
        <f t="shared" si="41"/>
        <v>6.8100358422939072E-2</v>
      </c>
      <c r="W246" s="3" t="s">
        <v>56</v>
      </c>
      <c r="X246" s="3" t="s">
        <v>74</v>
      </c>
      <c r="Y246" s="3">
        <f t="shared" si="42"/>
        <v>2</v>
      </c>
      <c r="Z246" s="3" t="str">
        <f t="shared" si="43"/>
        <v>Premium</v>
      </c>
      <c r="AA246" s="3">
        <v>4</v>
      </c>
      <c r="AB246" s="3" t="str">
        <f t="shared" si="44"/>
        <v>Excellent</v>
      </c>
      <c r="AC246" s="3" t="str">
        <f t="shared" si="45"/>
        <v>October</v>
      </c>
      <c r="AD246" s="3" t="str">
        <f t="shared" si="46"/>
        <v>Q4</v>
      </c>
      <c r="AE246" s="3">
        <f t="shared" si="47"/>
        <v>2026</v>
      </c>
      <c r="AF246" s="3" t="str">
        <f t="shared" si="48"/>
        <v>Sunday</v>
      </c>
      <c r="AG246" s="3" t="str">
        <f t="shared" si="49"/>
        <v>36-45</v>
      </c>
      <c r="AH246" s="3" t="str">
        <f t="shared" si="50"/>
        <v>Large</v>
      </c>
      <c r="AI246" s="3" t="str">
        <f t="shared" si="51"/>
        <v>Medium</v>
      </c>
      <c r="AJ246" s="3" t="str" cm="1">
        <f t="array" ref="AJ246">_xlfn.IFS(S246&gt;=80000,"VIP",S246&gt;=40000,"Gold",S246&gt;=15000,"Silver",TRUE,"Bronze")</f>
        <v>Gold</v>
      </c>
    </row>
    <row r="247" spans="1:36" x14ac:dyDescent="0.3">
      <c r="A247" s="3" t="s">
        <v>735</v>
      </c>
      <c r="B247" s="15">
        <v>46044</v>
      </c>
      <c r="C247" s="15">
        <v>46047</v>
      </c>
      <c r="D247" s="3" t="s">
        <v>736</v>
      </c>
      <c r="E247" s="3" t="s">
        <v>333</v>
      </c>
      <c r="F247" s="3" t="s">
        <v>39</v>
      </c>
      <c r="G247" s="3">
        <v>49</v>
      </c>
      <c r="H247" s="3" t="s">
        <v>110</v>
      </c>
      <c r="I247" s="3" t="s">
        <v>111</v>
      </c>
      <c r="J247" s="3" t="s">
        <v>80</v>
      </c>
      <c r="K247" s="3" t="s">
        <v>105</v>
      </c>
      <c r="L247" s="3" t="s">
        <v>112</v>
      </c>
      <c r="M247" s="3" t="s">
        <v>113</v>
      </c>
      <c r="N247" s="3" t="s">
        <v>114</v>
      </c>
      <c r="O247" s="3" t="s">
        <v>115</v>
      </c>
      <c r="P247" s="3">
        <v>2</v>
      </c>
      <c r="Q247" s="9">
        <v>3500</v>
      </c>
      <c r="R247" s="6">
        <v>0.15</v>
      </c>
      <c r="S247" s="12">
        <f t="shared" si="39"/>
        <v>5950</v>
      </c>
      <c r="T247" s="12">
        <v>2500</v>
      </c>
      <c r="U247" s="9">
        <f t="shared" si="40"/>
        <v>950</v>
      </c>
      <c r="V247" s="6">
        <f t="shared" si="41"/>
        <v>0.15966386554621848</v>
      </c>
      <c r="W247" s="3" t="s">
        <v>100</v>
      </c>
      <c r="X247" s="3" t="s">
        <v>74</v>
      </c>
      <c r="Y247" s="3">
        <f t="shared" si="42"/>
        <v>3</v>
      </c>
      <c r="Z247" s="3" t="str">
        <f t="shared" si="43"/>
        <v>Regular</v>
      </c>
      <c r="AA247" s="3">
        <v>5</v>
      </c>
      <c r="AB247" s="3" t="str">
        <f t="shared" si="44"/>
        <v>Excellent</v>
      </c>
      <c r="AC247" s="3" t="str">
        <f t="shared" si="45"/>
        <v>January</v>
      </c>
      <c r="AD247" s="3" t="str">
        <f t="shared" si="46"/>
        <v>Q1</v>
      </c>
      <c r="AE247" s="3">
        <f t="shared" si="47"/>
        <v>2026</v>
      </c>
      <c r="AF247" s="3" t="str">
        <f t="shared" si="48"/>
        <v>Thursday</v>
      </c>
      <c r="AG247" s="3" t="str">
        <f t="shared" si="49"/>
        <v>46+</v>
      </c>
      <c r="AH247" s="3" t="str">
        <f t="shared" si="50"/>
        <v>Small</v>
      </c>
      <c r="AI247" s="3" t="str">
        <f t="shared" si="51"/>
        <v>Medium</v>
      </c>
      <c r="AJ247" s="3" t="str" cm="1">
        <f t="array" ref="AJ247">_xlfn.IFS(S247&gt;=80000,"VIP",S247&gt;=40000,"Gold",S247&gt;=15000,"Silver",TRUE,"Bronze")</f>
        <v>Bronze</v>
      </c>
    </row>
    <row r="248" spans="1:36" x14ac:dyDescent="0.3">
      <c r="A248" s="3" t="s">
        <v>737</v>
      </c>
      <c r="B248" s="15">
        <v>46297</v>
      </c>
      <c r="C248" s="15">
        <v>46303</v>
      </c>
      <c r="D248" s="3" t="s">
        <v>738</v>
      </c>
      <c r="E248" s="3" t="s">
        <v>77</v>
      </c>
      <c r="F248" s="3" t="s">
        <v>39</v>
      </c>
      <c r="G248" s="3">
        <v>22</v>
      </c>
      <c r="H248" s="3" t="s">
        <v>53</v>
      </c>
      <c r="I248" s="3" t="s">
        <v>41</v>
      </c>
      <c r="J248" s="3" t="s">
        <v>42</v>
      </c>
      <c r="K248" s="3" t="s">
        <v>54</v>
      </c>
      <c r="L248" s="3" t="s">
        <v>173</v>
      </c>
      <c r="M248" s="3" t="s">
        <v>45</v>
      </c>
      <c r="N248" s="3" t="s">
        <v>46</v>
      </c>
      <c r="O248" s="3" t="s">
        <v>55</v>
      </c>
      <c r="P248" s="3">
        <v>2</v>
      </c>
      <c r="Q248" s="9">
        <v>79900</v>
      </c>
      <c r="R248" s="6">
        <v>0.08</v>
      </c>
      <c r="S248" s="12">
        <f t="shared" si="39"/>
        <v>147016</v>
      </c>
      <c r="T248" s="12">
        <v>65000</v>
      </c>
      <c r="U248" s="9">
        <f t="shared" si="40"/>
        <v>17016</v>
      </c>
      <c r="V248" s="6">
        <f t="shared" si="41"/>
        <v>0.11574250421722805</v>
      </c>
      <c r="W248" s="3" t="s">
        <v>56</v>
      </c>
      <c r="X248" s="3" t="s">
        <v>106</v>
      </c>
      <c r="Y248" s="3">
        <f t="shared" si="42"/>
        <v>6</v>
      </c>
      <c r="Z248" s="3" t="str">
        <f t="shared" si="43"/>
        <v>Premium</v>
      </c>
      <c r="AA248" s="3">
        <v>5</v>
      </c>
      <c r="AB248" s="3" t="str">
        <f t="shared" si="44"/>
        <v>Excellent</v>
      </c>
      <c r="AC248" s="3" t="str">
        <f t="shared" si="45"/>
        <v>October</v>
      </c>
      <c r="AD248" s="3" t="str">
        <f t="shared" si="46"/>
        <v>Q4</v>
      </c>
      <c r="AE248" s="3">
        <f t="shared" si="47"/>
        <v>2026</v>
      </c>
      <c r="AF248" s="3" t="str">
        <f t="shared" si="48"/>
        <v>Friday</v>
      </c>
      <c r="AG248" s="3" t="str">
        <f t="shared" si="49"/>
        <v>18-25</v>
      </c>
      <c r="AH248" s="3" t="str">
        <f t="shared" si="50"/>
        <v>Large</v>
      </c>
      <c r="AI248" s="3" t="str">
        <f t="shared" si="51"/>
        <v>Medium</v>
      </c>
      <c r="AJ248" s="3" t="str" cm="1">
        <f t="array" ref="AJ248">_xlfn.IFS(S248&gt;=80000,"VIP",S248&gt;=40000,"Gold",S248&gt;=15000,"Silver",TRUE,"Bronze")</f>
        <v>VIP</v>
      </c>
    </row>
    <row r="249" spans="1:36" x14ac:dyDescent="0.3">
      <c r="A249" s="3" t="s">
        <v>739</v>
      </c>
      <c r="B249" s="15">
        <v>46117</v>
      </c>
      <c r="C249" s="15">
        <v>46120</v>
      </c>
      <c r="D249" s="3" t="s">
        <v>740</v>
      </c>
      <c r="E249" s="3" t="s">
        <v>741</v>
      </c>
      <c r="F249" s="3" t="s">
        <v>39</v>
      </c>
      <c r="G249" s="3">
        <v>48</v>
      </c>
      <c r="H249" s="3" t="s">
        <v>53</v>
      </c>
      <c r="I249" s="3" t="s">
        <v>41</v>
      </c>
      <c r="J249" s="3" t="s">
        <v>42</v>
      </c>
      <c r="K249" s="3" t="s">
        <v>54</v>
      </c>
      <c r="L249" s="3" t="s">
        <v>173</v>
      </c>
      <c r="M249" s="3" t="s">
        <v>45</v>
      </c>
      <c r="N249" s="3" t="s">
        <v>46</v>
      </c>
      <c r="O249" s="3" t="s">
        <v>55</v>
      </c>
      <c r="P249" s="3">
        <v>4</v>
      </c>
      <c r="Q249" s="9">
        <v>79900</v>
      </c>
      <c r="R249" s="6">
        <v>0.2</v>
      </c>
      <c r="S249" s="12">
        <f t="shared" si="39"/>
        <v>255680</v>
      </c>
      <c r="T249" s="12">
        <v>65000</v>
      </c>
      <c r="U249" s="9">
        <f t="shared" si="40"/>
        <v>-4320</v>
      </c>
      <c r="V249" s="6">
        <f t="shared" si="41"/>
        <v>-1.6896120150187734E-2</v>
      </c>
      <c r="W249" s="3" t="s">
        <v>100</v>
      </c>
      <c r="X249" s="3" t="s">
        <v>101</v>
      </c>
      <c r="Y249" s="3">
        <f t="shared" si="42"/>
        <v>3</v>
      </c>
      <c r="Z249" s="3" t="str">
        <f t="shared" si="43"/>
        <v>Premium</v>
      </c>
      <c r="AA249" s="3">
        <v>3</v>
      </c>
      <c r="AB249" s="3" t="str">
        <f t="shared" si="44"/>
        <v>Average</v>
      </c>
      <c r="AC249" s="3" t="str">
        <f t="shared" si="45"/>
        <v>April</v>
      </c>
      <c r="AD249" s="3" t="str">
        <f t="shared" si="46"/>
        <v>Q2</v>
      </c>
      <c r="AE249" s="3">
        <f t="shared" si="47"/>
        <v>2026</v>
      </c>
      <c r="AF249" s="3" t="str">
        <f t="shared" si="48"/>
        <v>Sunday</v>
      </c>
      <c r="AG249" s="3" t="str">
        <f t="shared" si="49"/>
        <v>46+</v>
      </c>
      <c r="AH249" s="3" t="str">
        <f t="shared" si="50"/>
        <v>Large</v>
      </c>
      <c r="AI249" s="3" t="str">
        <f t="shared" si="51"/>
        <v>High</v>
      </c>
      <c r="AJ249" s="3" t="str" cm="1">
        <f t="array" ref="AJ249">_xlfn.IFS(S249&gt;=80000,"VIP",S249&gt;=40000,"Gold",S249&gt;=15000,"Silver",TRUE,"Bronze")</f>
        <v>VIP</v>
      </c>
    </row>
    <row r="250" spans="1:36" x14ac:dyDescent="0.3">
      <c r="A250" s="3" t="s">
        <v>742</v>
      </c>
      <c r="B250" s="15">
        <v>46169</v>
      </c>
      <c r="C250" s="15">
        <v>46174</v>
      </c>
      <c r="D250" s="3" t="s">
        <v>743</v>
      </c>
      <c r="E250" s="3" t="s">
        <v>463</v>
      </c>
      <c r="F250" s="3" t="s">
        <v>52</v>
      </c>
      <c r="G250" s="3">
        <v>40</v>
      </c>
      <c r="H250" s="3" t="s">
        <v>88</v>
      </c>
      <c r="I250" s="3" t="s">
        <v>89</v>
      </c>
      <c r="J250" s="3" t="s">
        <v>80</v>
      </c>
      <c r="K250" s="3" t="s">
        <v>43</v>
      </c>
      <c r="L250" s="3" t="s">
        <v>44</v>
      </c>
      <c r="M250" s="3" t="s">
        <v>45</v>
      </c>
      <c r="N250" s="3" t="s">
        <v>46</v>
      </c>
      <c r="O250" s="3" t="s">
        <v>47</v>
      </c>
      <c r="P250" s="3">
        <v>2</v>
      </c>
      <c r="Q250" s="9">
        <v>28500</v>
      </c>
      <c r="R250" s="6">
        <v>0.08</v>
      </c>
      <c r="S250" s="12">
        <f t="shared" si="39"/>
        <v>52440</v>
      </c>
      <c r="T250" s="12">
        <v>22000</v>
      </c>
      <c r="U250" s="9">
        <f t="shared" si="40"/>
        <v>8440</v>
      </c>
      <c r="V250" s="6">
        <f t="shared" si="41"/>
        <v>0.16094584286803967</v>
      </c>
      <c r="W250" s="3" t="s">
        <v>65</v>
      </c>
      <c r="X250" s="3" t="s">
        <v>106</v>
      </c>
      <c r="Y250" s="3">
        <f t="shared" si="42"/>
        <v>5</v>
      </c>
      <c r="Z250" s="3" t="str">
        <f t="shared" si="43"/>
        <v>Premium</v>
      </c>
      <c r="AA250" s="3">
        <v>5</v>
      </c>
      <c r="AB250" s="3" t="str">
        <f t="shared" si="44"/>
        <v>Excellent</v>
      </c>
      <c r="AC250" s="3" t="str">
        <f t="shared" si="45"/>
        <v>May</v>
      </c>
      <c r="AD250" s="3" t="str">
        <f t="shared" si="46"/>
        <v>Q2</v>
      </c>
      <c r="AE250" s="3">
        <f t="shared" si="47"/>
        <v>2026</v>
      </c>
      <c r="AF250" s="3" t="str">
        <f t="shared" si="48"/>
        <v>Wednesday</v>
      </c>
      <c r="AG250" s="3" t="str">
        <f t="shared" si="49"/>
        <v>36-45</v>
      </c>
      <c r="AH250" s="3" t="str">
        <f t="shared" si="50"/>
        <v>Large</v>
      </c>
      <c r="AI250" s="3" t="str">
        <f t="shared" si="51"/>
        <v>Medium</v>
      </c>
      <c r="AJ250" s="3" t="str" cm="1">
        <f t="array" ref="AJ250">_xlfn.IFS(S250&gt;=80000,"VIP",S250&gt;=40000,"Gold",S250&gt;=15000,"Silver",TRUE,"Bronze")</f>
        <v>Gold</v>
      </c>
    </row>
    <row r="251" spans="1:36" x14ac:dyDescent="0.3">
      <c r="A251" s="3" t="s">
        <v>744</v>
      </c>
      <c r="B251" s="15">
        <v>46050</v>
      </c>
      <c r="C251" s="15">
        <v>46056</v>
      </c>
      <c r="D251" s="3" t="s">
        <v>745</v>
      </c>
      <c r="E251" s="3" t="s">
        <v>77</v>
      </c>
      <c r="F251" s="3" t="s">
        <v>52</v>
      </c>
      <c r="G251" s="3">
        <v>36</v>
      </c>
      <c r="H251" s="3" t="s">
        <v>40</v>
      </c>
      <c r="I251" s="3" t="s">
        <v>41</v>
      </c>
      <c r="J251" s="3" t="s">
        <v>42</v>
      </c>
      <c r="K251" s="3" t="s">
        <v>54</v>
      </c>
      <c r="L251" s="3" t="s">
        <v>173</v>
      </c>
      <c r="M251" s="3" t="s">
        <v>45</v>
      </c>
      <c r="N251" s="3" t="s">
        <v>46</v>
      </c>
      <c r="O251" s="3" t="s">
        <v>55</v>
      </c>
      <c r="P251" s="3">
        <v>1</v>
      </c>
      <c r="Q251" s="9">
        <v>79900</v>
      </c>
      <c r="R251" s="6">
        <v>0.12</v>
      </c>
      <c r="S251" s="12">
        <f t="shared" si="39"/>
        <v>70312</v>
      </c>
      <c r="T251" s="12">
        <v>65000</v>
      </c>
      <c r="U251" s="9">
        <f t="shared" si="40"/>
        <v>5312</v>
      </c>
      <c r="V251" s="6">
        <f t="shared" si="41"/>
        <v>7.5548981681647517E-2</v>
      </c>
      <c r="W251" s="3" t="s">
        <v>48</v>
      </c>
      <c r="X251" s="3" t="s">
        <v>49</v>
      </c>
      <c r="Y251" s="3">
        <f t="shared" si="42"/>
        <v>6</v>
      </c>
      <c r="Z251" s="3" t="str">
        <f t="shared" si="43"/>
        <v>Premium</v>
      </c>
      <c r="AA251" s="3">
        <v>3</v>
      </c>
      <c r="AB251" s="3" t="str">
        <f t="shared" si="44"/>
        <v>Average</v>
      </c>
      <c r="AC251" s="3" t="str">
        <f t="shared" si="45"/>
        <v>January</v>
      </c>
      <c r="AD251" s="3" t="str">
        <f t="shared" si="46"/>
        <v>Q1</v>
      </c>
      <c r="AE251" s="3">
        <f t="shared" si="47"/>
        <v>2026</v>
      </c>
      <c r="AF251" s="3" t="str">
        <f t="shared" si="48"/>
        <v>Wednesday</v>
      </c>
      <c r="AG251" s="3" t="str">
        <f t="shared" si="49"/>
        <v>36-45</v>
      </c>
      <c r="AH251" s="3" t="str">
        <f t="shared" si="50"/>
        <v>Large</v>
      </c>
      <c r="AI251" s="3" t="str">
        <f t="shared" si="51"/>
        <v>Medium</v>
      </c>
      <c r="AJ251" s="3" t="str" cm="1">
        <f t="array" ref="AJ251">_xlfn.IFS(S251&gt;=80000,"VIP",S251&gt;=40000,"Gold",S251&gt;=15000,"Silver",TRUE,"Bronze")</f>
        <v>Gold</v>
      </c>
    </row>
    <row r="252" spans="1:36" x14ac:dyDescent="0.3">
      <c r="A252" s="3" t="s">
        <v>746</v>
      </c>
      <c r="B252" s="15">
        <v>46116</v>
      </c>
      <c r="C252" s="15">
        <v>46121</v>
      </c>
      <c r="D252" s="3" t="s">
        <v>747</v>
      </c>
      <c r="E252" s="3" t="s">
        <v>658</v>
      </c>
      <c r="F252" s="3" t="s">
        <v>52</v>
      </c>
      <c r="G252" s="3">
        <v>27</v>
      </c>
      <c r="H252" s="3" t="s">
        <v>60</v>
      </c>
      <c r="I252" s="3" t="s">
        <v>61</v>
      </c>
      <c r="J252" s="3" t="s">
        <v>42</v>
      </c>
      <c r="K252" s="3" t="s">
        <v>70</v>
      </c>
      <c r="L252" s="3" t="s">
        <v>71</v>
      </c>
      <c r="M252" s="3" t="s">
        <v>45</v>
      </c>
      <c r="N252" s="3" t="s">
        <v>63</v>
      </c>
      <c r="O252" s="3" t="s">
        <v>72</v>
      </c>
      <c r="P252" s="3">
        <v>4</v>
      </c>
      <c r="Q252" s="9">
        <v>58000</v>
      </c>
      <c r="R252" s="6">
        <v>0.08</v>
      </c>
      <c r="S252" s="12">
        <f t="shared" si="39"/>
        <v>213440</v>
      </c>
      <c r="T252" s="12">
        <v>49000</v>
      </c>
      <c r="U252" s="9">
        <f t="shared" si="40"/>
        <v>17440</v>
      </c>
      <c r="V252" s="6">
        <f t="shared" si="41"/>
        <v>8.1709145427286356E-2</v>
      </c>
      <c r="W252" s="3" t="s">
        <v>73</v>
      </c>
      <c r="X252" s="3" t="s">
        <v>106</v>
      </c>
      <c r="Y252" s="3">
        <f t="shared" si="42"/>
        <v>5</v>
      </c>
      <c r="Z252" s="3" t="str">
        <f t="shared" si="43"/>
        <v>Premium</v>
      </c>
      <c r="AA252" s="3">
        <v>3</v>
      </c>
      <c r="AB252" s="3" t="str">
        <f t="shared" si="44"/>
        <v>Average</v>
      </c>
      <c r="AC252" s="3" t="str">
        <f t="shared" si="45"/>
        <v>April</v>
      </c>
      <c r="AD252" s="3" t="str">
        <f t="shared" si="46"/>
        <v>Q2</v>
      </c>
      <c r="AE252" s="3">
        <f t="shared" si="47"/>
        <v>2026</v>
      </c>
      <c r="AF252" s="3" t="str">
        <f t="shared" si="48"/>
        <v>Saturday</v>
      </c>
      <c r="AG252" s="3" t="str">
        <f t="shared" si="49"/>
        <v>26-35</v>
      </c>
      <c r="AH252" s="3" t="str">
        <f t="shared" si="50"/>
        <v>Large</v>
      </c>
      <c r="AI252" s="3" t="str">
        <f t="shared" si="51"/>
        <v>Medium</v>
      </c>
      <c r="AJ252" s="3" t="str" cm="1">
        <f t="array" ref="AJ252">_xlfn.IFS(S252&gt;=80000,"VIP",S252&gt;=40000,"Gold",S252&gt;=15000,"Silver",TRUE,"Bronze")</f>
        <v>VIP</v>
      </c>
    </row>
    <row r="253" spans="1:36" x14ac:dyDescent="0.3">
      <c r="A253" s="3" t="s">
        <v>748</v>
      </c>
      <c r="B253" s="15">
        <v>46165</v>
      </c>
      <c r="C253" s="15">
        <v>46170</v>
      </c>
      <c r="D253" s="3" t="s">
        <v>749</v>
      </c>
      <c r="E253" s="3" t="s">
        <v>565</v>
      </c>
      <c r="F253" s="3" t="s">
        <v>52</v>
      </c>
      <c r="G253" s="3">
        <v>29</v>
      </c>
      <c r="H253" s="3" t="s">
        <v>53</v>
      </c>
      <c r="I253" s="3" t="s">
        <v>41</v>
      </c>
      <c r="J253" s="3" t="s">
        <v>42</v>
      </c>
      <c r="K253" s="3" t="s">
        <v>81</v>
      </c>
      <c r="L253" s="3" t="s">
        <v>82</v>
      </c>
      <c r="M253" s="3" t="s">
        <v>45</v>
      </c>
      <c r="N253" s="3" t="s">
        <v>83</v>
      </c>
      <c r="O253" s="3" t="s">
        <v>84</v>
      </c>
      <c r="P253" s="3">
        <v>4</v>
      </c>
      <c r="Q253" s="9">
        <v>42000</v>
      </c>
      <c r="R253" s="6">
        <v>0.1</v>
      </c>
      <c r="S253" s="12">
        <f t="shared" si="39"/>
        <v>151200</v>
      </c>
      <c r="T253" s="12">
        <v>35000</v>
      </c>
      <c r="U253" s="9">
        <f t="shared" si="40"/>
        <v>11200</v>
      </c>
      <c r="V253" s="6">
        <f t="shared" si="41"/>
        <v>7.407407407407407E-2</v>
      </c>
      <c r="W253" s="3" t="s">
        <v>56</v>
      </c>
      <c r="X253" s="3" t="s">
        <v>101</v>
      </c>
      <c r="Y253" s="3">
        <f t="shared" si="42"/>
        <v>5</v>
      </c>
      <c r="Z253" s="3" t="str">
        <f t="shared" si="43"/>
        <v>Premium</v>
      </c>
      <c r="AA253" s="3">
        <v>4</v>
      </c>
      <c r="AB253" s="3" t="str">
        <f t="shared" si="44"/>
        <v>Excellent</v>
      </c>
      <c r="AC253" s="3" t="str">
        <f t="shared" si="45"/>
        <v>May</v>
      </c>
      <c r="AD253" s="3" t="str">
        <f t="shared" si="46"/>
        <v>Q2</v>
      </c>
      <c r="AE253" s="3">
        <f t="shared" si="47"/>
        <v>2026</v>
      </c>
      <c r="AF253" s="3" t="str">
        <f t="shared" si="48"/>
        <v>Saturday</v>
      </c>
      <c r="AG253" s="3" t="str">
        <f t="shared" si="49"/>
        <v>26-35</v>
      </c>
      <c r="AH253" s="3" t="str">
        <f t="shared" si="50"/>
        <v>Large</v>
      </c>
      <c r="AI253" s="3" t="str">
        <f t="shared" si="51"/>
        <v>Medium</v>
      </c>
      <c r="AJ253" s="3" t="str" cm="1">
        <f t="array" ref="AJ253">_xlfn.IFS(S253&gt;=80000,"VIP",S253&gt;=40000,"Gold",S253&gt;=15000,"Silver",TRUE,"Bronze")</f>
        <v>VIP</v>
      </c>
    </row>
    <row r="254" spans="1:36" x14ac:dyDescent="0.3">
      <c r="A254" s="3" t="s">
        <v>750</v>
      </c>
      <c r="B254" s="15">
        <v>46373</v>
      </c>
      <c r="C254" s="15">
        <v>46377</v>
      </c>
      <c r="D254" s="3" t="s">
        <v>751</v>
      </c>
      <c r="E254" s="3" t="s">
        <v>350</v>
      </c>
      <c r="F254" s="3" t="s">
        <v>39</v>
      </c>
      <c r="G254" s="3">
        <v>29</v>
      </c>
      <c r="H254" s="3" t="s">
        <v>110</v>
      </c>
      <c r="I254" s="3" t="s">
        <v>111</v>
      </c>
      <c r="J254" s="3" t="s">
        <v>80</v>
      </c>
      <c r="K254" s="3" t="s">
        <v>43</v>
      </c>
      <c r="L254" s="3" t="s">
        <v>44</v>
      </c>
      <c r="M254" s="3" t="s">
        <v>45</v>
      </c>
      <c r="N254" s="3" t="s">
        <v>46</v>
      </c>
      <c r="O254" s="3" t="s">
        <v>47</v>
      </c>
      <c r="P254" s="3">
        <v>1</v>
      </c>
      <c r="Q254" s="9">
        <v>28500</v>
      </c>
      <c r="R254" s="6">
        <v>0.08</v>
      </c>
      <c r="S254" s="12">
        <f t="shared" si="39"/>
        <v>26220</v>
      </c>
      <c r="T254" s="12">
        <v>22000</v>
      </c>
      <c r="U254" s="9">
        <f t="shared" si="40"/>
        <v>4220</v>
      </c>
      <c r="V254" s="6">
        <f t="shared" si="41"/>
        <v>0.16094584286803967</v>
      </c>
      <c r="W254" s="3" t="s">
        <v>48</v>
      </c>
      <c r="X254" s="3" t="s">
        <v>74</v>
      </c>
      <c r="Y254" s="3">
        <f t="shared" si="42"/>
        <v>4</v>
      </c>
      <c r="Z254" s="3" t="str">
        <f t="shared" si="43"/>
        <v>Regular</v>
      </c>
      <c r="AA254" s="3">
        <v>5</v>
      </c>
      <c r="AB254" s="3" t="str">
        <f t="shared" si="44"/>
        <v>Excellent</v>
      </c>
      <c r="AC254" s="3" t="str">
        <f t="shared" si="45"/>
        <v>December</v>
      </c>
      <c r="AD254" s="3" t="str">
        <f t="shared" si="46"/>
        <v>Q4</v>
      </c>
      <c r="AE254" s="3">
        <f t="shared" si="47"/>
        <v>2026</v>
      </c>
      <c r="AF254" s="3" t="str">
        <f t="shared" si="48"/>
        <v>Thursday</v>
      </c>
      <c r="AG254" s="3" t="str">
        <f t="shared" si="49"/>
        <v>26-35</v>
      </c>
      <c r="AH254" s="3" t="str">
        <f t="shared" si="50"/>
        <v>Medium</v>
      </c>
      <c r="AI254" s="3" t="str">
        <f t="shared" si="51"/>
        <v>Medium</v>
      </c>
      <c r="AJ254" s="3" t="str" cm="1">
        <f t="array" ref="AJ254">_xlfn.IFS(S254&gt;=80000,"VIP",S254&gt;=40000,"Gold",S254&gt;=15000,"Silver",TRUE,"Bronze")</f>
        <v>Silver</v>
      </c>
    </row>
    <row r="255" spans="1:36" x14ac:dyDescent="0.3">
      <c r="A255" s="3" t="s">
        <v>752</v>
      </c>
      <c r="B255" s="15">
        <v>46279</v>
      </c>
      <c r="C255" s="15">
        <v>46282</v>
      </c>
      <c r="D255" s="3" t="s">
        <v>753</v>
      </c>
      <c r="E255" s="3" t="s">
        <v>118</v>
      </c>
      <c r="F255" s="3" t="s">
        <v>39</v>
      </c>
      <c r="G255" s="3">
        <v>34</v>
      </c>
      <c r="H255" s="3" t="s">
        <v>88</v>
      </c>
      <c r="I255" s="3" t="s">
        <v>89</v>
      </c>
      <c r="J255" s="3" t="s">
        <v>80</v>
      </c>
      <c r="K255" s="3" t="s">
        <v>90</v>
      </c>
      <c r="L255" s="3" t="s">
        <v>122</v>
      </c>
      <c r="M255" s="3" t="s">
        <v>45</v>
      </c>
      <c r="N255" s="3" t="s">
        <v>91</v>
      </c>
      <c r="O255" s="3" t="s">
        <v>123</v>
      </c>
      <c r="P255" s="3">
        <v>3</v>
      </c>
      <c r="Q255" s="9">
        <v>2500</v>
      </c>
      <c r="R255" s="6">
        <v>0.08</v>
      </c>
      <c r="S255" s="12">
        <f t="shared" si="39"/>
        <v>6900</v>
      </c>
      <c r="T255" s="12">
        <v>1700</v>
      </c>
      <c r="U255" s="9">
        <f t="shared" si="40"/>
        <v>1800</v>
      </c>
      <c r="V255" s="6">
        <f t="shared" si="41"/>
        <v>0.2608695652173913</v>
      </c>
      <c r="W255" s="3" t="s">
        <v>65</v>
      </c>
      <c r="X255" s="3" t="s">
        <v>106</v>
      </c>
      <c r="Y255" s="3">
        <f t="shared" si="42"/>
        <v>3</v>
      </c>
      <c r="Z255" s="3" t="str">
        <f t="shared" si="43"/>
        <v>Regular</v>
      </c>
      <c r="AA255" s="3">
        <v>4</v>
      </c>
      <c r="AB255" s="3" t="str">
        <f t="shared" si="44"/>
        <v>Excellent</v>
      </c>
      <c r="AC255" s="3" t="str">
        <f t="shared" si="45"/>
        <v>September</v>
      </c>
      <c r="AD255" s="3" t="str">
        <f t="shared" si="46"/>
        <v>Q3</v>
      </c>
      <c r="AE255" s="3">
        <f t="shared" si="47"/>
        <v>2026</v>
      </c>
      <c r="AF255" s="3" t="str">
        <f t="shared" si="48"/>
        <v>Monday</v>
      </c>
      <c r="AG255" s="3" t="str">
        <f t="shared" si="49"/>
        <v>26-35</v>
      </c>
      <c r="AH255" s="3" t="str">
        <f t="shared" si="50"/>
        <v>Small</v>
      </c>
      <c r="AI255" s="3" t="str">
        <f t="shared" si="51"/>
        <v>Medium</v>
      </c>
      <c r="AJ255" s="3" t="str" cm="1">
        <f t="array" ref="AJ255">_xlfn.IFS(S255&gt;=80000,"VIP",S255&gt;=40000,"Gold",S255&gt;=15000,"Silver",TRUE,"Bronze")</f>
        <v>Bronze</v>
      </c>
    </row>
    <row r="256" spans="1:36" x14ac:dyDescent="0.3">
      <c r="A256" s="3" t="s">
        <v>754</v>
      </c>
      <c r="B256" s="15">
        <v>46214</v>
      </c>
      <c r="C256" s="15">
        <v>46219</v>
      </c>
      <c r="D256" s="3" t="s">
        <v>755</v>
      </c>
      <c r="E256" s="3" t="s">
        <v>182</v>
      </c>
      <c r="F256" s="3" t="s">
        <v>52</v>
      </c>
      <c r="G256" s="3">
        <v>39</v>
      </c>
      <c r="H256" s="3" t="s">
        <v>40</v>
      </c>
      <c r="I256" s="3" t="s">
        <v>41</v>
      </c>
      <c r="J256" s="3" t="s">
        <v>42</v>
      </c>
      <c r="K256" s="3" t="s">
        <v>105</v>
      </c>
      <c r="L256" s="3" t="s">
        <v>112</v>
      </c>
      <c r="M256" s="3" t="s">
        <v>113</v>
      </c>
      <c r="N256" s="3" t="s">
        <v>114</v>
      </c>
      <c r="O256" s="3" t="s">
        <v>115</v>
      </c>
      <c r="P256" s="3">
        <v>1</v>
      </c>
      <c r="Q256" s="9">
        <v>3500</v>
      </c>
      <c r="R256" s="6">
        <v>0.08</v>
      </c>
      <c r="S256" s="12">
        <f t="shared" si="39"/>
        <v>3220</v>
      </c>
      <c r="T256" s="12">
        <v>2500</v>
      </c>
      <c r="U256" s="9">
        <f t="shared" si="40"/>
        <v>720</v>
      </c>
      <c r="V256" s="6">
        <f t="shared" si="41"/>
        <v>0.2236024844720497</v>
      </c>
      <c r="W256" s="3" t="s">
        <v>73</v>
      </c>
      <c r="X256" s="3" t="s">
        <v>74</v>
      </c>
      <c r="Y256" s="3">
        <f t="shared" si="42"/>
        <v>5</v>
      </c>
      <c r="Z256" s="3" t="str">
        <f t="shared" si="43"/>
        <v>Regular</v>
      </c>
      <c r="AA256" s="3">
        <v>5</v>
      </c>
      <c r="AB256" s="3" t="str">
        <f t="shared" si="44"/>
        <v>Excellent</v>
      </c>
      <c r="AC256" s="3" t="str">
        <f t="shared" si="45"/>
        <v>July</v>
      </c>
      <c r="AD256" s="3" t="str">
        <f t="shared" si="46"/>
        <v>Q3</v>
      </c>
      <c r="AE256" s="3">
        <f t="shared" si="47"/>
        <v>2026</v>
      </c>
      <c r="AF256" s="3" t="str">
        <f t="shared" si="48"/>
        <v>Saturday</v>
      </c>
      <c r="AG256" s="3" t="str">
        <f t="shared" si="49"/>
        <v>36-45</v>
      </c>
      <c r="AH256" s="3" t="str">
        <f t="shared" si="50"/>
        <v>Small</v>
      </c>
      <c r="AI256" s="3" t="str">
        <f t="shared" si="51"/>
        <v>Medium</v>
      </c>
      <c r="AJ256" s="3" t="str" cm="1">
        <f t="array" ref="AJ256">_xlfn.IFS(S256&gt;=80000,"VIP",S256&gt;=40000,"Gold",S256&gt;=15000,"Silver",TRUE,"Bronze")</f>
        <v>Bronze</v>
      </c>
    </row>
    <row r="257" spans="1:36" x14ac:dyDescent="0.3">
      <c r="A257" s="3" t="s">
        <v>756</v>
      </c>
      <c r="B257" s="15">
        <v>46352</v>
      </c>
      <c r="C257" s="15">
        <v>46356</v>
      </c>
      <c r="D257" s="3" t="s">
        <v>757</v>
      </c>
      <c r="E257" s="3" t="s">
        <v>257</v>
      </c>
      <c r="F257" s="3" t="s">
        <v>39</v>
      </c>
      <c r="G257" s="3">
        <v>40</v>
      </c>
      <c r="H257" s="3" t="s">
        <v>119</v>
      </c>
      <c r="I257" s="3" t="s">
        <v>120</v>
      </c>
      <c r="J257" s="3" t="s">
        <v>121</v>
      </c>
      <c r="K257" s="3" t="s">
        <v>81</v>
      </c>
      <c r="L257" s="3" t="s">
        <v>82</v>
      </c>
      <c r="M257" s="3" t="s">
        <v>45</v>
      </c>
      <c r="N257" s="3" t="s">
        <v>83</v>
      </c>
      <c r="O257" s="3" t="s">
        <v>84</v>
      </c>
      <c r="P257" s="3">
        <v>2</v>
      </c>
      <c r="Q257" s="9">
        <v>42000</v>
      </c>
      <c r="R257" s="6">
        <v>0.15</v>
      </c>
      <c r="S257" s="12">
        <f t="shared" si="39"/>
        <v>71400</v>
      </c>
      <c r="T257" s="12">
        <v>35000</v>
      </c>
      <c r="U257" s="9">
        <f t="shared" si="40"/>
        <v>1400</v>
      </c>
      <c r="V257" s="6">
        <f t="shared" si="41"/>
        <v>1.9607843137254902E-2</v>
      </c>
      <c r="W257" s="3" t="s">
        <v>73</v>
      </c>
      <c r="X257" s="3" t="s">
        <v>74</v>
      </c>
      <c r="Y257" s="3">
        <f t="shared" si="42"/>
        <v>4</v>
      </c>
      <c r="Z257" s="3" t="str">
        <f t="shared" si="43"/>
        <v>Premium</v>
      </c>
      <c r="AA257" s="3">
        <v>2</v>
      </c>
      <c r="AB257" s="3" t="str">
        <f t="shared" si="44"/>
        <v>Average</v>
      </c>
      <c r="AC257" s="3" t="str">
        <f t="shared" si="45"/>
        <v>November</v>
      </c>
      <c r="AD257" s="3" t="str">
        <f t="shared" si="46"/>
        <v>Q4</v>
      </c>
      <c r="AE257" s="3">
        <f t="shared" si="47"/>
        <v>2026</v>
      </c>
      <c r="AF257" s="3" t="str">
        <f t="shared" si="48"/>
        <v>Thursday</v>
      </c>
      <c r="AG257" s="3" t="str">
        <f t="shared" si="49"/>
        <v>36-45</v>
      </c>
      <c r="AH257" s="3" t="str">
        <f t="shared" si="50"/>
        <v>Large</v>
      </c>
      <c r="AI257" s="3" t="str">
        <f t="shared" si="51"/>
        <v>Medium</v>
      </c>
      <c r="AJ257" s="3" t="str" cm="1">
        <f t="array" ref="AJ257">_xlfn.IFS(S257&gt;=80000,"VIP",S257&gt;=40000,"Gold",S257&gt;=15000,"Silver",TRUE,"Bronze")</f>
        <v>Gold</v>
      </c>
    </row>
    <row r="258" spans="1:36" x14ac:dyDescent="0.3">
      <c r="A258" s="3" t="s">
        <v>758</v>
      </c>
      <c r="B258" s="15">
        <v>46044</v>
      </c>
      <c r="C258" s="15">
        <v>46047</v>
      </c>
      <c r="D258" s="3" t="s">
        <v>759</v>
      </c>
      <c r="E258" s="3" t="s">
        <v>248</v>
      </c>
      <c r="F258" s="3" t="s">
        <v>52</v>
      </c>
      <c r="G258" s="3">
        <v>21</v>
      </c>
      <c r="H258" s="3" t="s">
        <v>119</v>
      </c>
      <c r="I258" s="3" t="s">
        <v>120</v>
      </c>
      <c r="J258" s="3" t="s">
        <v>121</v>
      </c>
      <c r="K258" s="3" t="s">
        <v>105</v>
      </c>
      <c r="L258" s="3" t="s">
        <v>112</v>
      </c>
      <c r="M258" s="3" t="s">
        <v>113</v>
      </c>
      <c r="N258" s="3" t="s">
        <v>114</v>
      </c>
      <c r="O258" s="3" t="s">
        <v>115</v>
      </c>
      <c r="P258" s="3">
        <v>1</v>
      </c>
      <c r="Q258" s="9">
        <v>3500</v>
      </c>
      <c r="R258" s="6">
        <v>0.08</v>
      </c>
      <c r="S258" s="12">
        <f t="shared" ref="S258:S321" si="52">P258*Q258*(1-R258)</f>
        <v>3220</v>
      </c>
      <c r="T258" s="12">
        <v>2500</v>
      </c>
      <c r="U258" s="9">
        <f t="shared" ref="U258:U321" si="53">S258-(T258*P258)</f>
        <v>720</v>
      </c>
      <c r="V258" s="6">
        <f t="shared" ref="V258:V321" si="54">U258/S258</f>
        <v>0.2236024844720497</v>
      </c>
      <c r="W258" s="3" t="s">
        <v>56</v>
      </c>
      <c r="X258" s="3" t="s">
        <v>101</v>
      </c>
      <c r="Y258" s="3">
        <f t="shared" ref="Y258:Y321" si="55">C258-B258</f>
        <v>3</v>
      </c>
      <c r="Z258" s="3" t="str">
        <f t="shared" ref="Z258:Z321" si="56">IF(S258&gt;=50000,"Premium","Regular")</f>
        <v>Regular</v>
      </c>
      <c r="AA258" s="3">
        <v>2</v>
      </c>
      <c r="AB258" s="3" t="str">
        <f t="shared" ref="AB258:AB321" si="57">IF(AA258&gt;=4,"Excellent","Average")</f>
        <v>Average</v>
      </c>
      <c r="AC258" s="3" t="str">
        <f t="shared" ref="AC258:AC321" si="58">TEXT(B258,"mmmm")</f>
        <v>January</v>
      </c>
      <c r="AD258" s="3" t="str">
        <f t="shared" ref="AD258:AD321" si="59">"Q"&amp;ROUNDUP(MONTH(B258)/3,0)</f>
        <v>Q1</v>
      </c>
      <c r="AE258" s="3">
        <f t="shared" ref="AE258:AE321" si="60">YEAR(B258)</f>
        <v>2026</v>
      </c>
      <c r="AF258" s="3" t="str">
        <f t="shared" ref="AF258:AF321" si="61">TEXT(B258,"dddd")</f>
        <v>Thursday</v>
      </c>
      <c r="AG258" s="3" t="str">
        <f t="shared" ref="AG258:AG321" si="62">IF(G258&lt;=25,"18-25",IF(G258&lt;=35,"26-35",IF(G258&lt;=45,"36-45","46+")))</f>
        <v>18-25</v>
      </c>
      <c r="AH258" s="3" t="str">
        <f t="shared" ref="AH258:AH321" si="63">IF(S258&lt;10000,"Small",IF(S258&lt;30000,"Medium","Large"))</f>
        <v>Small</v>
      </c>
      <c r="AI258" s="3" t="str">
        <f t="shared" ref="AI258:AI321" si="64">IF(R258&lt;=5%,"Low",IF(R258&lt;=15%,"Medium","High"))</f>
        <v>Medium</v>
      </c>
      <c r="AJ258" s="3" t="str" cm="1">
        <f t="array" ref="AJ258">_xlfn.IFS(S258&gt;=80000,"VIP",S258&gt;=40000,"Gold",S258&gt;=15000,"Silver",TRUE,"Bronze")</f>
        <v>Bronze</v>
      </c>
    </row>
    <row r="259" spans="1:36" x14ac:dyDescent="0.3">
      <c r="A259" s="3" t="s">
        <v>760</v>
      </c>
      <c r="B259" s="15">
        <v>46104</v>
      </c>
      <c r="C259" s="15">
        <v>46109</v>
      </c>
      <c r="D259" s="3" t="s">
        <v>761</v>
      </c>
      <c r="E259" s="3" t="s">
        <v>483</v>
      </c>
      <c r="F259" s="3" t="s">
        <v>52</v>
      </c>
      <c r="G259" s="3">
        <v>20</v>
      </c>
      <c r="H259" s="3" t="s">
        <v>78</v>
      </c>
      <c r="I259" s="3" t="s">
        <v>79</v>
      </c>
      <c r="J259" s="3" t="s">
        <v>80</v>
      </c>
      <c r="K259" s="3" t="s">
        <v>81</v>
      </c>
      <c r="L259" s="3" t="s">
        <v>82</v>
      </c>
      <c r="M259" s="3" t="s">
        <v>45</v>
      </c>
      <c r="N259" s="3" t="s">
        <v>83</v>
      </c>
      <c r="O259" s="3" t="s">
        <v>84</v>
      </c>
      <c r="P259" s="3">
        <v>3</v>
      </c>
      <c r="Q259" s="9">
        <v>42000</v>
      </c>
      <c r="R259" s="6">
        <v>0.05</v>
      </c>
      <c r="S259" s="12">
        <f t="shared" si="52"/>
        <v>119700</v>
      </c>
      <c r="T259" s="12">
        <v>35000</v>
      </c>
      <c r="U259" s="9">
        <f t="shared" si="53"/>
        <v>14700</v>
      </c>
      <c r="V259" s="6">
        <f t="shared" si="54"/>
        <v>0.12280701754385964</v>
      </c>
      <c r="W259" s="3" t="s">
        <v>92</v>
      </c>
      <c r="X259" s="3" t="s">
        <v>101</v>
      </c>
      <c r="Y259" s="3">
        <f t="shared" si="55"/>
        <v>5</v>
      </c>
      <c r="Z259" s="3" t="str">
        <f t="shared" si="56"/>
        <v>Premium</v>
      </c>
      <c r="AA259" s="3">
        <v>4</v>
      </c>
      <c r="AB259" s="3" t="str">
        <f t="shared" si="57"/>
        <v>Excellent</v>
      </c>
      <c r="AC259" s="3" t="str">
        <f t="shared" si="58"/>
        <v>March</v>
      </c>
      <c r="AD259" s="3" t="str">
        <f t="shared" si="59"/>
        <v>Q1</v>
      </c>
      <c r="AE259" s="3">
        <f t="shared" si="60"/>
        <v>2026</v>
      </c>
      <c r="AF259" s="3" t="str">
        <f t="shared" si="61"/>
        <v>Monday</v>
      </c>
      <c r="AG259" s="3" t="str">
        <f t="shared" si="62"/>
        <v>18-25</v>
      </c>
      <c r="AH259" s="3" t="str">
        <f t="shared" si="63"/>
        <v>Large</v>
      </c>
      <c r="AI259" s="3" t="str">
        <f t="shared" si="64"/>
        <v>Low</v>
      </c>
      <c r="AJ259" s="3" t="str" cm="1">
        <f t="array" ref="AJ259">_xlfn.IFS(S259&gt;=80000,"VIP",S259&gt;=40000,"Gold",S259&gt;=15000,"Silver",TRUE,"Bronze")</f>
        <v>VIP</v>
      </c>
    </row>
    <row r="260" spans="1:36" x14ac:dyDescent="0.3">
      <c r="A260" s="3" t="s">
        <v>762</v>
      </c>
      <c r="B260" s="15">
        <v>46327</v>
      </c>
      <c r="C260" s="15">
        <v>46332</v>
      </c>
      <c r="D260" s="3" t="s">
        <v>763</v>
      </c>
      <c r="E260" s="3" t="s">
        <v>314</v>
      </c>
      <c r="F260" s="3" t="s">
        <v>39</v>
      </c>
      <c r="G260" s="3">
        <v>48</v>
      </c>
      <c r="H260" s="3" t="s">
        <v>88</v>
      </c>
      <c r="I260" s="3" t="s">
        <v>89</v>
      </c>
      <c r="J260" s="3" t="s">
        <v>80</v>
      </c>
      <c r="K260" s="3" t="s">
        <v>70</v>
      </c>
      <c r="L260" s="3" t="s">
        <v>71</v>
      </c>
      <c r="M260" s="3" t="s">
        <v>45</v>
      </c>
      <c r="N260" s="3" t="s">
        <v>63</v>
      </c>
      <c r="O260" s="3" t="s">
        <v>72</v>
      </c>
      <c r="P260" s="3">
        <v>4</v>
      </c>
      <c r="Q260" s="9">
        <v>58000</v>
      </c>
      <c r="R260" s="6">
        <v>0.12</v>
      </c>
      <c r="S260" s="12">
        <f t="shared" si="52"/>
        <v>204160</v>
      </c>
      <c r="T260" s="12">
        <v>49000</v>
      </c>
      <c r="U260" s="9">
        <f t="shared" si="53"/>
        <v>8160</v>
      </c>
      <c r="V260" s="6">
        <f t="shared" si="54"/>
        <v>3.9968652037617555E-2</v>
      </c>
      <c r="W260" s="3" t="s">
        <v>48</v>
      </c>
      <c r="X260" s="3" t="s">
        <v>49</v>
      </c>
      <c r="Y260" s="3">
        <f t="shared" si="55"/>
        <v>5</v>
      </c>
      <c r="Z260" s="3" t="str">
        <f t="shared" si="56"/>
        <v>Premium</v>
      </c>
      <c r="AA260" s="3">
        <v>2</v>
      </c>
      <c r="AB260" s="3" t="str">
        <f t="shared" si="57"/>
        <v>Average</v>
      </c>
      <c r="AC260" s="3" t="str">
        <f t="shared" si="58"/>
        <v>November</v>
      </c>
      <c r="AD260" s="3" t="str">
        <f t="shared" si="59"/>
        <v>Q4</v>
      </c>
      <c r="AE260" s="3">
        <f t="shared" si="60"/>
        <v>2026</v>
      </c>
      <c r="AF260" s="3" t="str">
        <f t="shared" si="61"/>
        <v>Sunday</v>
      </c>
      <c r="AG260" s="3" t="str">
        <f t="shared" si="62"/>
        <v>46+</v>
      </c>
      <c r="AH260" s="3" t="str">
        <f t="shared" si="63"/>
        <v>Large</v>
      </c>
      <c r="AI260" s="3" t="str">
        <f t="shared" si="64"/>
        <v>Medium</v>
      </c>
      <c r="AJ260" s="3" t="str" cm="1">
        <f t="array" ref="AJ260">_xlfn.IFS(S260&gt;=80000,"VIP",S260&gt;=40000,"Gold",S260&gt;=15000,"Silver",TRUE,"Bronze")</f>
        <v>VIP</v>
      </c>
    </row>
    <row r="261" spans="1:36" x14ac:dyDescent="0.3">
      <c r="A261" s="3" t="s">
        <v>764</v>
      </c>
      <c r="B261" s="15">
        <v>46050</v>
      </c>
      <c r="C261" s="15">
        <v>46056</v>
      </c>
      <c r="D261" s="3" t="s">
        <v>765</v>
      </c>
      <c r="E261" s="3" t="s">
        <v>141</v>
      </c>
      <c r="F261" s="3" t="s">
        <v>52</v>
      </c>
      <c r="G261" s="3">
        <v>24</v>
      </c>
      <c r="H261" s="3" t="s">
        <v>60</v>
      </c>
      <c r="I261" s="3" t="s">
        <v>61</v>
      </c>
      <c r="J261" s="3" t="s">
        <v>42</v>
      </c>
      <c r="K261" s="3" t="s">
        <v>90</v>
      </c>
      <c r="L261" s="3" t="s">
        <v>122</v>
      </c>
      <c r="M261" s="3" t="s">
        <v>45</v>
      </c>
      <c r="N261" s="3" t="s">
        <v>91</v>
      </c>
      <c r="O261" s="3" t="s">
        <v>123</v>
      </c>
      <c r="P261" s="3">
        <v>5</v>
      </c>
      <c r="Q261" s="9">
        <v>2500</v>
      </c>
      <c r="R261" s="6">
        <v>0.2</v>
      </c>
      <c r="S261" s="12">
        <f t="shared" si="52"/>
        <v>10000</v>
      </c>
      <c r="T261" s="12">
        <v>1700</v>
      </c>
      <c r="U261" s="9">
        <f t="shared" si="53"/>
        <v>1500</v>
      </c>
      <c r="V261" s="6">
        <f t="shared" si="54"/>
        <v>0.15</v>
      </c>
      <c r="W261" s="3" t="s">
        <v>56</v>
      </c>
      <c r="X261" s="3" t="s">
        <v>106</v>
      </c>
      <c r="Y261" s="3">
        <f t="shared" si="55"/>
        <v>6</v>
      </c>
      <c r="Z261" s="3" t="str">
        <f t="shared" si="56"/>
        <v>Regular</v>
      </c>
      <c r="AA261" s="3">
        <v>2</v>
      </c>
      <c r="AB261" s="3" t="str">
        <f t="shared" si="57"/>
        <v>Average</v>
      </c>
      <c r="AC261" s="3" t="str">
        <f t="shared" si="58"/>
        <v>January</v>
      </c>
      <c r="AD261" s="3" t="str">
        <f t="shared" si="59"/>
        <v>Q1</v>
      </c>
      <c r="AE261" s="3">
        <f t="shared" si="60"/>
        <v>2026</v>
      </c>
      <c r="AF261" s="3" t="str">
        <f t="shared" si="61"/>
        <v>Wednesday</v>
      </c>
      <c r="AG261" s="3" t="str">
        <f t="shared" si="62"/>
        <v>18-25</v>
      </c>
      <c r="AH261" s="3" t="str">
        <f t="shared" si="63"/>
        <v>Medium</v>
      </c>
      <c r="AI261" s="3" t="str">
        <f t="shared" si="64"/>
        <v>High</v>
      </c>
      <c r="AJ261" s="3" t="str" cm="1">
        <f t="array" ref="AJ261">_xlfn.IFS(S261&gt;=80000,"VIP",S261&gt;=40000,"Gold",S261&gt;=15000,"Silver",TRUE,"Bronze")</f>
        <v>Bronze</v>
      </c>
    </row>
    <row r="262" spans="1:36" x14ac:dyDescent="0.3">
      <c r="A262" s="3" t="s">
        <v>766</v>
      </c>
      <c r="B262" s="15">
        <v>46054</v>
      </c>
      <c r="C262" s="15">
        <v>46058</v>
      </c>
      <c r="D262" s="3" t="s">
        <v>767</v>
      </c>
      <c r="E262" s="3" t="s">
        <v>169</v>
      </c>
      <c r="F262" s="3" t="s">
        <v>52</v>
      </c>
      <c r="G262" s="3">
        <v>47</v>
      </c>
      <c r="H262" s="3" t="s">
        <v>110</v>
      </c>
      <c r="I262" s="3" t="s">
        <v>111</v>
      </c>
      <c r="J262" s="3" t="s">
        <v>80</v>
      </c>
      <c r="K262" s="3" t="s">
        <v>43</v>
      </c>
      <c r="L262" s="3" t="s">
        <v>44</v>
      </c>
      <c r="M262" s="3" t="s">
        <v>45</v>
      </c>
      <c r="N262" s="3" t="s">
        <v>46</v>
      </c>
      <c r="O262" s="3" t="s">
        <v>47</v>
      </c>
      <c r="P262" s="3">
        <v>5</v>
      </c>
      <c r="Q262" s="9">
        <v>28500</v>
      </c>
      <c r="R262" s="6">
        <v>0.12</v>
      </c>
      <c r="S262" s="12">
        <f t="shared" si="52"/>
        <v>125400</v>
      </c>
      <c r="T262" s="12">
        <v>22000</v>
      </c>
      <c r="U262" s="9">
        <f t="shared" si="53"/>
        <v>15400</v>
      </c>
      <c r="V262" s="6">
        <f t="shared" si="54"/>
        <v>0.12280701754385964</v>
      </c>
      <c r="W262" s="3" t="s">
        <v>48</v>
      </c>
      <c r="X262" s="3" t="s">
        <v>49</v>
      </c>
      <c r="Y262" s="3">
        <f t="shared" si="55"/>
        <v>4</v>
      </c>
      <c r="Z262" s="3" t="str">
        <f t="shared" si="56"/>
        <v>Premium</v>
      </c>
      <c r="AA262" s="3">
        <v>4</v>
      </c>
      <c r="AB262" s="3" t="str">
        <f t="shared" si="57"/>
        <v>Excellent</v>
      </c>
      <c r="AC262" s="3" t="str">
        <f t="shared" si="58"/>
        <v>February</v>
      </c>
      <c r="AD262" s="3" t="str">
        <f t="shared" si="59"/>
        <v>Q1</v>
      </c>
      <c r="AE262" s="3">
        <f t="shared" si="60"/>
        <v>2026</v>
      </c>
      <c r="AF262" s="3" t="str">
        <f t="shared" si="61"/>
        <v>Sunday</v>
      </c>
      <c r="AG262" s="3" t="str">
        <f t="shared" si="62"/>
        <v>46+</v>
      </c>
      <c r="AH262" s="3" t="str">
        <f t="shared" si="63"/>
        <v>Large</v>
      </c>
      <c r="AI262" s="3" t="str">
        <f t="shared" si="64"/>
        <v>Medium</v>
      </c>
      <c r="AJ262" s="3" t="str" cm="1">
        <f t="array" ref="AJ262">_xlfn.IFS(S262&gt;=80000,"VIP",S262&gt;=40000,"Gold",S262&gt;=15000,"Silver",TRUE,"Bronze")</f>
        <v>VIP</v>
      </c>
    </row>
    <row r="263" spans="1:36" x14ac:dyDescent="0.3">
      <c r="A263" s="3" t="s">
        <v>768</v>
      </c>
      <c r="B263" s="15">
        <v>46055</v>
      </c>
      <c r="C263" s="15">
        <v>46057</v>
      </c>
      <c r="D263" s="3" t="s">
        <v>769</v>
      </c>
      <c r="E263" s="3" t="s">
        <v>306</v>
      </c>
      <c r="F263" s="3" t="s">
        <v>52</v>
      </c>
      <c r="G263" s="3">
        <v>49</v>
      </c>
      <c r="H263" s="3" t="s">
        <v>110</v>
      </c>
      <c r="I263" s="3" t="s">
        <v>111</v>
      </c>
      <c r="J263" s="3" t="s">
        <v>80</v>
      </c>
      <c r="K263" s="3" t="s">
        <v>96</v>
      </c>
      <c r="L263" s="3" t="s">
        <v>166</v>
      </c>
      <c r="M263" s="3" t="s">
        <v>97</v>
      </c>
      <c r="N263" s="3" t="s">
        <v>98</v>
      </c>
      <c r="O263" s="3" t="s">
        <v>99</v>
      </c>
      <c r="P263" s="3">
        <v>1</v>
      </c>
      <c r="Q263" s="9">
        <v>4500</v>
      </c>
      <c r="R263" s="6">
        <v>0.1</v>
      </c>
      <c r="S263" s="12">
        <f t="shared" si="52"/>
        <v>4050</v>
      </c>
      <c r="T263" s="12">
        <v>3000</v>
      </c>
      <c r="U263" s="9">
        <f t="shared" si="53"/>
        <v>1050</v>
      </c>
      <c r="V263" s="6">
        <f t="shared" si="54"/>
        <v>0.25925925925925924</v>
      </c>
      <c r="W263" s="3" t="s">
        <v>73</v>
      </c>
      <c r="X263" s="3" t="s">
        <v>49</v>
      </c>
      <c r="Y263" s="3">
        <f t="shared" si="55"/>
        <v>2</v>
      </c>
      <c r="Z263" s="3" t="str">
        <f t="shared" si="56"/>
        <v>Regular</v>
      </c>
      <c r="AA263" s="3">
        <v>5</v>
      </c>
      <c r="AB263" s="3" t="str">
        <f t="shared" si="57"/>
        <v>Excellent</v>
      </c>
      <c r="AC263" s="3" t="str">
        <f t="shared" si="58"/>
        <v>February</v>
      </c>
      <c r="AD263" s="3" t="str">
        <f t="shared" si="59"/>
        <v>Q1</v>
      </c>
      <c r="AE263" s="3">
        <f t="shared" si="60"/>
        <v>2026</v>
      </c>
      <c r="AF263" s="3" t="str">
        <f t="shared" si="61"/>
        <v>Monday</v>
      </c>
      <c r="AG263" s="3" t="str">
        <f t="shared" si="62"/>
        <v>46+</v>
      </c>
      <c r="AH263" s="3" t="str">
        <f t="shared" si="63"/>
        <v>Small</v>
      </c>
      <c r="AI263" s="3" t="str">
        <f t="shared" si="64"/>
        <v>Medium</v>
      </c>
      <c r="AJ263" s="3" t="str" cm="1">
        <f t="array" ref="AJ263">_xlfn.IFS(S263&gt;=80000,"VIP",S263&gt;=40000,"Gold",S263&gt;=15000,"Silver",TRUE,"Bronze")</f>
        <v>Bronze</v>
      </c>
    </row>
    <row r="264" spans="1:36" x14ac:dyDescent="0.3">
      <c r="A264" s="3" t="s">
        <v>770</v>
      </c>
      <c r="B264" s="15">
        <v>46137</v>
      </c>
      <c r="C264" s="15">
        <v>46141</v>
      </c>
      <c r="D264" s="3" t="s">
        <v>771</v>
      </c>
      <c r="E264" s="3" t="s">
        <v>639</v>
      </c>
      <c r="F264" s="3" t="s">
        <v>39</v>
      </c>
      <c r="G264" s="3">
        <v>22</v>
      </c>
      <c r="H264" s="3" t="s">
        <v>60</v>
      </c>
      <c r="I264" s="3" t="s">
        <v>61</v>
      </c>
      <c r="J264" s="3" t="s">
        <v>42</v>
      </c>
      <c r="K264" s="3" t="s">
        <v>105</v>
      </c>
      <c r="L264" s="3" t="s">
        <v>112</v>
      </c>
      <c r="M264" s="3" t="s">
        <v>113</v>
      </c>
      <c r="N264" s="3" t="s">
        <v>114</v>
      </c>
      <c r="O264" s="3" t="s">
        <v>115</v>
      </c>
      <c r="P264" s="3">
        <v>5</v>
      </c>
      <c r="Q264" s="9">
        <v>3500</v>
      </c>
      <c r="R264" s="6">
        <v>0.05</v>
      </c>
      <c r="S264" s="12">
        <f t="shared" si="52"/>
        <v>16625</v>
      </c>
      <c r="T264" s="12">
        <v>2500</v>
      </c>
      <c r="U264" s="9">
        <f t="shared" si="53"/>
        <v>4125</v>
      </c>
      <c r="V264" s="6">
        <f t="shared" si="54"/>
        <v>0.24812030075187969</v>
      </c>
      <c r="W264" s="3" t="s">
        <v>48</v>
      </c>
      <c r="X264" s="3" t="s">
        <v>106</v>
      </c>
      <c r="Y264" s="3">
        <f t="shared" si="55"/>
        <v>4</v>
      </c>
      <c r="Z264" s="3" t="str">
        <f t="shared" si="56"/>
        <v>Regular</v>
      </c>
      <c r="AA264" s="3">
        <v>5</v>
      </c>
      <c r="AB264" s="3" t="str">
        <f t="shared" si="57"/>
        <v>Excellent</v>
      </c>
      <c r="AC264" s="3" t="str">
        <f t="shared" si="58"/>
        <v>April</v>
      </c>
      <c r="AD264" s="3" t="str">
        <f t="shared" si="59"/>
        <v>Q2</v>
      </c>
      <c r="AE264" s="3">
        <f t="shared" si="60"/>
        <v>2026</v>
      </c>
      <c r="AF264" s="3" t="str">
        <f t="shared" si="61"/>
        <v>Saturday</v>
      </c>
      <c r="AG264" s="3" t="str">
        <f t="shared" si="62"/>
        <v>18-25</v>
      </c>
      <c r="AH264" s="3" t="str">
        <f t="shared" si="63"/>
        <v>Medium</v>
      </c>
      <c r="AI264" s="3" t="str">
        <f t="shared" si="64"/>
        <v>Low</v>
      </c>
      <c r="AJ264" s="3" t="str" cm="1">
        <f t="array" ref="AJ264">_xlfn.IFS(S264&gt;=80000,"VIP",S264&gt;=40000,"Gold",S264&gt;=15000,"Silver",TRUE,"Bronze")</f>
        <v>Silver</v>
      </c>
    </row>
    <row r="265" spans="1:36" x14ac:dyDescent="0.3">
      <c r="A265" s="3" t="s">
        <v>772</v>
      </c>
      <c r="B265" s="15">
        <v>46381</v>
      </c>
      <c r="C265" s="15">
        <v>46384</v>
      </c>
      <c r="D265" s="3" t="s">
        <v>773</v>
      </c>
      <c r="E265" s="3" t="s">
        <v>77</v>
      </c>
      <c r="F265" s="3" t="s">
        <v>39</v>
      </c>
      <c r="G265" s="3">
        <v>22</v>
      </c>
      <c r="H265" s="3" t="s">
        <v>88</v>
      </c>
      <c r="I265" s="3" t="s">
        <v>89</v>
      </c>
      <c r="J265" s="3" t="s">
        <v>80</v>
      </c>
      <c r="K265" s="3" t="s">
        <v>54</v>
      </c>
      <c r="L265" s="3" t="s">
        <v>173</v>
      </c>
      <c r="M265" s="3" t="s">
        <v>45</v>
      </c>
      <c r="N265" s="3" t="s">
        <v>46</v>
      </c>
      <c r="O265" s="3" t="s">
        <v>55</v>
      </c>
      <c r="P265" s="3">
        <v>5</v>
      </c>
      <c r="Q265" s="9">
        <v>79900</v>
      </c>
      <c r="R265" s="6">
        <v>0.1</v>
      </c>
      <c r="S265" s="12">
        <f t="shared" si="52"/>
        <v>359550</v>
      </c>
      <c r="T265" s="12">
        <v>65000</v>
      </c>
      <c r="U265" s="9">
        <f t="shared" si="53"/>
        <v>34550</v>
      </c>
      <c r="V265" s="6">
        <f t="shared" si="54"/>
        <v>9.6092337644277576E-2</v>
      </c>
      <c r="W265" s="3" t="s">
        <v>65</v>
      </c>
      <c r="X265" s="3" t="s">
        <v>74</v>
      </c>
      <c r="Y265" s="3">
        <f t="shared" si="55"/>
        <v>3</v>
      </c>
      <c r="Z265" s="3" t="str">
        <f t="shared" si="56"/>
        <v>Premium</v>
      </c>
      <c r="AA265" s="3">
        <v>4</v>
      </c>
      <c r="AB265" s="3" t="str">
        <f t="shared" si="57"/>
        <v>Excellent</v>
      </c>
      <c r="AC265" s="3" t="str">
        <f t="shared" si="58"/>
        <v>December</v>
      </c>
      <c r="AD265" s="3" t="str">
        <f t="shared" si="59"/>
        <v>Q4</v>
      </c>
      <c r="AE265" s="3">
        <f t="shared" si="60"/>
        <v>2026</v>
      </c>
      <c r="AF265" s="3" t="str">
        <f t="shared" si="61"/>
        <v>Friday</v>
      </c>
      <c r="AG265" s="3" t="str">
        <f t="shared" si="62"/>
        <v>18-25</v>
      </c>
      <c r="AH265" s="3" t="str">
        <f t="shared" si="63"/>
        <v>Large</v>
      </c>
      <c r="AI265" s="3" t="str">
        <f t="shared" si="64"/>
        <v>Medium</v>
      </c>
      <c r="AJ265" s="3" t="str" cm="1">
        <f t="array" ref="AJ265">_xlfn.IFS(S265&gt;=80000,"VIP",S265&gt;=40000,"Gold",S265&gt;=15000,"Silver",TRUE,"Bronze")</f>
        <v>VIP</v>
      </c>
    </row>
    <row r="266" spans="1:36" x14ac:dyDescent="0.3">
      <c r="A266" s="3" t="s">
        <v>774</v>
      </c>
      <c r="B266" s="15">
        <v>46149</v>
      </c>
      <c r="C266" s="15">
        <v>46151</v>
      </c>
      <c r="D266" s="3" t="s">
        <v>775</v>
      </c>
      <c r="E266" s="3" t="s">
        <v>570</v>
      </c>
      <c r="F266" s="3" t="s">
        <v>39</v>
      </c>
      <c r="G266" s="3">
        <v>35</v>
      </c>
      <c r="H266" s="3" t="s">
        <v>119</v>
      </c>
      <c r="I266" s="3" t="s">
        <v>120</v>
      </c>
      <c r="J266" s="3" t="s">
        <v>121</v>
      </c>
      <c r="K266" s="3" t="s">
        <v>43</v>
      </c>
      <c r="L266" s="3" t="s">
        <v>44</v>
      </c>
      <c r="M266" s="3" t="s">
        <v>45</v>
      </c>
      <c r="N266" s="3" t="s">
        <v>46</v>
      </c>
      <c r="O266" s="3" t="s">
        <v>47</v>
      </c>
      <c r="P266" s="3">
        <v>4</v>
      </c>
      <c r="Q266" s="9">
        <v>28500</v>
      </c>
      <c r="R266" s="6">
        <v>0.05</v>
      </c>
      <c r="S266" s="12">
        <f t="shared" si="52"/>
        <v>108300</v>
      </c>
      <c r="T266" s="12">
        <v>22000</v>
      </c>
      <c r="U266" s="9">
        <f t="shared" si="53"/>
        <v>20300</v>
      </c>
      <c r="V266" s="6">
        <f t="shared" si="54"/>
        <v>0.18744228993536471</v>
      </c>
      <c r="W266" s="3" t="s">
        <v>92</v>
      </c>
      <c r="X266" s="3" t="s">
        <v>49</v>
      </c>
      <c r="Y266" s="3">
        <f t="shared" si="55"/>
        <v>2</v>
      </c>
      <c r="Z266" s="3" t="str">
        <f t="shared" si="56"/>
        <v>Premium</v>
      </c>
      <c r="AA266" s="3">
        <v>4</v>
      </c>
      <c r="AB266" s="3" t="str">
        <f t="shared" si="57"/>
        <v>Excellent</v>
      </c>
      <c r="AC266" s="3" t="str">
        <f t="shared" si="58"/>
        <v>May</v>
      </c>
      <c r="AD266" s="3" t="str">
        <f t="shared" si="59"/>
        <v>Q2</v>
      </c>
      <c r="AE266" s="3">
        <f t="shared" si="60"/>
        <v>2026</v>
      </c>
      <c r="AF266" s="3" t="str">
        <f t="shared" si="61"/>
        <v>Thursday</v>
      </c>
      <c r="AG266" s="3" t="str">
        <f t="shared" si="62"/>
        <v>26-35</v>
      </c>
      <c r="AH266" s="3" t="str">
        <f t="shared" si="63"/>
        <v>Large</v>
      </c>
      <c r="AI266" s="3" t="str">
        <f t="shared" si="64"/>
        <v>Low</v>
      </c>
      <c r="AJ266" s="3" t="str" cm="1">
        <f t="array" ref="AJ266">_xlfn.IFS(S266&gt;=80000,"VIP",S266&gt;=40000,"Gold",S266&gt;=15000,"Silver",TRUE,"Bronze")</f>
        <v>VIP</v>
      </c>
    </row>
    <row r="267" spans="1:36" x14ac:dyDescent="0.3">
      <c r="A267" s="3" t="s">
        <v>776</v>
      </c>
      <c r="B267" s="15">
        <v>46347</v>
      </c>
      <c r="C267" s="15">
        <v>46353</v>
      </c>
      <c r="D267" s="3" t="s">
        <v>777</v>
      </c>
      <c r="E267" s="3" t="s">
        <v>314</v>
      </c>
      <c r="F267" s="3" t="s">
        <v>52</v>
      </c>
      <c r="G267" s="3">
        <v>40</v>
      </c>
      <c r="H267" s="3" t="s">
        <v>88</v>
      </c>
      <c r="I267" s="3" t="s">
        <v>89</v>
      </c>
      <c r="J267" s="3" t="s">
        <v>80</v>
      </c>
      <c r="K267" s="3" t="s">
        <v>54</v>
      </c>
      <c r="L267" s="3" t="s">
        <v>173</v>
      </c>
      <c r="M267" s="3" t="s">
        <v>45</v>
      </c>
      <c r="N267" s="3" t="s">
        <v>46</v>
      </c>
      <c r="O267" s="3" t="s">
        <v>55</v>
      </c>
      <c r="P267" s="3">
        <v>2</v>
      </c>
      <c r="Q267" s="9">
        <v>79900</v>
      </c>
      <c r="R267" s="6">
        <v>0.08</v>
      </c>
      <c r="S267" s="12">
        <f t="shared" si="52"/>
        <v>147016</v>
      </c>
      <c r="T267" s="12">
        <v>65000</v>
      </c>
      <c r="U267" s="9">
        <f t="shared" si="53"/>
        <v>17016</v>
      </c>
      <c r="V267" s="6">
        <f t="shared" si="54"/>
        <v>0.11574250421722805</v>
      </c>
      <c r="W267" s="3" t="s">
        <v>100</v>
      </c>
      <c r="X267" s="3" t="s">
        <v>106</v>
      </c>
      <c r="Y267" s="3">
        <f t="shared" si="55"/>
        <v>6</v>
      </c>
      <c r="Z267" s="3" t="str">
        <f t="shared" si="56"/>
        <v>Premium</v>
      </c>
      <c r="AA267" s="3">
        <v>5</v>
      </c>
      <c r="AB267" s="3" t="str">
        <f t="shared" si="57"/>
        <v>Excellent</v>
      </c>
      <c r="AC267" s="3" t="str">
        <f t="shared" si="58"/>
        <v>November</v>
      </c>
      <c r="AD267" s="3" t="str">
        <f t="shared" si="59"/>
        <v>Q4</v>
      </c>
      <c r="AE267" s="3">
        <f t="shared" si="60"/>
        <v>2026</v>
      </c>
      <c r="AF267" s="3" t="str">
        <f t="shared" si="61"/>
        <v>Saturday</v>
      </c>
      <c r="AG267" s="3" t="str">
        <f t="shared" si="62"/>
        <v>36-45</v>
      </c>
      <c r="AH267" s="3" t="str">
        <f t="shared" si="63"/>
        <v>Large</v>
      </c>
      <c r="AI267" s="3" t="str">
        <f t="shared" si="64"/>
        <v>Medium</v>
      </c>
      <c r="AJ267" s="3" t="str" cm="1">
        <f t="array" ref="AJ267">_xlfn.IFS(S267&gt;=80000,"VIP",S267&gt;=40000,"Gold",S267&gt;=15000,"Silver",TRUE,"Bronze")</f>
        <v>VIP</v>
      </c>
    </row>
    <row r="268" spans="1:36" x14ac:dyDescent="0.3">
      <c r="A268" s="3" t="s">
        <v>778</v>
      </c>
      <c r="B268" s="15">
        <v>46146</v>
      </c>
      <c r="C268" s="15">
        <v>46148</v>
      </c>
      <c r="D268" s="3" t="s">
        <v>779</v>
      </c>
      <c r="E268" s="3" t="s">
        <v>266</v>
      </c>
      <c r="F268" s="3" t="s">
        <v>39</v>
      </c>
      <c r="G268" s="3">
        <v>20</v>
      </c>
      <c r="H268" s="3" t="s">
        <v>60</v>
      </c>
      <c r="I268" s="3" t="s">
        <v>61</v>
      </c>
      <c r="J268" s="3" t="s">
        <v>42</v>
      </c>
      <c r="K268" s="3" t="s">
        <v>70</v>
      </c>
      <c r="L268" s="3" t="s">
        <v>71</v>
      </c>
      <c r="M268" s="3" t="s">
        <v>45</v>
      </c>
      <c r="N268" s="3" t="s">
        <v>63</v>
      </c>
      <c r="O268" s="3" t="s">
        <v>72</v>
      </c>
      <c r="P268" s="3">
        <v>5</v>
      </c>
      <c r="Q268" s="9">
        <v>58000</v>
      </c>
      <c r="R268" s="6">
        <v>0.2</v>
      </c>
      <c r="S268" s="12">
        <f t="shared" si="52"/>
        <v>232000</v>
      </c>
      <c r="T268" s="12">
        <v>49000</v>
      </c>
      <c r="U268" s="9">
        <f t="shared" si="53"/>
        <v>-13000</v>
      </c>
      <c r="V268" s="6">
        <f t="shared" si="54"/>
        <v>-5.6034482758620691E-2</v>
      </c>
      <c r="W268" s="3" t="s">
        <v>56</v>
      </c>
      <c r="X268" s="3" t="s">
        <v>106</v>
      </c>
      <c r="Y268" s="3">
        <f t="shared" si="55"/>
        <v>2</v>
      </c>
      <c r="Z268" s="3" t="str">
        <f t="shared" si="56"/>
        <v>Premium</v>
      </c>
      <c r="AA268" s="3">
        <v>4</v>
      </c>
      <c r="AB268" s="3" t="str">
        <f t="shared" si="57"/>
        <v>Excellent</v>
      </c>
      <c r="AC268" s="3" t="str">
        <f t="shared" si="58"/>
        <v>May</v>
      </c>
      <c r="AD268" s="3" t="str">
        <f t="shared" si="59"/>
        <v>Q2</v>
      </c>
      <c r="AE268" s="3">
        <f t="shared" si="60"/>
        <v>2026</v>
      </c>
      <c r="AF268" s="3" t="str">
        <f t="shared" si="61"/>
        <v>Monday</v>
      </c>
      <c r="AG268" s="3" t="str">
        <f t="shared" si="62"/>
        <v>18-25</v>
      </c>
      <c r="AH268" s="3" t="str">
        <f t="shared" si="63"/>
        <v>Large</v>
      </c>
      <c r="AI268" s="3" t="str">
        <f t="shared" si="64"/>
        <v>High</v>
      </c>
      <c r="AJ268" s="3" t="str" cm="1">
        <f t="array" ref="AJ268">_xlfn.IFS(S268&gt;=80000,"VIP",S268&gt;=40000,"Gold",S268&gt;=15000,"Silver",TRUE,"Bronze")</f>
        <v>VIP</v>
      </c>
    </row>
    <row r="269" spans="1:36" x14ac:dyDescent="0.3">
      <c r="A269" s="3" t="s">
        <v>780</v>
      </c>
      <c r="B269" s="15">
        <v>46380</v>
      </c>
      <c r="C269" s="15">
        <v>46386</v>
      </c>
      <c r="D269" s="3" t="s">
        <v>781</v>
      </c>
      <c r="E269" s="3" t="s">
        <v>448</v>
      </c>
      <c r="F269" s="3" t="s">
        <v>52</v>
      </c>
      <c r="G269" s="3">
        <v>32</v>
      </c>
      <c r="H269" s="3" t="s">
        <v>60</v>
      </c>
      <c r="I269" s="3" t="s">
        <v>61</v>
      </c>
      <c r="J269" s="3" t="s">
        <v>42</v>
      </c>
      <c r="K269" s="3" t="s">
        <v>62</v>
      </c>
      <c r="L269" s="3" t="s">
        <v>163</v>
      </c>
      <c r="M269" s="3" t="s">
        <v>45</v>
      </c>
      <c r="N269" s="3" t="s">
        <v>63</v>
      </c>
      <c r="O269" s="3" t="s">
        <v>64</v>
      </c>
      <c r="P269" s="3">
        <v>3</v>
      </c>
      <c r="Q269" s="9">
        <v>62000</v>
      </c>
      <c r="R269" s="6">
        <v>0.15</v>
      </c>
      <c r="S269" s="12">
        <f t="shared" si="52"/>
        <v>158100</v>
      </c>
      <c r="T269" s="12">
        <v>52000</v>
      </c>
      <c r="U269" s="9">
        <f t="shared" si="53"/>
        <v>2100</v>
      </c>
      <c r="V269" s="6">
        <f t="shared" si="54"/>
        <v>1.3282732447817837E-2</v>
      </c>
      <c r="W269" s="3" t="s">
        <v>65</v>
      </c>
      <c r="X269" s="3" t="s">
        <v>74</v>
      </c>
      <c r="Y269" s="3">
        <f t="shared" si="55"/>
        <v>6</v>
      </c>
      <c r="Z269" s="3" t="str">
        <f t="shared" si="56"/>
        <v>Premium</v>
      </c>
      <c r="AA269" s="3">
        <v>3</v>
      </c>
      <c r="AB269" s="3" t="str">
        <f t="shared" si="57"/>
        <v>Average</v>
      </c>
      <c r="AC269" s="3" t="str">
        <f t="shared" si="58"/>
        <v>December</v>
      </c>
      <c r="AD269" s="3" t="str">
        <f t="shared" si="59"/>
        <v>Q4</v>
      </c>
      <c r="AE269" s="3">
        <f t="shared" si="60"/>
        <v>2026</v>
      </c>
      <c r="AF269" s="3" t="str">
        <f t="shared" si="61"/>
        <v>Thursday</v>
      </c>
      <c r="AG269" s="3" t="str">
        <f t="shared" si="62"/>
        <v>26-35</v>
      </c>
      <c r="AH269" s="3" t="str">
        <f t="shared" si="63"/>
        <v>Large</v>
      </c>
      <c r="AI269" s="3" t="str">
        <f t="shared" si="64"/>
        <v>Medium</v>
      </c>
      <c r="AJ269" s="3" t="str" cm="1">
        <f t="array" ref="AJ269">_xlfn.IFS(S269&gt;=80000,"VIP",S269&gt;=40000,"Gold",S269&gt;=15000,"Silver",TRUE,"Bronze")</f>
        <v>VIP</v>
      </c>
    </row>
    <row r="270" spans="1:36" x14ac:dyDescent="0.3">
      <c r="A270" s="3" t="s">
        <v>782</v>
      </c>
      <c r="B270" s="15">
        <v>46033</v>
      </c>
      <c r="C270" s="15">
        <v>46039</v>
      </c>
      <c r="D270" s="3" t="s">
        <v>783</v>
      </c>
      <c r="E270" s="3" t="s">
        <v>784</v>
      </c>
      <c r="F270" s="3" t="s">
        <v>52</v>
      </c>
      <c r="G270" s="3">
        <v>46</v>
      </c>
      <c r="H270" s="3" t="s">
        <v>88</v>
      </c>
      <c r="I270" s="3" t="s">
        <v>89</v>
      </c>
      <c r="J270" s="3" t="s">
        <v>80</v>
      </c>
      <c r="K270" s="3" t="s">
        <v>96</v>
      </c>
      <c r="L270" s="3" t="s">
        <v>166</v>
      </c>
      <c r="M270" s="3" t="s">
        <v>97</v>
      </c>
      <c r="N270" s="3" t="s">
        <v>98</v>
      </c>
      <c r="O270" s="3" t="s">
        <v>99</v>
      </c>
      <c r="P270" s="3">
        <v>4</v>
      </c>
      <c r="Q270" s="9">
        <v>4500</v>
      </c>
      <c r="R270" s="6">
        <v>0.12</v>
      </c>
      <c r="S270" s="12">
        <f t="shared" si="52"/>
        <v>15840</v>
      </c>
      <c r="T270" s="12">
        <v>3000</v>
      </c>
      <c r="U270" s="9">
        <f t="shared" si="53"/>
        <v>3840</v>
      </c>
      <c r="V270" s="6">
        <f t="shared" si="54"/>
        <v>0.24242424242424243</v>
      </c>
      <c r="W270" s="3" t="s">
        <v>73</v>
      </c>
      <c r="X270" s="3" t="s">
        <v>74</v>
      </c>
      <c r="Y270" s="3">
        <f t="shared" si="55"/>
        <v>6</v>
      </c>
      <c r="Z270" s="3" t="str">
        <f t="shared" si="56"/>
        <v>Regular</v>
      </c>
      <c r="AA270" s="3">
        <v>2</v>
      </c>
      <c r="AB270" s="3" t="str">
        <f t="shared" si="57"/>
        <v>Average</v>
      </c>
      <c r="AC270" s="3" t="str">
        <f t="shared" si="58"/>
        <v>January</v>
      </c>
      <c r="AD270" s="3" t="str">
        <f t="shared" si="59"/>
        <v>Q1</v>
      </c>
      <c r="AE270" s="3">
        <f t="shared" si="60"/>
        <v>2026</v>
      </c>
      <c r="AF270" s="3" t="str">
        <f t="shared" si="61"/>
        <v>Sunday</v>
      </c>
      <c r="AG270" s="3" t="str">
        <f t="shared" si="62"/>
        <v>46+</v>
      </c>
      <c r="AH270" s="3" t="str">
        <f t="shared" si="63"/>
        <v>Medium</v>
      </c>
      <c r="AI270" s="3" t="str">
        <f t="shared" si="64"/>
        <v>Medium</v>
      </c>
      <c r="AJ270" s="3" t="str" cm="1">
        <f t="array" ref="AJ270">_xlfn.IFS(S270&gt;=80000,"VIP",S270&gt;=40000,"Gold",S270&gt;=15000,"Silver",TRUE,"Bronze")</f>
        <v>Silver</v>
      </c>
    </row>
    <row r="271" spans="1:36" x14ac:dyDescent="0.3">
      <c r="A271" s="3" t="s">
        <v>785</v>
      </c>
      <c r="B271" s="15">
        <v>46355</v>
      </c>
      <c r="C271" s="15">
        <v>46360</v>
      </c>
      <c r="D271" s="3" t="s">
        <v>786</v>
      </c>
      <c r="E271" s="3" t="s">
        <v>159</v>
      </c>
      <c r="F271" s="3" t="s">
        <v>52</v>
      </c>
      <c r="G271" s="3">
        <v>41</v>
      </c>
      <c r="H271" s="3" t="s">
        <v>60</v>
      </c>
      <c r="I271" s="3" t="s">
        <v>61</v>
      </c>
      <c r="J271" s="3" t="s">
        <v>42</v>
      </c>
      <c r="K271" s="3" t="s">
        <v>105</v>
      </c>
      <c r="L271" s="3" t="s">
        <v>112</v>
      </c>
      <c r="M271" s="3" t="s">
        <v>113</v>
      </c>
      <c r="N271" s="3" t="s">
        <v>114</v>
      </c>
      <c r="O271" s="3" t="s">
        <v>115</v>
      </c>
      <c r="P271" s="3">
        <v>4</v>
      </c>
      <c r="Q271" s="9">
        <v>3500</v>
      </c>
      <c r="R271" s="6">
        <v>0.08</v>
      </c>
      <c r="S271" s="12">
        <f t="shared" si="52"/>
        <v>12880</v>
      </c>
      <c r="T271" s="12">
        <v>2500</v>
      </c>
      <c r="U271" s="9">
        <f t="shared" si="53"/>
        <v>2880</v>
      </c>
      <c r="V271" s="6">
        <f t="shared" si="54"/>
        <v>0.2236024844720497</v>
      </c>
      <c r="W271" s="3" t="s">
        <v>92</v>
      </c>
      <c r="X271" s="3" t="s">
        <v>74</v>
      </c>
      <c r="Y271" s="3">
        <f t="shared" si="55"/>
        <v>5</v>
      </c>
      <c r="Z271" s="3" t="str">
        <f t="shared" si="56"/>
        <v>Regular</v>
      </c>
      <c r="AA271" s="3">
        <v>3</v>
      </c>
      <c r="AB271" s="3" t="str">
        <f t="shared" si="57"/>
        <v>Average</v>
      </c>
      <c r="AC271" s="3" t="str">
        <f t="shared" si="58"/>
        <v>November</v>
      </c>
      <c r="AD271" s="3" t="str">
        <f t="shared" si="59"/>
        <v>Q4</v>
      </c>
      <c r="AE271" s="3">
        <f t="shared" si="60"/>
        <v>2026</v>
      </c>
      <c r="AF271" s="3" t="str">
        <f t="shared" si="61"/>
        <v>Sunday</v>
      </c>
      <c r="AG271" s="3" t="str">
        <f t="shared" si="62"/>
        <v>36-45</v>
      </c>
      <c r="AH271" s="3" t="str">
        <f t="shared" si="63"/>
        <v>Medium</v>
      </c>
      <c r="AI271" s="3" t="str">
        <f t="shared" si="64"/>
        <v>Medium</v>
      </c>
      <c r="AJ271" s="3" t="str" cm="1">
        <f t="array" ref="AJ271">_xlfn.IFS(S271&gt;=80000,"VIP",S271&gt;=40000,"Gold",S271&gt;=15000,"Silver",TRUE,"Bronze")</f>
        <v>Bronze</v>
      </c>
    </row>
    <row r="272" spans="1:36" x14ac:dyDescent="0.3">
      <c r="A272" s="3" t="s">
        <v>787</v>
      </c>
      <c r="B272" s="15">
        <v>46276</v>
      </c>
      <c r="C272" s="15">
        <v>46278</v>
      </c>
      <c r="D272" s="3" t="s">
        <v>788</v>
      </c>
      <c r="E272" s="3" t="s">
        <v>789</v>
      </c>
      <c r="F272" s="3" t="s">
        <v>39</v>
      </c>
      <c r="G272" s="3">
        <v>27</v>
      </c>
      <c r="H272" s="3" t="s">
        <v>110</v>
      </c>
      <c r="I272" s="3" t="s">
        <v>111</v>
      </c>
      <c r="J272" s="3" t="s">
        <v>80</v>
      </c>
      <c r="K272" s="3" t="s">
        <v>70</v>
      </c>
      <c r="L272" s="3" t="s">
        <v>71</v>
      </c>
      <c r="M272" s="3" t="s">
        <v>45</v>
      </c>
      <c r="N272" s="3" t="s">
        <v>63</v>
      </c>
      <c r="O272" s="3" t="s">
        <v>72</v>
      </c>
      <c r="P272" s="3">
        <v>3</v>
      </c>
      <c r="Q272" s="9">
        <v>58000</v>
      </c>
      <c r="R272" s="6">
        <v>0.1</v>
      </c>
      <c r="S272" s="12">
        <f t="shared" si="52"/>
        <v>156600</v>
      </c>
      <c r="T272" s="12">
        <v>49000</v>
      </c>
      <c r="U272" s="9">
        <f t="shared" si="53"/>
        <v>9600</v>
      </c>
      <c r="V272" s="6">
        <f t="shared" si="54"/>
        <v>6.1302681992337162E-2</v>
      </c>
      <c r="W272" s="3" t="s">
        <v>65</v>
      </c>
      <c r="X272" s="3" t="s">
        <v>74</v>
      </c>
      <c r="Y272" s="3">
        <f t="shared" si="55"/>
        <v>2</v>
      </c>
      <c r="Z272" s="3" t="str">
        <f t="shared" si="56"/>
        <v>Premium</v>
      </c>
      <c r="AA272" s="3">
        <v>2</v>
      </c>
      <c r="AB272" s="3" t="str">
        <f t="shared" si="57"/>
        <v>Average</v>
      </c>
      <c r="AC272" s="3" t="str">
        <f t="shared" si="58"/>
        <v>September</v>
      </c>
      <c r="AD272" s="3" t="str">
        <f t="shared" si="59"/>
        <v>Q3</v>
      </c>
      <c r="AE272" s="3">
        <f t="shared" si="60"/>
        <v>2026</v>
      </c>
      <c r="AF272" s="3" t="str">
        <f t="shared" si="61"/>
        <v>Friday</v>
      </c>
      <c r="AG272" s="3" t="str">
        <f t="shared" si="62"/>
        <v>26-35</v>
      </c>
      <c r="AH272" s="3" t="str">
        <f t="shared" si="63"/>
        <v>Large</v>
      </c>
      <c r="AI272" s="3" t="str">
        <f t="shared" si="64"/>
        <v>Medium</v>
      </c>
      <c r="AJ272" s="3" t="str" cm="1">
        <f t="array" ref="AJ272">_xlfn.IFS(S272&gt;=80000,"VIP",S272&gt;=40000,"Gold",S272&gt;=15000,"Silver",TRUE,"Bronze")</f>
        <v>VIP</v>
      </c>
    </row>
    <row r="273" spans="1:36" x14ac:dyDescent="0.3">
      <c r="A273" s="3" t="s">
        <v>790</v>
      </c>
      <c r="B273" s="15">
        <v>46159</v>
      </c>
      <c r="C273" s="15">
        <v>46164</v>
      </c>
      <c r="D273" s="3" t="s">
        <v>791</v>
      </c>
      <c r="E273" s="3" t="s">
        <v>792</v>
      </c>
      <c r="F273" s="3" t="s">
        <v>39</v>
      </c>
      <c r="G273" s="3">
        <v>36</v>
      </c>
      <c r="H273" s="3" t="s">
        <v>53</v>
      </c>
      <c r="I273" s="3" t="s">
        <v>41</v>
      </c>
      <c r="J273" s="3" t="s">
        <v>42</v>
      </c>
      <c r="K273" s="3" t="s">
        <v>96</v>
      </c>
      <c r="L273" s="3" t="s">
        <v>166</v>
      </c>
      <c r="M273" s="3" t="s">
        <v>97</v>
      </c>
      <c r="N273" s="3" t="s">
        <v>98</v>
      </c>
      <c r="O273" s="3" t="s">
        <v>99</v>
      </c>
      <c r="P273" s="3">
        <v>2</v>
      </c>
      <c r="Q273" s="9">
        <v>4500</v>
      </c>
      <c r="R273" s="6">
        <v>0.15</v>
      </c>
      <c r="S273" s="12">
        <f t="shared" si="52"/>
        <v>7650</v>
      </c>
      <c r="T273" s="12">
        <v>3000</v>
      </c>
      <c r="U273" s="9">
        <f t="shared" si="53"/>
        <v>1650</v>
      </c>
      <c r="V273" s="6">
        <f t="shared" si="54"/>
        <v>0.21568627450980393</v>
      </c>
      <c r="W273" s="3" t="s">
        <v>73</v>
      </c>
      <c r="X273" s="3" t="s">
        <v>49</v>
      </c>
      <c r="Y273" s="3">
        <f t="shared" si="55"/>
        <v>5</v>
      </c>
      <c r="Z273" s="3" t="str">
        <f t="shared" si="56"/>
        <v>Regular</v>
      </c>
      <c r="AA273" s="3">
        <v>3</v>
      </c>
      <c r="AB273" s="3" t="str">
        <f t="shared" si="57"/>
        <v>Average</v>
      </c>
      <c r="AC273" s="3" t="str">
        <f t="shared" si="58"/>
        <v>May</v>
      </c>
      <c r="AD273" s="3" t="str">
        <f t="shared" si="59"/>
        <v>Q2</v>
      </c>
      <c r="AE273" s="3">
        <f t="shared" si="60"/>
        <v>2026</v>
      </c>
      <c r="AF273" s="3" t="str">
        <f t="shared" si="61"/>
        <v>Sunday</v>
      </c>
      <c r="AG273" s="3" t="str">
        <f t="shared" si="62"/>
        <v>36-45</v>
      </c>
      <c r="AH273" s="3" t="str">
        <f t="shared" si="63"/>
        <v>Small</v>
      </c>
      <c r="AI273" s="3" t="str">
        <f t="shared" si="64"/>
        <v>Medium</v>
      </c>
      <c r="AJ273" s="3" t="str" cm="1">
        <f t="array" ref="AJ273">_xlfn.IFS(S273&gt;=80000,"VIP",S273&gt;=40000,"Gold",S273&gt;=15000,"Silver",TRUE,"Bronze")</f>
        <v>Bronze</v>
      </c>
    </row>
    <row r="274" spans="1:36" x14ac:dyDescent="0.3">
      <c r="A274" s="3" t="s">
        <v>793</v>
      </c>
      <c r="B274" s="15">
        <v>46294</v>
      </c>
      <c r="C274" s="15">
        <v>46296</v>
      </c>
      <c r="D274" s="3" t="s">
        <v>794</v>
      </c>
      <c r="E274" s="3" t="s">
        <v>716</v>
      </c>
      <c r="F274" s="3" t="s">
        <v>52</v>
      </c>
      <c r="G274" s="3">
        <v>48</v>
      </c>
      <c r="H274" s="3" t="s">
        <v>60</v>
      </c>
      <c r="I274" s="3" t="s">
        <v>61</v>
      </c>
      <c r="J274" s="3" t="s">
        <v>42</v>
      </c>
      <c r="K274" s="3" t="s">
        <v>43</v>
      </c>
      <c r="L274" s="3" t="s">
        <v>44</v>
      </c>
      <c r="M274" s="3" t="s">
        <v>45</v>
      </c>
      <c r="N274" s="3" t="s">
        <v>46</v>
      </c>
      <c r="O274" s="3" t="s">
        <v>47</v>
      </c>
      <c r="P274" s="3">
        <v>5</v>
      </c>
      <c r="Q274" s="9">
        <v>28500</v>
      </c>
      <c r="R274" s="6">
        <v>0.12</v>
      </c>
      <c r="S274" s="12">
        <f t="shared" si="52"/>
        <v>125400</v>
      </c>
      <c r="T274" s="12">
        <v>22000</v>
      </c>
      <c r="U274" s="9">
        <f t="shared" si="53"/>
        <v>15400</v>
      </c>
      <c r="V274" s="6">
        <f t="shared" si="54"/>
        <v>0.12280701754385964</v>
      </c>
      <c r="W274" s="3" t="s">
        <v>92</v>
      </c>
      <c r="X274" s="3" t="s">
        <v>101</v>
      </c>
      <c r="Y274" s="3">
        <f t="shared" si="55"/>
        <v>2</v>
      </c>
      <c r="Z274" s="3" t="str">
        <f t="shared" si="56"/>
        <v>Premium</v>
      </c>
      <c r="AA274" s="3">
        <v>5</v>
      </c>
      <c r="AB274" s="3" t="str">
        <f t="shared" si="57"/>
        <v>Excellent</v>
      </c>
      <c r="AC274" s="3" t="str">
        <f t="shared" si="58"/>
        <v>September</v>
      </c>
      <c r="AD274" s="3" t="str">
        <f t="shared" si="59"/>
        <v>Q3</v>
      </c>
      <c r="AE274" s="3">
        <f t="shared" si="60"/>
        <v>2026</v>
      </c>
      <c r="AF274" s="3" t="str">
        <f t="shared" si="61"/>
        <v>Tuesday</v>
      </c>
      <c r="AG274" s="3" t="str">
        <f t="shared" si="62"/>
        <v>46+</v>
      </c>
      <c r="AH274" s="3" t="str">
        <f t="shared" si="63"/>
        <v>Large</v>
      </c>
      <c r="AI274" s="3" t="str">
        <f t="shared" si="64"/>
        <v>Medium</v>
      </c>
      <c r="AJ274" s="3" t="str" cm="1">
        <f t="array" ref="AJ274">_xlfn.IFS(S274&gt;=80000,"VIP",S274&gt;=40000,"Gold",S274&gt;=15000,"Silver",TRUE,"Bronze")</f>
        <v>VIP</v>
      </c>
    </row>
    <row r="275" spans="1:36" x14ac:dyDescent="0.3">
      <c r="A275" s="3" t="s">
        <v>795</v>
      </c>
      <c r="B275" s="15">
        <v>46171</v>
      </c>
      <c r="C275" s="15">
        <v>46174</v>
      </c>
      <c r="D275" s="3" t="s">
        <v>796</v>
      </c>
      <c r="E275" s="3" t="s">
        <v>278</v>
      </c>
      <c r="F275" s="3" t="s">
        <v>39</v>
      </c>
      <c r="G275" s="3">
        <v>34</v>
      </c>
      <c r="H275" s="3" t="s">
        <v>110</v>
      </c>
      <c r="I275" s="3" t="s">
        <v>111</v>
      </c>
      <c r="J275" s="3" t="s">
        <v>80</v>
      </c>
      <c r="K275" s="3" t="s">
        <v>96</v>
      </c>
      <c r="L275" s="3" t="s">
        <v>166</v>
      </c>
      <c r="M275" s="3" t="s">
        <v>97</v>
      </c>
      <c r="N275" s="3" t="s">
        <v>98</v>
      </c>
      <c r="O275" s="3" t="s">
        <v>99</v>
      </c>
      <c r="P275" s="3">
        <v>4</v>
      </c>
      <c r="Q275" s="9">
        <v>4500</v>
      </c>
      <c r="R275" s="6">
        <v>0.08</v>
      </c>
      <c r="S275" s="12">
        <f t="shared" si="52"/>
        <v>16560</v>
      </c>
      <c r="T275" s="12">
        <v>3000</v>
      </c>
      <c r="U275" s="9">
        <f t="shared" si="53"/>
        <v>4560</v>
      </c>
      <c r="V275" s="6">
        <f t="shared" si="54"/>
        <v>0.27536231884057971</v>
      </c>
      <c r="W275" s="3" t="s">
        <v>48</v>
      </c>
      <c r="X275" s="3" t="s">
        <v>106</v>
      </c>
      <c r="Y275" s="3">
        <f t="shared" si="55"/>
        <v>3</v>
      </c>
      <c r="Z275" s="3" t="str">
        <f t="shared" si="56"/>
        <v>Regular</v>
      </c>
      <c r="AA275" s="3">
        <v>2</v>
      </c>
      <c r="AB275" s="3" t="str">
        <f t="shared" si="57"/>
        <v>Average</v>
      </c>
      <c r="AC275" s="3" t="str">
        <f t="shared" si="58"/>
        <v>May</v>
      </c>
      <c r="AD275" s="3" t="str">
        <f t="shared" si="59"/>
        <v>Q2</v>
      </c>
      <c r="AE275" s="3">
        <f t="shared" si="60"/>
        <v>2026</v>
      </c>
      <c r="AF275" s="3" t="str">
        <f t="shared" si="61"/>
        <v>Friday</v>
      </c>
      <c r="AG275" s="3" t="str">
        <f t="shared" si="62"/>
        <v>26-35</v>
      </c>
      <c r="AH275" s="3" t="str">
        <f t="shared" si="63"/>
        <v>Medium</v>
      </c>
      <c r="AI275" s="3" t="str">
        <f t="shared" si="64"/>
        <v>Medium</v>
      </c>
      <c r="AJ275" s="3" t="str" cm="1">
        <f t="array" ref="AJ275">_xlfn.IFS(S275&gt;=80000,"VIP",S275&gt;=40000,"Gold",S275&gt;=15000,"Silver",TRUE,"Bronze")</f>
        <v>Silver</v>
      </c>
    </row>
    <row r="276" spans="1:36" x14ac:dyDescent="0.3">
      <c r="A276" s="3" t="s">
        <v>797</v>
      </c>
      <c r="B276" s="15">
        <v>46142</v>
      </c>
      <c r="C276" s="15">
        <v>46144</v>
      </c>
      <c r="D276" s="3" t="s">
        <v>798</v>
      </c>
      <c r="E276" s="3" t="s">
        <v>350</v>
      </c>
      <c r="F276" s="3" t="s">
        <v>52</v>
      </c>
      <c r="G276" s="3">
        <v>44</v>
      </c>
      <c r="H276" s="3" t="s">
        <v>88</v>
      </c>
      <c r="I276" s="3" t="s">
        <v>89</v>
      </c>
      <c r="J276" s="3" t="s">
        <v>80</v>
      </c>
      <c r="K276" s="3" t="s">
        <v>90</v>
      </c>
      <c r="L276" s="3" t="s">
        <v>122</v>
      </c>
      <c r="M276" s="3" t="s">
        <v>45</v>
      </c>
      <c r="N276" s="3" t="s">
        <v>91</v>
      </c>
      <c r="O276" s="3" t="s">
        <v>123</v>
      </c>
      <c r="P276" s="3">
        <v>5</v>
      </c>
      <c r="Q276" s="9">
        <v>2500</v>
      </c>
      <c r="R276" s="6">
        <v>0.2</v>
      </c>
      <c r="S276" s="12">
        <f t="shared" si="52"/>
        <v>10000</v>
      </c>
      <c r="T276" s="12">
        <v>1700</v>
      </c>
      <c r="U276" s="9">
        <f t="shared" si="53"/>
        <v>1500</v>
      </c>
      <c r="V276" s="6">
        <f t="shared" si="54"/>
        <v>0.15</v>
      </c>
      <c r="W276" s="3" t="s">
        <v>92</v>
      </c>
      <c r="X276" s="3" t="s">
        <v>74</v>
      </c>
      <c r="Y276" s="3">
        <f t="shared" si="55"/>
        <v>2</v>
      </c>
      <c r="Z276" s="3" t="str">
        <f t="shared" si="56"/>
        <v>Regular</v>
      </c>
      <c r="AA276" s="3">
        <v>4</v>
      </c>
      <c r="AB276" s="3" t="str">
        <f t="shared" si="57"/>
        <v>Excellent</v>
      </c>
      <c r="AC276" s="3" t="str">
        <f t="shared" si="58"/>
        <v>April</v>
      </c>
      <c r="AD276" s="3" t="str">
        <f t="shared" si="59"/>
        <v>Q2</v>
      </c>
      <c r="AE276" s="3">
        <f t="shared" si="60"/>
        <v>2026</v>
      </c>
      <c r="AF276" s="3" t="str">
        <f t="shared" si="61"/>
        <v>Thursday</v>
      </c>
      <c r="AG276" s="3" t="str">
        <f t="shared" si="62"/>
        <v>36-45</v>
      </c>
      <c r="AH276" s="3" t="str">
        <f t="shared" si="63"/>
        <v>Medium</v>
      </c>
      <c r="AI276" s="3" t="str">
        <f t="shared" si="64"/>
        <v>High</v>
      </c>
      <c r="AJ276" s="3" t="str" cm="1">
        <f t="array" ref="AJ276">_xlfn.IFS(S276&gt;=80000,"VIP",S276&gt;=40000,"Gold",S276&gt;=15000,"Silver",TRUE,"Bronze")</f>
        <v>Bronze</v>
      </c>
    </row>
    <row r="277" spans="1:36" x14ac:dyDescent="0.3">
      <c r="A277" s="3" t="s">
        <v>799</v>
      </c>
      <c r="B277" s="15">
        <v>46040</v>
      </c>
      <c r="C277" s="15">
        <v>46044</v>
      </c>
      <c r="D277" s="3" t="s">
        <v>800</v>
      </c>
      <c r="E277" s="3" t="s">
        <v>294</v>
      </c>
      <c r="F277" s="3" t="s">
        <v>39</v>
      </c>
      <c r="G277" s="3">
        <v>33</v>
      </c>
      <c r="H277" s="3" t="s">
        <v>78</v>
      </c>
      <c r="I277" s="3" t="s">
        <v>79</v>
      </c>
      <c r="J277" s="3" t="s">
        <v>80</v>
      </c>
      <c r="K277" s="3" t="s">
        <v>54</v>
      </c>
      <c r="L277" s="3" t="s">
        <v>173</v>
      </c>
      <c r="M277" s="3" t="s">
        <v>45</v>
      </c>
      <c r="N277" s="3" t="s">
        <v>46</v>
      </c>
      <c r="O277" s="3" t="s">
        <v>55</v>
      </c>
      <c r="P277" s="3">
        <v>3</v>
      </c>
      <c r="Q277" s="9">
        <v>79900</v>
      </c>
      <c r="R277" s="6">
        <v>0.08</v>
      </c>
      <c r="S277" s="12">
        <f t="shared" si="52"/>
        <v>220524</v>
      </c>
      <c r="T277" s="12">
        <v>65000</v>
      </c>
      <c r="U277" s="9">
        <f t="shared" si="53"/>
        <v>25524</v>
      </c>
      <c r="V277" s="6">
        <f t="shared" si="54"/>
        <v>0.11574250421722805</v>
      </c>
      <c r="W277" s="3" t="s">
        <v>73</v>
      </c>
      <c r="X277" s="3" t="s">
        <v>106</v>
      </c>
      <c r="Y277" s="3">
        <f t="shared" si="55"/>
        <v>4</v>
      </c>
      <c r="Z277" s="3" t="str">
        <f t="shared" si="56"/>
        <v>Premium</v>
      </c>
      <c r="AA277" s="3">
        <v>2</v>
      </c>
      <c r="AB277" s="3" t="str">
        <f t="shared" si="57"/>
        <v>Average</v>
      </c>
      <c r="AC277" s="3" t="str">
        <f t="shared" si="58"/>
        <v>January</v>
      </c>
      <c r="AD277" s="3" t="str">
        <f t="shared" si="59"/>
        <v>Q1</v>
      </c>
      <c r="AE277" s="3">
        <f t="shared" si="60"/>
        <v>2026</v>
      </c>
      <c r="AF277" s="3" t="str">
        <f t="shared" si="61"/>
        <v>Sunday</v>
      </c>
      <c r="AG277" s="3" t="str">
        <f t="shared" si="62"/>
        <v>26-35</v>
      </c>
      <c r="AH277" s="3" t="str">
        <f t="shared" si="63"/>
        <v>Large</v>
      </c>
      <c r="AI277" s="3" t="str">
        <f t="shared" si="64"/>
        <v>Medium</v>
      </c>
      <c r="AJ277" s="3" t="str" cm="1">
        <f t="array" ref="AJ277">_xlfn.IFS(S277&gt;=80000,"VIP",S277&gt;=40000,"Gold",S277&gt;=15000,"Silver",TRUE,"Bronze")</f>
        <v>VIP</v>
      </c>
    </row>
    <row r="278" spans="1:36" x14ac:dyDescent="0.3">
      <c r="A278" s="3" t="s">
        <v>801</v>
      </c>
      <c r="B278" s="15">
        <v>46373</v>
      </c>
      <c r="C278" s="15">
        <v>46376</v>
      </c>
      <c r="D278" s="3" t="s">
        <v>802</v>
      </c>
      <c r="E278" s="3" t="s">
        <v>803</v>
      </c>
      <c r="F278" s="3" t="s">
        <v>39</v>
      </c>
      <c r="G278" s="3">
        <v>31</v>
      </c>
      <c r="H278" s="3" t="s">
        <v>40</v>
      </c>
      <c r="I278" s="3" t="s">
        <v>41</v>
      </c>
      <c r="J278" s="3" t="s">
        <v>42</v>
      </c>
      <c r="K278" s="3" t="s">
        <v>90</v>
      </c>
      <c r="L278" s="3" t="s">
        <v>122</v>
      </c>
      <c r="M278" s="3" t="s">
        <v>45</v>
      </c>
      <c r="N278" s="3" t="s">
        <v>91</v>
      </c>
      <c r="O278" s="3" t="s">
        <v>123</v>
      </c>
      <c r="P278" s="3">
        <v>2</v>
      </c>
      <c r="Q278" s="9">
        <v>2500</v>
      </c>
      <c r="R278" s="6">
        <v>0.2</v>
      </c>
      <c r="S278" s="12">
        <f t="shared" si="52"/>
        <v>4000</v>
      </c>
      <c r="T278" s="12">
        <v>1700</v>
      </c>
      <c r="U278" s="9">
        <f t="shared" si="53"/>
        <v>600</v>
      </c>
      <c r="V278" s="6">
        <f t="shared" si="54"/>
        <v>0.15</v>
      </c>
      <c r="W278" s="3" t="s">
        <v>56</v>
      </c>
      <c r="X278" s="3" t="s">
        <v>101</v>
      </c>
      <c r="Y278" s="3">
        <f t="shared" si="55"/>
        <v>3</v>
      </c>
      <c r="Z278" s="3" t="str">
        <f t="shared" si="56"/>
        <v>Regular</v>
      </c>
      <c r="AA278" s="3">
        <v>4</v>
      </c>
      <c r="AB278" s="3" t="str">
        <f t="shared" si="57"/>
        <v>Excellent</v>
      </c>
      <c r="AC278" s="3" t="str">
        <f t="shared" si="58"/>
        <v>December</v>
      </c>
      <c r="AD278" s="3" t="str">
        <f t="shared" si="59"/>
        <v>Q4</v>
      </c>
      <c r="AE278" s="3">
        <f t="shared" si="60"/>
        <v>2026</v>
      </c>
      <c r="AF278" s="3" t="str">
        <f t="shared" si="61"/>
        <v>Thursday</v>
      </c>
      <c r="AG278" s="3" t="str">
        <f t="shared" si="62"/>
        <v>26-35</v>
      </c>
      <c r="AH278" s="3" t="str">
        <f t="shared" si="63"/>
        <v>Small</v>
      </c>
      <c r="AI278" s="3" t="str">
        <f t="shared" si="64"/>
        <v>High</v>
      </c>
      <c r="AJ278" s="3" t="str" cm="1">
        <f t="array" ref="AJ278">_xlfn.IFS(S278&gt;=80000,"VIP",S278&gt;=40000,"Gold",S278&gt;=15000,"Silver",TRUE,"Bronze")</f>
        <v>Bronze</v>
      </c>
    </row>
    <row r="279" spans="1:36" x14ac:dyDescent="0.3">
      <c r="A279" s="3" t="s">
        <v>804</v>
      </c>
      <c r="B279" s="15">
        <v>46110</v>
      </c>
      <c r="C279" s="15">
        <v>46114</v>
      </c>
      <c r="D279" s="3" t="s">
        <v>805</v>
      </c>
      <c r="E279" s="3" t="s">
        <v>806</v>
      </c>
      <c r="F279" s="3" t="s">
        <v>39</v>
      </c>
      <c r="G279" s="3">
        <v>46</v>
      </c>
      <c r="H279" s="3" t="s">
        <v>119</v>
      </c>
      <c r="I279" s="3" t="s">
        <v>120</v>
      </c>
      <c r="J279" s="3" t="s">
        <v>121</v>
      </c>
      <c r="K279" s="3" t="s">
        <v>105</v>
      </c>
      <c r="L279" s="3" t="s">
        <v>112</v>
      </c>
      <c r="M279" s="3" t="s">
        <v>113</v>
      </c>
      <c r="N279" s="3" t="s">
        <v>114</v>
      </c>
      <c r="O279" s="3" t="s">
        <v>115</v>
      </c>
      <c r="P279" s="3">
        <v>2</v>
      </c>
      <c r="Q279" s="9">
        <v>3500</v>
      </c>
      <c r="R279" s="6">
        <v>0.1</v>
      </c>
      <c r="S279" s="12">
        <f t="shared" si="52"/>
        <v>6300</v>
      </c>
      <c r="T279" s="12">
        <v>2500</v>
      </c>
      <c r="U279" s="9">
        <f t="shared" si="53"/>
        <v>1300</v>
      </c>
      <c r="V279" s="6">
        <f t="shared" si="54"/>
        <v>0.20634920634920634</v>
      </c>
      <c r="W279" s="3" t="s">
        <v>48</v>
      </c>
      <c r="X279" s="3" t="s">
        <v>49</v>
      </c>
      <c r="Y279" s="3">
        <f t="shared" si="55"/>
        <v>4</v>
      </c>
      <c r="Z279" s="3" t="str">
        <f t="shared" si="56"/>
        <v>Regular</v>
      </c>
      <c r="AA279" s="3">
        <v>3</v>
      </c>
      <c r="AB279" s="3" t="str">
        <f t="shared" si="57"/>
        <v>Average</v>
      </c>
      <c r="AC279" s="3" t="str">
        <f t="shared" si="58"/>
        <v>March</v>
      </c>
      <c r="AD279" s="3" t="str">
        <f t="shared" si="59"/>
        <v>Q1</v>
      </c>
      <c r="AE279" s="3">
        <f t="shared" si="60"/>
        <v>2026</v>
      </c>
      <c r="AF279" s="3" t="str">
        <f t="shared" si="61"/>
        <v>Sunday</v>
      </c>
      <c r="AG279" s="3" t="str">
        <f t="shared" si="62"/>
        <v>46+</v>
      </c>
      <c r="AH279" s="3" t="str">
        <f t="shared" si="63"/>
        <v>Small</v>
      </c>
      <c r="AI279" s="3" t="str">
        <f t="shared" si="64"/>
        <v>Medium</v>
      </c>
      <c r="AJ279" s="3" t="str" cm="1">
        <f t="array" ref="AJ279">_xlfn.IFS(S279&gt;=80000,"VIP",S279&gt;=40000,"Gold",S279&gt;=15000,"Silver",TRUE,"Bronze")</f>
        <v>Bronze</v>
      </c>
    </row>
    <row r="280" spans="1:36" x14ac:dyDescent="0.3">
      <c r="A280" s="3" t="s">
        <v>807</v>
      </c>
      <c r="B280" s="15">
        <v>46084</v>
      </c>
      <c r="C280" s="15">
        <v>46086</v>
      </c>
      <c r="D280" s="3" t="s">
        <v>808</v>
      </c>
      <c r="E280" s="3" t="s">
        <v>191</v>
      </c>
      <c r="F280" s="3" t="s">
        <v>52</v>
      </c>
      <c r="G280" s="3">
        <v>35</v>
      </c>
      <c r="H280" s="3" t="s">
        <v>88</v>
      </c>
      <c r="I280" s="3" t="s">
        <v>89</v>
      </c>
      <c r="J280" s="3" t="s">
        <v>80</v>
      </c>
      <c r="K280" s="3" t="s">
        <v>43</v>
      </c>
      <c r="L280" s="3" t="s">
        <v>44</v>
      </c>
      <c r="M280" s="3" t="s">
        <v>45</v>
      </c>
      <c r="N280" s="3" t="s">
        <v>46</v>
      </c>
      <c r="O280" s="3" t="s">
        <v>47</v>
      </c>
      <c r="P280" s="3">
        <v>5</v>
      </c>
      <c r="Q280" s="9">
        <v>28500</v>
      </c>
      <c r="R280" s="6">
        <v>0.05</v>
      </c>
      <c r="S280" s="12">
        <f t="shared" si="52"/>
        <v>135375</v>
      </c>
      <c r="T280" s="12">
        <v>22000</v>
      </c>
      <c r="U280" s="9">
        <f t="shared" si="53"/>
        <v>25375</v>
      </c>
      <c r="V280" s="6">
        <f t="shared" si="54"/>
        <v>0.18744228993536471</v>
      </c>
      <c r="W280" s="3" t="s">
        <v>48</v>
      </c>
      <c r="X280" s="3" t="s">
        <v>101</v>
      </c>
      <c r="Y280" s="3">
        <f t="shared" si="55"/>
        <v>2</v>
      </c>
      <c r="Z280" s="3" t="str">
        <f t="shared" si="56"/>
        <v>Premium</v>
      </c>
      <c r="AA280" s="3">
        <v>5</v>
      </c>
      <c r="AB280" s="3" t="str">
        <f t="shared" si="57"/>
        <v>Excellent</v>
      </c>
      <c r="AC280" s="3" t="str">
        <f t="shared" si="58"/>
        <v>March</v>
      </c>
      <c r="AD280" s="3" t="str">
        <f t="shared" si="59"/>
        <v>Q1</v>
      </c>
      <c r="AE280" s="3">
        <f t="shared" si="60"/>
        <v>2026</v>
      </c>
      <c r="AF280" s="3" t="str">
        <f t="shared" si="61"/>
        <v>Tuesday</v>
      </c>
      <c r="AG280" s="3" t="str">
        <f t="shared" si="62"/>
        <v>26-35</v>
      </c>
      <c r="AH280" s="3" t="str">
        <f t="shared" si="63"/>
        <v>Large</v>
      </c>
      <c r="AI280" s="3" t="str">
        <f t="shared" si="64"/>
        <v>Low</v>
      </c>
      <c r="AJ280" s="3" t="str" cm="1">
        <f t="array" ref="AJ280">_xlfn.IFS(S280&gt;=80000,"VIP",S280&gt;=40000,"Gold",S280&gt;=15000,"Silver",TRUE,"Bronze")</f>
        <v>VIP</v>
      </c>
    </row>
    <row r="281" spans="1:36" x14ac:dyDescent="0.3">
      <c r="A281" s="3" t="s">
        <v>809</v>
      </c>
      <c r="B281" s="15">
        <v>46302</v>
      </c>
      <c r="C281" s="15">
        <v>46308</v>
      </c>
      <c r="D281" s="3" t="s">
        <v>810</v>
      </c>
      <c r="E281" s="3" t="s">
        <v>613</v>
      </c>
      <c r="F281" s="3" t="s">
        <v>52</v>
      </c>
      <c r="G281" s="3">
        <v>47</v>
      </c>
      <c r="H281" s="3" t="s">
        <v>53</v>
      </c>
      <c r="I281" s="3" t="s">
        <v>41</v>
      </c>
      <c r="J281" s="3" t="s">
        <v>42</v>
      </c>
      <c r="K281" s="3" t="s">
        <v>43</v>
      </c>
      <c r="L281" s="3" t="s">
        <v>44</v>
      </c>
      <c r="M281" s="3" t="s">
        <v>45</v>
      </c>
      <c r="N281" s="3" t="s">
        <v>46</v>
      </c>
      <c r="O281" s="3" t="s">
        <v>47</v>
      </c>
      <c r="P281" s="3">
        <v>2</v>
      </c>
      <c r="Q281" s="9">
        <v>28500</v>
      </c>
      <c r="R281" s="6">
        <v>0.1</v>
      </c>
      <c r="S281" s="12">
        <f t="shared" si="52"/>
        <v>51300</v>
      </c>
      <c r="T281" s="12">
        <v>22000</v>
      </c>
      <c r="U281" s="9">
        <f t="shared" si="53"/>
        <v>7300</v>
      </c>
      <c r="V281" s="6">
        <f t="shared" si="54"/>
        <v>0.14230019493177387</v>
      </c>
      <c r="W281" s="3" t="s">
        <v>65</v>
      </c>
      <c r="X281" s="3" t="s">
        <v>101</v>
      </c>
      <c r="Y281" s="3">
        <f t="shared" si="55"/>
        <v>6</v>
      </c>
      <c r="Z281" s="3" t="str">
        <f t="shared" si="56"/>
        <v>Premium</v>
      </c>
      <c r="AA281" s="3">
        <v>2</v>
      </c>
      <c r="AB281" s="3" t="str">
        <f t="shared" si="57"/>
        <v>Average</v>
      </c>
      <c r="AC281" s="3" t="str">
        <f t="shared" si="58"/>
        <v>October</v>
      </c>
      <c r="AD281" s="3" t="str">
        <f t="shared" si="59"/>
        <v>Q4</v>
      </c>
      <c r="AE281" s="3">
        <f t="shared" si="60"/>
        <v>2026</v>
      </c>
      <c r="AF281" s="3" t="str">
        <f t="shared" si="61"/>
        <v>Wednesday</v>
      </c>
      <c r="AG281" s="3" t="str">
        <f t="shared" si="62"/>
        <v>46+</v>
      </c>
      <c r="AH281" s="3" t="str">
        <f t="shared" si="63"/>
        <v>Large</v>
      </c>
      <c r="AI281" s="3" t="str">
        <f t="shared" si="64"/>
        <v>Medium</v>
      </c>
      <c r="AJ281" s="3" t="str" cm="1">
        <f t="array" ref="AJ281">_xlfn.IFS(S281&gt;=80000,"VIP",S281&gt;=40000,"Gold",S281&gt;=15000,"Silver",TRUE,"Bronze")</f>
        <v>Gold</v>
      </c>
    </row>
    <row r="282" spans="1:36" x14ac:dyDescent="0.3">
      <c r="A282" s="3" t="s">
        <v>811</v>
      </c>
      <c r="B282" s="15">
        <v>46108</v>
      </c>
      <c r="C282" s="15">
        <v>46113</v>
      </c>
      <c r="D282" s="3" t="s">
        <v>812</v>
      </c>
      <c r="E282" s="3" t="s">
        <v>488</v>
      </c>
      <c r="F282" s="3" t="s">
        <v>52</v>
      </c>
      <c r="G282" s="3">
        <v>30</v>
      </c>
      <c r="H282" s="3" t="s">
        <v>53</v>
      </c>
      <c r="I282" s="3" t="s">
        <v>41</v>
      </c>
      <c r="J282" s="3" t="s">
        <v>42</v>
      </c>
      <c r="K282" s="3" t="s">
        <v>81</v>
      </c>
      <c r="L282" s="3" t="s">
        <v>82</v>
      </c>
      <c r="M282" s="3" t="s">
        <v>45</v>
      </c>
      <c r="N282" s="3" t="s">
        <v>83</v>
      </c>
      <c r="O282" s="3" t="s">
        <v>84</v>
      </c>
      <c r="P282" s="3">
        <v>4</v>
      </c>
      <c r="Q282" s="9">
        <v>42000</v>
      </c>
      <c r="R282" s="6">
        <v>0.2</v>
      </c>
      <c r="S282" s="12">
        <f t="shared" si="52"/>
        <v>134400</v>
      </c>
      <c r="T282" s="12">
        <v>35000</v>
      </c>
      <c r="U282" s="9">
        <f t="shared" si="53"/>
        <v>-5600</v>
      </c>
      <c r="V282" s="6">
        <f t="shared" si="54"/>
        <v>-4.1666666666666664E-2</v>
      </c>
      <c r="W282" s="3" t="s">
        <v>65</v>
      </c>
      <c r="X282" s="3" t="s">
        <v>101</v>
      </c>
      <c r="Y282" s="3">
        <f t="shared" si="55"/>
        <v>5</v>
      </c>
      <c r="Z282" s="3" t="str">
        <f t="shared" si="56"/>
        <v>Premium</v>
      </c>
      <c r="AA282" s="3">
        <v>5</v>
      </c>
      <c r="AB282" s="3" t="str">
        <f t="shared" si="57"/>
        <v>Excellent</v>
      </c>
      <c r="AC282" s="3" t="str">
        <f t="shared" si="58"/>
        <v>March</v>
      </c>
      <c r="AD282" s="3" t="str">
        <f t="shared" si="59"/>
        <v>Q1</v>
      </c>
      <c r="AE282" s="3">
        <f t="shared" si="60"/>
        <v>2026</v>
      </c>
      <c r="AF282" s="3" t="str">
        <f t="shared" si="61"/>
        <v>Friday</v>
      </c>
      <c r="AG282" s="3" t="str">
        <f t="shared" si="62"/>
        <v>26-35</v>
      </c>
      <c r="AH282" s="3" t="str">
        <f t="shared" si="63"/>
        <v>Large</v>
      </c>
      <c r="AI282" s="3" t="str">
        <f t="shared" si="64"/>
        <v>High</v>
      </c>
      <c r="AJ282" s="3" t="str" cm="1">
        <f t="array" ref="AJ282">_xlfn.IFS(S282&gt;=80000,"VIP",S282&gt;=40000,"Gold",S282&gt;=15000,"Silver",TRUE,"Bronze")</f>
        <v>VIP</v>
      </c>
    </row>
    <row r="283" spans="1:36" x14ac:dyDescent="0.3">
      <c r="A283" s="3" t="s">
        <v>813</v>
      </c>
      <c r="B283" s="15">
        <v>46186</v>
      </c>
      <c r="C283" s="15">
        <v>46190</v>
      </c>
      <c r="D283" s="3" t="s">
        <v>814</v>
      </c>
      <c r="E283" s="3" t="s">
        <v>356</v>
      </c>
      <c r="F283" s="3" t="s">
        <v>52</v>
      </c>
      <c r="G283" s="3">
        <v>37</v>
      </c>
      <c r="H283" s="3" t="s">
        <v>88</v>
      </c>
      <c r="I283" s="3" t="s">
        <v>89</v>
      </c>
      <c r="J283" s="3" t="s">
        <v>80</v>
      </c>
      <c r="K283" s="3" t="s">
        <v>96</v>
      </c>
      <c r="L283" s="3" t="s">
        <v>166</v>
      </c>
      <c r="M283" s="3" t="s">
        <v>97</v>
      </c>
      <c r="N283" s="3" t="s">
        <v>98</v>
      </c>
      <c r="O283" s="3" t="s">
        <v>99</v>
      </c>
      <c r="P283" s="3">
        <v>4</v>
      </c>
      <c r="Q283" s="9">
        <v>4500</v>
      </c>
      <c r="R283" s="6">
        <v>0.12</v>
      </c>
      <c r="S283" s="12">
        <f t="shared" si="52"/>
        <v>15840</v>
      </c>
      <c r="T283" s="12">
        <v>3000</v>
      </c>
      <c r="U283" s="9">
        <f t="shared" si="53"/>
        <v>3840</v>
      </c>
      <c r="V283" s="6">
        <f t="shared" si="54"/>
        <v>0.24242424242424243</v>
      </c>
      <c r="W283" s="3" t="s">
        <v>100</v>
      </c>
      <c r="X283" s="3" t="s">
        <v>49</v>
      </c>
      <c r="Y283" s="3">
        <f t="shared" si="55"/>
        <v>4</v>
      </c>
      <c r="Z283" s="3" t="str">
        <f t="shared" si="56"/>
        <v>Regular</v>
      </c>
      <c r="AA283" s="3">
        <v>4</v>
      </c>
      <c r="AB283" s="3" t="str">
        <f t="shared" si="57"/>
        <v>Excellent</v>
      </c>
      <c r="AC283" s="3" t="str">
        <f t="shared" si="58"/>
        <v>June</v>
      </c>
      <c r="AD283" s="3" t="str">
        <f t="shared" si="59"/>
        <v>Q2</v>
      </c>
      <c r="AE283" s="3">
        <f t="shared" si="60"/>
        <v>2026</v>
      </c>
      <c r="AF283" s="3" t="str">
        <f t="shared" si="61"/>
        <v>Saturday</v>
      </c>
      <c r="AG283" s="3" t="str">
        <f t="shared" si="62"/>
        <v>36-45</v>
      </c>
      <c r="AH283" s="3" t="str">
        <f t="shared" si="63"/>
        <v>Medium</v>
      </c>
      <c r="AI283" s="3" t="str">
        <f t="shared" si="64"/>
        <v>Medium</v>
      </c>
      <c r="AJ283" s="3" t="str" cm="1">
        <f t="array" ref="AJ283">_xlfn.IFS(S283&gt;=80000,"VIP",S283&gt;=40000,"Gold",S283&gt;=15000,"Silver",TRUE,"Bronze")</f>
        <v>Silver</v>
      </c>
    </row>
    <row r="284" spans="1:36" x14ac:dyDescent="0.3">
      <c r="A284" s="3" t="s">
        <v>815</v>
      </c>
      <c r="B284" s="15">
        <v>46139</v>
      </c>
      <c r="C284" s="15">
        <v>46142</v>
      </c>
      <c r="D284" s="3" t="s">
        <v>816</v>
      </c>
      <c r="E284" s="3" t="s">
        <v>330</v>
      </c>
      <c r="F284" s="3" t="s">
        <v>52</v>
      </c>
      <c r="G284" s="3">
        <v>30</v>
      </c>
      <c r="H284" s="3" t="s">
        <v>40</v>
      </c>
      <c r="I284" s="3" t="s">
        <v>41</v>
      </c>
      <c r="J284" s="3" t="s">
        <v>42</v>
      </c>
      <c r="K284" s="3" t="s">
        <v>90</v>
      </c>
      <c r="L284" s="3" t="s">
        <v>122</v>
      </c>
      <c r="M284" s="3" t="s">
        <v>45</v>
      </c>
      <c r="N284" s="3" t="s">
        <v>91</v>
      </c>
      <c r="O284" s="3" t="s">
        <v>123</v>
      </c>
      <c r="P284" s="3">
        <v>3</v>
      </c>
      <c r="Q284" s="9">
        <v>2500</v>
      </c>
      <c r="R284" s="6">
        <v>0.2</v>
      </c>
      <c r="S284" s="12">
        <f t="shared" si="52"/>
        <v>6000</v>
      </c>
      <c r="T284" s="12">
        <v>1700</v>
      </c>
      <c r="U284" s="9">
        <f t="shared" si="53"/>
        <v>900</v>
      </c>
      <c r="V284" s="6">
        <f t="shared" si="54"/>
        <v>0.15</v>
      </c>
      <c r="W284" s="3" t="s">
        <v>73</v>
      </c>
      <c r="X284" s="3" t="s">
        <v>101</v>
      </c>
      <c r="Y284" s="3">
        <f t="shared" si="55"/>
        <v>3</v>
      </c>
      <c r="Z284" s="3" t="str">
        <f t="shared" si="56"/>
        <v>Regular</v>
      </c>
      <c r="AA284" s="3">
        <v>5</v>
      </c>
      <c r="AB284" s="3" t="str">
        <f t="shared" si="57"/>
        <v>Excellent</v>
      </c>
      <c r="AC284" s="3" t="str">
        <f t="shared" si="58"/>
        <v>April</v>
      </c>
      <c r="AD284" s="3" t="str">
        <f t="shared" si="59"/>
        <v>Q2</v>
      </c>
      <c r="AE284" s="3">
        <f t="shared" si="60"/>
        <v>2026</v>
      </c>
      <c r="AF284" s="3" t="str">
        <f t="shared" si="61"/>
        <v>Monday</v>
      </c>
      <c r="AG284" s="3" t="str">
        <f t="shared" si="62"/>
        <v>26-35</v>
      </c>
      <c r="AH284" s="3" t="str">
        <f t="shared" si="63"/>
        <v>Small</v>
      </c>
      <c r="AI284" s="3" t="str">
        <f t="shared" si="64"/>
        <v>High</v>
      </c>
      <c r="AJ284" s="3" t="str" cm="1">
        <f t="array" ref="AJ284">_xlfn.IFS(S284&gt;=80000,"VIP",S284&gt;=40000,"Gold",S284&gt;=15000,"Silver",TRUE,"Bronze")</f>
        <v>Bronze</v>
      </c>
    </row>
    <row r="285" spans="1:36" x14ac:dyDescent="0.3">
      <c r="A285" s="3" t="s">
        <v>817</v>
      </c>
      <c r="B285" s="15">
        <v>46173</v>
      </c>
      <c r="C285" s="15">
        <v>46179</v>
      </c>
      <c r="D285" s="3" t="s">
        <v>818</v>
      </c>
      <c r="E285" s="3" t="s">
        <v>179</v>
      </c>
      <c r="F285" s="3" t="s">
        <v>39</v>
      </c>
      <c r="G285" s="3">
        <v>23</v>
      </c>
      <c r="H285" s="3" t="s">
        <v>110</v>
      </c>
      <c r="I285" s="3" t="s">
        <v>111</v>
      </c>
      <c r="J285" s="3" t="s">
        <v>80</v>
      </c>
      <c r="K285" s="3" t="s">
        <v>96</v>
      </c>
      <c r="L285" s="3" t="s">
        <v>166</v>
      </c>
      <c r="M285" s="3" t="s">
        <v>97</v>
      </c>
      <c r="N285" s="3" t="s">
        <v>98</v>
      </c>
      <c r="O285" s="3" t="s">
        <v>99</v>
      </c>
      <c r="P285" s="3">
        <v>4</v>
      </c>
      <c r="Q285" s="9">
        <v>4500</v>
      </c>
      <c r="R285" s="6">
        <v>0.15</v>
      </c>
      <c r="S285" s="12">
        <f t="shared" si="52"/>
        <v>15300</v>
      </c>
      <c r="T285" s="12">
        <v>3000</v>
      </c>
      <c r="U285" s="9">
        <f t="shared" si="53"/>
        <v>3300</v>
      </c>
      <c r="V285" s="6">
        <f t="shared" si="54"/>
        <v>0.21568627450980393</v>
      </c>
      <c r="W285" s="3" t="s">
        <v>92</v>
      </c>
      <c r="X285" s="3" t="s">
        <v>106</v>
      </c>
      <c r="Y285" s="3">
        <f t="shared" si="55"/>
        <v>6</v>
      </c>
      <c r="Z285" s="3" t="str">
        <f t="shared" si="56"/>
        <v>Regular</v>
      </c>
      <c r="AA285" s="3">
        <v>3</v>
      </c>
      <c r="AB285" s="3" t="str">
        <f t="shared" si="57"/>
        <v>Average</v>
      </c>
      <c r="AC285" s="3" t="str">
        <f t="shared" si="58"/>
        <v>May</v>
      </c>
      <c r="AD285" s="3" t="str">
        <f t="shared" si="59"/>
        <v>Q2</v>
      </c>
      <c r="AE285" s="3">
        <f t="shared" si="60"/>
        <v>2026</v>
      </c>
      <c r="AF285" s="3" t="str">
        <f t="shared" si="61"/>
        <v>Sunday</v>
      </c>
      <c r="AG285" s="3" t="str">
        <f t="shared" si="62"/>
        <v>18-25</v>
      </c>
      <c r="AH285" s="3" t="str">
        <f t="shared" si="63"/>
        <v>Medium</v>
      </c>
      <c r="AI285" s="3" t="str">
        <f t="shared" si="64"/>
        <v>Medium</v>
      </c>
      <c r="AJ285" s="3" t="str" cm="1">
        <f t="array" ref="AJ285">_xlfn.IFS(S285&gt;=80000,"VIP",S285&gt;=40000,"Gold",S285&gt;=15000,"Silver",TRUE,"Bronze")</f>
        <v>Silver</v>
      </c>
    </row>
    <row r="286" spans="1:36" x14ac:dyDescent="0.3">
      <c r="A286" s="3" t="s">
        <v>819</v>
      </c>
      <c r="B286" s="15">
        <v>46232</v>
      </c>
      <c r="C286" s="15">
        <v>46237</v>
      </c>
      <c r="D286" s="3" t="s">
        <v>820</v>
      </c>
      <c r="E286" s="3" t="s">
        <v>317</v>
      </c>
      <c r="F286" s="3" t="s">
        <v>39</v>
      </c>
      <c r="G286" s="3">
        <v>34</v>
      </c>
      <c r="H286" s="3" t="s">
        <v>68</v>
      </c>
      <c r="I286" s="3" t="s">
        <v>68</v>
      </c>
      <c r="J286" s="3" t="s">
        <v>69</v>
      </c>
      <c r="K286" s="3" t="s">
        <v>105</v>
      </c>
      <c r="L286" s="3" t="s">
        <v>112</v>
      </c>
      <c r="M286" s="3" t="s">
        <v>113</v>
      </c>
      <c r="N286" s="3" t="s">
        <v>114</v>
      </c>
      <c r="O286" s="3" t="s">
        <v>115</v>
      </c>
      <c r="P286" s="3">
        <v>1</v>
      </c>
      <c r="Q286" s="9">
        <v>3500</v>
      </c>
      <c r="R286" s="6">
        <v>0.1</v>
      </c>
      <c r="S286" s="12">
        <f t="shared" si="52"/>
        <v>3150</v>
      </c>
      <c r="T286" s="12">
        <v>2500</v>
      </c>
      <c r="U286" s="9">
        <f t="shared" si="53"/>
        <v>650</v>
      </c>
      <c r="V286" s="6">
        <f t="shared" si="54"/>
        <v>0.20634920634920634</v>
      </c>
      <c r="W286" s="3" t="s">
        <v>56</v>
      </c>
      <c r="X286" s="3" t="s">
        <v>49</v>
      </c>
      <c r="Y286" s="3">
        <f t="shared" si="55"/>
        <v>5</v>
      </c>
      <c r="Z286" s="3" t="str">
        <f t="shared" si="56"/>
        <v>Regular</v>
      </c>
      <c r="AA286" s="3">
        <v>5</v>
      </c>
      <c r="AB286" s="3" t="str">
        <f t="shared" si="57"/>
        <v>Excellent</v>
      </c>
      <c r="AC286" s="3" t="str">
        <f t="shared" si="58"/>
        <v>July</v>
      </c>
      <c r="AD286" s="3" t="str">
        <f t="shared" si="59"/>
        <v>Q3</v>
      </c>
      <c r="AE286" s="3">
        <f t="shared" si="60"/>
        <v>2026</v>
      </c>
      <c r="AF286" s="3" t="str">
        <f t="shared" si="61"/>
        <v>Wednesday</v>
      </c>
      <c r="AG286" s="3" t="str">
        <f t="shared" si="62"/>
        <v>26-35</v>
      </c>
      <c r="AH286" s="3" t="str">
        <f t="shared" si="63"/>
        <v>Small</v>
      </c>
      <c r="AI286" s="3" t="str">
        <f t="shared" si="64"/>
        <v>Medium</v>
      </c>
      <c r="AJ286" s="3" t="str" cm="1">
        <f t="array" ref="AJ286">_xlfn.IFS(S286&gt;=80000,"VIP",S286&gt;=40000,"Gold",S286&gt;=15000,"Silver",TRUE,"Bronze")</f>
        <v>Bronze</v>
      </c>
    </row>
    <row r="287" spans="1:36" x14ac:dyDescent="0.3">
      <c r="A287" s="3" t="s">
        <v>821</v>
      </c>
      <c r="B287" s="15">
        <v>46152</v>
      </c>
      <c r="C287" s="15">
        <v>46154</v>
      </c>
      <c r="D287" s="3" t="s">
        <v>822</v>
      </c>
      <c r="E287" s="3" t="s">
        <v>260</v>
      </c>
      <c r="F287" s="3" t="s">
        <v>52</v>
      </c>
      <c r="G287" s="3">
        <v>48</v>
      </c>
      <c r="H287" s="3" t="s">
        <v>60</v>
      </c>
      <c r="I287" s="3" t="s">
        <v>61</v>
      </c>
      <c r="J287" s="3" t="s">
        <v>42</v>
      </c>
      <c r="K287" s="3" t="s">
        <v>43</v>
      </c>
      <c r="L287" s="3" t="s">
        <v>44</v>
      </c>
      <c r="M287" s="3" t="s">
        <v>45</v>
      </c>
      <c r="N287" s="3" t="s">
        <v>46</v>
      </c>
      <c r="O287" s="3" t="s">
        <v>47</v>
      </c>
      <c r="P287" s="3">
        <v>1</v>
      </c>
      <c r="Q287" s="9">
        <v>28500</v>
      </c>
      <c r="R287" s="6">
        <v>0.15</v>
      </c>
      <c r="S287" s="12">
        <f t="shared" si="52"/>
        <v>24225</v>
      </c>
      <c r="T287" s="12">
        <v>22000</v>
      </c>
      <c r="U287" s="9">
        <f t="shared" si="53"/>
        <v>2225</v>
      </c>
      <c r="V287" s="6">
        <f t="shared" si="54"/>
        <v>9.1847265221878222E-2</v>
      </c>
      <c r="W287" s="3" t="s">
        <v>73</v>
      </c>
      <c r="X287" s="3" t="s">
        <v>74</v>
      </c>
      <c r="Y287" s="3">
        <f t="shared" si="55"/>
        <v>2</v>
      </c>
      <c r="Z287" s="3" t="str">
        <f t="shared" si="56"/>
        <v>Regular</v>
      </c>
      <c r="AA287" s="3">
        <v>3</v>
      </c>
      <c r="AB287" s="3" t="str">
        <f t="shared" si="57"/>
        <v>Average</v>
      </c>
      <c r="AC287" s="3" t="str">
        <f t="shared" si="58"/>
        <v>May</v>
      </c>
      <c r="AD287" s="3" t="str">
        <f t="shared" si="59"/>
        <v>Q2</v>
      </c>
      <c r="AE287" s="3">
        <f t="shared" si="60"/>
        <v>2026</v>
      </c>
      <c r="AF287" s="3" t="str">
        <f t="shared" si="61"/>
        <v>Sunday</v>
      </c>
      <c r="AG287" s="3" t="str">
        <f t="shared" si="62"/>
        <v>46+</v>
      </c>
      <c r="AH287" s="3" t="str">
        <f t="shared" si="63"/>
        <v>Medium</v>
      </c>
      <c r="AI287" s="3" t="str">
        <f t="shared" si="64"/>
        <v>Medium</v>
      </c>
      <c r="AJ287" s="3" t="str" cm="1">
        <f t="array" ref="AJ287">_xlfn.IFS(S287&gt;=80000,"VIP",S287&gt;=40000,"Gold",S287&gt;=15000,"Silver",TRUE,"Bronze")</f>
        <v>Silver</v>
      </c>
    </row>
    <row r="288" spans="1:36" x14ac:dyDescent="0.3">
      <c r="A288" s="3" t="s">
        <v>823</v>
      </c>
      <c r="B288" s="15">
        <v>46282</v>
      </c>
      <c r="C288" s="15">
        <v>46285</v>
      </c>
      <c r="D288" s="3" t="s">
        <v>824</v>
      </c>
      <c r="E288" s="3" t="s">
        <v>380</v>
      </c>
      <c r="F288" s="3" t="s">
        <v>52</v>
      </c>
      <c r="G288" s="3">
        <v>25</v>
      </c>
      <c r="H288" s="3" t="s">
        <v>53</v>
      </c>
      <c r="I288" s="3" t="s">
        <v>41</v>
      </c>
      <c r="J288" s="3" t="s">
        <v>42</v>
      </c>
      <c r="K288" s="3" t="s">
        <v>81</v>
      </c>
      <c r="L288" s="3" t="s">
        <v>82</v>
      </c>
      <c r="M288" s="3" t="s">
        <v>45</v>
      </c>
      <c r="N288" s="3" t="s">
        <v>83</v>
      </c>
      <c r="O288" s="3" t="s">
        <v>84</v>
      </c>
      <c r="P288" s="3">
        <v>3</v>
      </c>
      <c r="Q288" s="9">
        <v>42000</v>
      </c>
      <c r="R288" s="6">
        <v>0.15</v>
      </c>
      <c r="S288" s="12">
        <f t="shared" si="52"/>
        <v>107100</v>
      </c>
      <c r="T288" s="12">
        <v>35000</v>
      </c>
      <c r="U288" s="9">
        <f t="shared" si="53"/>
        <v>2100</v>
      </c>
      <c r="V288" s="6">
        <f t="shared" si="54"/>
        <v>1.9607843137254902E-2</v>
      </c>
      <c r="W288" s="3" t="s">
        <v>56</v>
      </c>
      <c r="X288" s="3" t="s">
        <v>74</v>
      </c>
      <c r="Y288" s="3">
        <f t="shared" si="55"/>
        <v>3</v>
      </c>
      <c r="Z288" s="3" t="str">
        <f t="shared" si="56"/>
        <v>Premium</v>
      </c>
      <c r="AA288" s="3">
        <v>2</v>
      </c>
      <c r="AB288" s="3" t="str">
        <f t="shared" si="57"/>
        <v>Average</v>
      </c>
      <c r="AC288" s="3" t="str">
        <f t="shared" si="58"/>
        <v>September</v>
      </c>
      <c r="AD288" s="3" t="str">
        <f t="shared" si="59"/>
        <v>Q3</v>
      </c>
      <c r="AE288" s="3">
        <f t="shared" si="60"/>
        <v>2026</v>
      </c>
      <c r="AF288" s="3" t="str">
        <f t="shared" si="61"/>
        <v>Thursday</v>
      </c>
      <c r="AG288" s="3" t="str">
        <f t="shared" si="62"/>
        <v>18-25</v>
      </c>
      <c r="AH288" s="3" t="str">
        <f t="shared" si="63"/>
        <v>Large</v>
      </c>
      <c r="AI288" s="3" t="str">
        <f t="shared" si="64"/>
        <v>Medium</v>
      </c>
      <c r="AJ288" s="3" t="str" cm="1">
        <f t="array" ref="AJ288">_xlfn.IFS(S288&gt;=80000,"VIP",S288&gt;=40000,"Gold",S288&gt;=15000,"Silver",TRUE,"Bronze")</f>
        <v>VIP</v>
      </c>
    </row>
    <row r="289" spans="1:36" x14ac:dyDescent="0.3">
      <c r="A289" s="3" t="s">
        <v>825</v>
      </c>
      <c r="B289" s="15">
        <v>46253</v>
      </c>
      <c r="C289" s="15">
        <v>46256</v>
      </c>
      <c r="D289" s="3" t="s">
        <v>826</v>
      </c>
      <c r="E289" s="3" t="s">
        <v>224</v>
      </c>
      <c r="F289" s="3" t="s">
        <v>52</v>
      </c>
      <c r="G289" s="3">
        <v>36</v>
      </c>
      <c r="H289" s="3" t="s">
        <v>88</v>
      </c>
      <c r="I289" s="3" t="s">
        <v>89</v>
      </c>
      <c r="J289" s="3" t="s">
        <v>80</v>
      </c>
      <c r="K289" s="3" t="s">
        <v>70</v>
      </c>
      <c r="L289" s="3" t="s">
        <v>71</v>
      </c>
      <c r="M289" s="3" t="s">
        <v>45</v>
      </c>
      <c r="N289" s="3" t="s">
        <v>63</v>
      </c>
      <c r="O289" s="3" t="s">
        <v>72</v>
      </c>
      <c r="P289" s="3">
        <v>4</v>
      </c>
      <c r="Q289" s="9">
        <v>58000</v>
      </c>
      <c r="R289" s="6">
        <v>0.1</v>
      </c>
      <c r="S289" s="12">
        <f t="shared" si="52"/>
        <v>208800</v>
      </c>
      <c r="T289" s="12">
        <v>49000</v>
      </c>
      <c r="U289" s="9">
        <f t="shared" si="53"/>
        <v>12800</v>
      </c>
      <c r="V289" s="6">
        <f t="shared" si="54"/>
        <v>6.1302681992337162E-2</v>
      </c>
      <c r="W289" s="3" t="s">
        <v>48</v>
      </c>
      <c r="X289" s="3" t="s">
        <v>49</v>
      </c>
      <c r="Y289" s="3">
        <f t="shared" si="55"/>
        <v>3</v>
      </c>
      <c r="Z289" s="3" t="str">
        <f t="shared" si="56"/>
        <v>Premium</v>
      </c>
      <c r="AA289" s="3">
        <v>5</v>
      </c>
      <c r="AB289" s="3" t="str">
        <f t="shared" si="57"/>
        <v>Excellent</v>
      </c>
      <c r="AC289" s="3" t="str">
        <f t="shared" si="58"/>
        <v>August</v>
      </c>
      <c r="AD289" s="3" t="str">
        <f t="shared" si="59"/>
        <v>Q3</v>
      </c>
      <c r="AE289" s="3">
        <f t="shared" si="60"/>
        <v>2026</v>
      </c>
      <c r="AF289" s="3" t="str">
        <f t="shared" si="61"/>
        <v>Wednesday</v>
      </c>
      <c r="AG289" s="3" t="str">
        <f t="shared" si="62"/>
        <v>36-45</v>
      </c>
      <c r="AH289" s="3" t="str">
        <f t="shared" si="63"/>
        <v>Large</v>
      </c>
      <c r="AI289" s="3" t="str">
        <f t="shared" si="64"/>
        <v>Medium</v>
      </c>
      <c r="AJ289" s="3" t="str" cm="1">
        <f t="array" ref="AJ289">_xlfn.IFS(S289&gt;=80000,"VIP",S289&gt;=40000,"Gold",S289&gt;=15000,"Silver",TRUE,"Bronze")</f>
        <v>VIP</v>
      </c>
    </row>
    <row r="290" spans="1:36" x14ac:dyDescent="0.3">
      <c r="A290" s="3" t="s">
        <v>827</v>
      </c>
      <c r="B290" s="15">
        <v>46047</v>
      </c>
      <c r="C290" s="15">
        <v>46052</v>
      </c>
      <c r="D290" s="3" t="s">
        <v>828</v>
      </c>
      <c r="E290" s="3" t="s">
        <v>159</v>
      </c>
      <c r="F290" s="3" t="s">
        <v>52</v>
      </c>
      <c r="G290" s="3">
        <v>24</v>
      </c>
      <c r="H290" s="3" t="s">
        <v>53</v>
      </c>
      <c r="I290" s="3" t="s">
        <v>41</v>
      </c>
      <c r="J290" s="3" t="s">
        <v>42</v>
      </c>
      <c r="K290" s="3" t="s">
        <v>96</v>
      </c>
      <c r="L290" s="3" t="s">
        <v>166</v>
      </c>
      <c r="M290" s="3" t="s">
        <v>97</v>
      </c>
      <c r="N290" s="3" t="s">
        <v>98</v>
      </c>
      <c r="O290" s="3" t="s">
        <v>99</v>
      </c>
      <c r="P290" s="3">
        <v>1</v>
      </c>
      <c r="Q290" s="9">
        <v>4500</v>
      </c>
      <c r="R290" s="6">
        <v>0.15</v>
      </c>
      <c r="S290" s="12">
        <f t="shared" si="52"/>
        <v>3825</v>
      </c>
      <c r="T290" s="12">
        <v>3000</v>
      </c>
      <c r="U290" s="9">
        <f t="shared" si="53"/>
        <v>825</v>
      </c>
      <c r="V290" s="6">
        <f t="shared" si="54"/>
        <v>0.21568627450980393</v>
      </c>
      <c r="W290" s="3" t="s">
        <v>73</v>
      </c>
      <c r="X290" s="3" t="s">
        <v>49</v>
      </c>
      <c r="Y290" s="3">
        <f t="shared" si="55"/>
        <v>5</v>
      </c>
      <c r="Z290" s="3" t="str">
        <f t="shared" si="56"/>
        <v>Regular</v>
      </c>
      <c r="AA290" s="3">
        <v>3</v>
      </c>
      <c r="AB290" s="3" t="str">
        <f t="shared" si="57"/>
        <v>Average</v>
      </c>
      <c r="AC290" s="3" t="str">
        <f t="shared" si="58"/>
        <v>January</v>
      </c>
      <c r="AD290" s="3" t="str">
        <f t="shared" si="59"/>
        <v>Q1</v>
      </c>
      <c r="AE290" s="3">
        <f t="shared" si="60"/>
        <v>2026</v>
      </c>
      <c r="AF290" s="3" t="str">
        <f t="shared" si="61"/>
        <v>Sunday</v>
      </c>
      <c r="AG290" s="3" t="str">
        <f t="shared" si="62"/>
        <v>18-25</v>
      </c>
      <c r="AH290" s="3" t="str">
        <f t="shared" si="63"/>
        <v>Small</v>
      </c>
      <c r="AI290" s="3" t="str">
        <f t="shared" si="64"/>
        <v>Medium</v>
      </c>
      <c r="AJ290" s="3" t="str" cm="1">
        <f t="array" ref="AJ290">_xlfn.IFS(S290&gt;=80000,"VIP",S290&gt;=40000,"Gold",S290&gt;=15000,"Silver",TRUE,"Bronze")</f>
        <v>Bronze</v>
      </c>
    </row>
    <row r="291" spans="1:36" x14ac:dyDescent="0.3">
      <c r="A291" s="3" t="s">
        <v>829</v>
      </c>
      <c r="B291" s="15">
        <v>46128</v>
      </c>
      <c r="C291" s="15">
        <v>46130</v>
      </c>
      <c r="D291" s="3" t="s">
        <v>830</v>
      </c>
      <c r="E291" s="3" t="s">
        <v>162</v>
      </c>
      <c r="F291" s="3" t="s">
        <v>39</v>
      </c>
      <c r="G291" s="3">
        <v>31</v>
      </c>
      <c r="H291" s="3" t="s">
        <v>60</v>
      </c>
      <c r="I291" s="3" t="s">
        <v>61</v>
      </c>
      <c r="J291" s="3" t="s">
        <v>42</v>
      </c>
      <c r="K291" s="3" t="s">
        <v>70</v>
      </c>
      <c r="L291" s="3" t="s">
        <v>71</v>
      </c>
      <c r="M291" s="3" t="s">
        <v>45</v>
      </c>
      <c r="N291" s="3" t="s">
        <v>63</v>
      </c>
      <c r="O291" s="3" t="s">
        <v>72</v>
      </c>
      <c r="P291" s="3">
        <v>5</v>
      </c>
      <c r="Q291" s="9">
        <v>58000</v>
      </c>
      <c r="R291" s="6">
        <v>0.1</v>
      </c>
      <c r="S291" s="12">
        <f t="shared" si="52"/>
        <v>261000</v>
      </c>
      <c r="T291" s="12">
        <v>49000</v>
      </c>
      <c r="U291" s="9">
        <f t="shared" si="53"/>
        <v>16000</v>
      </c>
      <c r="V291" s="6">
        <f t="shared" si="54"/>
        <v>6.1302681992337162E-2</v>
      </c>
      <c r="W291" s="3" t="s">
        <v>100</v>
      </c>
      <c r="X291" s="3" t="s">
        <v>49</v>
      </c>
      <c r="Y291" s="3">
        <f t="shared" si="55"/>
        <v>2</v>
      </c>
      <c r="Z291" s="3" t="str">
        <f t="shared" si="56"/>
        <v>Premium</v>
      </c>
      <c r="AA291" s="3">
        <v>5</v>
      </c>
      <c r="AB291" s="3" t="str">
        <f t="shared" si="57"/>
        <v>Excellent</v>
      </c>
      <c r="AC291" s="3" t="str">
        <f t="shared" si="58"/>
        <v>April</v>
      </c>
      <c r="AD291" s="3" t="str">
        <f t="shared" si="59"/>
        <v>Q2</v>
      </c>
      <c r="AE291" s="3">
        <f t="shared" si="60"/>
        <v>2026</v>
      </c>
      <c r="AF291" s="3" t="str">
        <f t="shared" si="61"/>
        <v>Thursday</v>
      </c>
      <c r="AG291" s="3" t="str">
        <f t="shared" si="62"/>
        <v>26-35</v>
      </c>
      <c r="AH291" s="3" t="str">
        <f t="shared" si="63"/>
        <v>Large</v>
      </c>
      <c r="AI291" s="3" t="str">
        <f t="shared" si="64"/>
        <v>Medium</v>
      </c>
      <c r="AJ291" s="3" t="str" cm="1">
        <f t="array" ref="AJ291">_xlfn.IFS(S291&gt;=80000,"VIP",S291&gt;=40000,"Gold",S291&gt;=15000,"Silver",TRUE,"Bronze")</f>
        <v>VIP</v>
      </c>
    </row>
    <row r="292" spans="1:36" x14ac:dyDescent="0.3">
      <c r="A292" s="3" t="s">
        <v>831</v>
      </c>
      <c r="B292" s="15">
        <v>46276</v>
      </c>
      <c r="C292" s="15">
        <v>46282</v>
      </c>
      <c r="D292" s="3" t="s">
        <v>832</v>
      </c>
      <c r="E292" s="3" t="s">
        <v>833</v>
      </c>
      <c r="F292" s="3" t="s">
        <v>52</v>
      </c>
      <c r="G292" s="3">
        <v>23</v>
      </c>
      <c r="H292" s="3" t="s">
        <v>110</v>
      </c>
      <c r="I292" s="3" t="s">
        <v>111</v>
      </c>
      <c r="J292" s="3" t="s">
        <v>80</v>
      </c>
      <c r="K292" s="3" t="s">
        <v>90</v>
      </c>
      <c r="L292" s="3" t="s">
        <v>122</v>
      </c>
      <c r="M292" s="3" t="s">
        <v>45</v>
      </c>
      <c r="N292" s="3" t="s">
        <v>91</v>
      </c>
      <c r="O292" s="3" t="s">
        <v>123</v>
      </c>
      <c r="P292" s="3">
        <v>1</v>
      </c>
      <c r="Q292" s="9">
        <v>2500</v>
      </c>
      <c r="R292" s="6">
        <v>0.1</v>
      </c>
      <c r="S292" s="12">
        <f t="shared" si="52"/>
        <v>2250</v>
      </c>
      <c r="T292" s="12">
        <v>1700</v>
      </c>
      <c r="U292" s="9">
        <f t="shared" si="53"/>
        <v>550</v>
      </c>
      <c r="V292" s="6">
        <f t="shared" si="54"/>
        <v>0.24444444444444444</v>
      </c>
      <c r="W292" s="3" t="s">
        <v>100</v>
      </c>
      <c r="X292" s="3" t="s">
        <v>74</v>
      </c>
      <c r="Y292" s="3">
        <f t="shared" si="55"/>
        <v>6</v>
      </c>
      <c r="Z292" s="3" t="str">
        <f t="shared" si="56"/>
        <v>Regular</v>
      </c>
      <c r="AA292" s="3">
        <v>2</v>
      </c>
      <c r="AB292" s="3" t="str">
        <f t="shared" si="57"/>
        <v>Average</v>
      </c>
      <c r="AC292" s="3" t="str">
        <f t="shared" si="58"/>
        <v>September</v>
      </c>
      <c r="AD292" s="3" t="str">
        <f t="shared" si="59"/>
        <v>Q3</v>
      </c>
      <c r="AE292" s="3">
        <f t="shared" si="60"/>
        <v>2026</v>
      </c>
      <c r="AF292" s="3" t="str">
        <f t="shared" si="61"/>
        <v>Friday</v>
      </c>
      <c r="AG292" s="3" t="str">
        <f t="shared" si="62"/>
        <v>18-25</v>
      </c>
      <c r="AH292" s="3" t="str">
        <f t="shared" si="63"/>
        <v>Small</v>
      </c>
      <c r="AI292" s="3" t="str">
        <f t="shared" si="64"/>
        <v>Medium</v>
      </c>
      <c r="AJ292" s="3" t="str" cm="1">
        <f t="array" ref="AJ292">_xlfn.IFS(S292&gt;=80000,"VIP",S292&gt;=40000,"Gold",S292&gt;=15000,"Silver",TRUE,"Bronze")</f>
        <v>Bronze</v>
      </c>
    </row>
    <row r="293" spans="1:36" x14ac:dyDescent="0.3">
      <c r="A293" s="3" t="s">
        <v>834</v>
      </c>
      <c r="B293" s="15">
        <v>46208</v>
      </c>
      <c r="C293" s="15">
        <v>46214</v>
      </c>
      <c r="D293" s="3" t="s">
        <v>835</v>
      </c>
      <c r="E293" s="3" t="s">
        <v>836</v>
      </c>
      <c r="F293" s="3" t="s">
        <v>52</v>
      </c>
      <c r="G293" s="3">
        <v>46</v>
      </c>
      <c r="H293" s="3" t="s">
        <v>40</v>
      </c>
      <c r="I293" s="3" t="s">
        <v>41</v>
      </c>
      <c r="J293" s="3" t="s">
        <v>42</v>
      </c>
      <c r="K293" s="3" t="s">
        <v>62</v>
      </c>
      <c r="L293" s="3" t="s">
        <v>163</v>
      </c>
      <c r="M293" s="3" t="s">
        <v>45</v>
      </c>
      <c r="N293" s="3" t="s">
        <v>63</v>
      </c>
      <c r="O293" s="3" t="s">
        <v>64</v>
      </c>
      <c r="P293" s="3">
        <v>5</v>
      </c>
      <c r="Q293" s="9">
        <v>62000</v>
      </c>
      <c r="R293" s="6">
        <v>0.12</v>
      </c>
      <c r="S293" s="12">
        <f t="shared" si="52"/>
        <v>272800</v>
      </c>
      <c r="T293" s="12">
        <v>52000</v>
      </c>
      <c r="U293" s="9">
        <f t="shared" si="53"/>
        <v>12800</v>
      </c>
      <c r="V293" s="6">
        <f t="shared" si="54"/>
        <v>4.6920821114369501E-2</v>
      </c>
      <c r="W293" s="3" t="s">
        <v>56</v>
      </c>
      <c r="X293" s="3" t="s">
        <v>49</v>
      </c>
      <c r="Y293" s="3">
        <f t="shared" si="55"/>
        <v>6</v>
      </c>
      <c r="Z293" s="3" t="str">
        <f t="shared" si="56"/>
        <v>Premium</v>
      </c>
      <c r="AA293" s="3">
        <v>5</v>
      </c>
      <c r="AB293" s="3" t="str">
        <f t="shared" si="57"/>
        <v>Excellent</v>
      </c>
      <c r="AC293" s="3" t="str">
        <f t="shared" si="58"/>
        <v>July</v>
      </c>
      <c r="AD293" s="3" t="str">
        <f t="shared" si="59"/>
        <v>Q3</v>
      </c>
      <c r="AE293" s="3">
        <f t="shared" si="60"/>
        <v>2026</v>
      </c>
      <c r="AF293" s="3" t="str">
        <f t="shared" si="61"/>
        <v>Sunday</v>
      </c>
      <c r="AG293" s="3" t="str">
        <f t="shared" si="62"/>
        <v>46+</v>
      </c>
      <c r="AH293" s="3" t="str">
        <f t="shared" si="63"/>
        <v>Large</v>
      </c>
      <c r="AI293" s="3" t="str">
        <f t="shared" si="64"/>
        <v>Medium</v>
      </c>
      <c r="AJ293" s="3" t="str" cm="1">
        <f t="array" ref="AJ293">_xlfn.IFS(S293&gt;=80000,"VIP",S293&gt;=40000,"Gold",S293&gt;=15000,"Silver",TRUE,"Bronze")</f>
        <v>VIP</v>
      </c>
    </row>
    <row r="294" spans="1:36" x14ac:dyDescent="0.3">
      <c r="A294" s="3" t="s">
        <v>837</v>
      </c>
      <c r="B294" s="15">
        <v>46347</v>
      </c>
      <c r="C294" s="15">
        <v>46353</v>
      </c>
      <c r="D294" s="3" t="s">
        <v>838</v>
      </c>
      <c r="E294" s="3" t="s">
        <v>488</v>
      </c>
      <c r="F294" s="3" t="s">
        <v>52</v>
      </c>
      <c r="G294" s="3">
        <v>50</v>
      </c>
      <c r="H294" s="3" t="s">
        <v>78</v>
      </c>
      <c r="I294" s="3" t="s">
        <v>79</v>
      </c>
      <c r="J294" s="3" t="s">
        <v>80</v>
      </c>
      <c r="K294" s="3" t="s">
        <v>105</v>
      </c>
      <c r="L294" s="3" t="s">
        <v>112</v>
      </c>
      <c r="M294" s="3" t="s">
        <v>113</v>
      </c>
      <c r="N294" s="3" t="s">
        <v>114</v>
      </c>
      <c r="O294" s="3" t="s">
        <v>115</v>
      </c>
      <c r="P294" s="3">
        <v>3</v>
      </c>
      <c r="Q294" s="9">
        <v>3500</v>
      </c>
      <c r="R294" s="6">
        <v>0.05</v>
      </c>
      <c r="S294" s="12">
        <f t="shared" si="52"/>
        <v>9975</v>
      </c>
      <c r="T294" s="12">
        <v>2500</v>
      </c>
      <c r="U294" s="9">
        <f t="shared" si="53"/>
        <v>2475</v>
      </c>
      <c r="V294" s="6">
        <f t="shared" si="54"/>
        <v>0.24812030075187969</v>
      </c>
      <c r="W294" s="3" t="s">
        <v>92</v>
      </c>
      <c r="X294" s="3" t="s">
        <v>74</v>
      </c>
      <c r="Y294" s="3">
        <f t="shared" si="55"/>
        <v>6</v>
      </c>
      <c r="Z294" s="3" t="str">
        <f t="shared" si="56"/>
        <v>Regular</v>
      </c>
      <c r="AA294" s="3">
        <v>5</v>
      </c>
      <c r="AB294" s="3" t="str">
        <f t="shared" si="57"/>
        <v>Excellent</v>
      </c>
      <c r="AC294" s="3" t="str">
        <f t="shared" si="58"/>
        <v>November</v>
      </c>
      <c r="AD294" s="3" t="str">
        <f t="shared" si="59"/>
        <v>Q4</v>
      </c>
      <c r="AE294" s="3">
        <f t="shared" si="60"/>
        <v>2026</v>
      </c>
      <c r="AF294" s="3" t="str">
        <f t="shared" si="61"/>
        <v>Saturday</v>
      </c>
      <c r="AG294" s="3" t="str">
        <f t="shared" si="62"/>
        <v>46+</v>
      </c>
      <c r="AH294" s="3" t="str">
        <f t="shared" si="63"/>
        <v>Small</v>
      </c>
      <c r="AI294" s="3" t="str">
        <f t="shared" si="64"/>
        <v>Low</v>
      </c>
      <c r="AJ294" s="3" t="str" cm="1">
        <f t="array" ref="AJ294">_xlfn.IFS(S294&gt;=80000,"VIP",S294&gt;=40000,"Gold",S294&gt;=15000,"Silver",TRUE,"Bronze")</f>
        <v>Bronze</v>
      </c>
    </row>
    <row r="295" spans="1:36" x14ac:dyDescent="0.3">
      <c r="A295" s="3" t="s">
        <v>839</v>
      </c>
      <c r="B295" s="15">
        <v>46152</v>
      </c>
      <c r="C295" s="15">
        <v>46158</v>
      </c>
      <c r="D295" s="3" t="s">
        <v>840</v>
      </c>
      <c r="E295" s="3" t="s">
        <v>405</v>
      </c>
      <c r="F295" s="3" t="s">
        <v>39</v>
      </c>
      <c r="G295" s="3">
        <v>27</v>
      </c>
      <c r="H295" s="3" t="s">
        <v>40</v>
      </c>
      <c r="I295" s="3" t="s">
        <v>41</v>
      </c>
      <c r="J295" s="3" t="s">
        <v>42</v>
      </c>
      <c r="K295" s="3" t="s">
        <v>81</v>
      </c>
      <c r="L295" s="3" t="s">
        <v>82</v>
      </c>
      <c r="M295" s="3" t="s">
        <v>45</v>
      </c>
      <c r="N295" s="3" t="s">
        <v>83</v>
      </c>
      <c r="O295" s="3" t="s">
        <v>84</v>
      </c>
      <c r="P295" s="3">
        <v>3</v>
      </c>
      <c r="Q295" s="9">
        <v>42000</v>
      </c>
      <c r="R295" s="6">
        <v>0.05</v>
      </c>
      <c r="S295" s="12">
        <f t="shared" si="52"/>
        <v>119700</v>
      </c>
      <c r="T295" s="12">
        <v>35000</v>
      </c>
      <c r="U295" s="9">
        <f t="shared" si="53"/>
        <v>14700</v>
      </c>
      <c r="V295" s="6">
        <f t="shared" si="54"/>
        <v>0.12280701754385964</v>
      </c>
      <c r="W295" s="3" t="s">
        <v>65</v>
      </c>
      <c r="X295" s="3" t="s">
        <v>49</v>
      </c>
      <c r="Y295" s="3">
        <f t="shared" si="55"/>
        <v>6</v>
      </c>
      <c r="Z295" s="3" t="str">
        <f t="shared" si="56"/>
        <v>Premium</v>
      </c>
      <c r="AA295" s="3">
        <v>5</v>
      </c>
      <c r="AB295" s="3" t="str">
        <f t="shared" si="57"/>
        <v>Excellent</v>
      </c>
      <c r="AC295" s="3" t="str">
        <f t="shared" si="58"/>
        <v>May</v>
      </c>
      <c r="AD295" s="3" t="str">
        <f t="shared" si="59"/>
        <v>Q2</v>
      </c>
      <c r="AE295" s="3">
        <f t="shared" si="60"/>
        <v>2026</v>
      </c>
      <c r="AF295" s="3" t="str">
        <f t="shared" si="61"/>
        <v>Sunday</v>
      </c>
      <c r="AG295" s="3" t="str">
        <f t="shared" si="62"/>
        <v>26-35</v>
      </c>
      <c r="AH295" s="3" t="str">
        <f t="shared" si="63"/>
        <v>Large</v>
      </c>
      <c r="AI295" s="3" t="str">
        <f t="shared" si="64"/>
        <v>Low</v>
      </c>
      <c r="AJ295" s="3" t="str" cm="1">
        <f t="array" ref="AJ295">_xlfn.IFS(S295&gt;=80000,"VIP",S295&gt;=40000,"Gold",S295&gt;=15000,"Silver",TRUE,"Bronze")</f>
        <v>VIP</v>
      </c>
    </row>
    <row r="296" spans="1:36" x14ac:dyDescent="0.3">
      <c r="A296" s="3" t="s">
        <v>841</v>
      </c>
      <c r="B296" s="15">
        <v>46314</v>
      </c>
      <c r="C296" s="15">
        <v>46316</v>
      </c>
      <c r="D296" s="3" t="s">
        <v>842</v>
      </c>
      <c r="E296" s="3" t="s">
        <v>474</v>
      </c>
      <c r="F296" s="3" t="s">
        <v>52</v>
      </c>
      <c r="G296" s="3">
        <v>36</v>
      </c>
      <c r="H296" s="3" t="s">
        <v>88</v>
      </c>
      <c r="I296" s="3" t="s">
        <v>89</v>
      </c>
      <c r="J296" s="3" t="s">
        <v>80</v>
      </c>
      <c r="K296" s="3" t="s">
        <v>105</v>
      </c>
      <c r="L296" s="3" t="s">
        <v>112</v>
      </c>
      <c r="M296" s="3" t="s">
        <v>113</v>
      </c>
      <c r="N296" s="3" t="s">
        <v>114</v>
      </c>
      <c r="O296" s="3" t="s">
        <v>115</v>
      </c>
      <c r="P296" s="3">
        <v>4</v>
      </c>
      <c r="Q296" s="9">
        <v>3500</v>
      </c>
      <c r="R296" s="6">
        <v>0.05</v>
      </c>
      <c r="S296" s="12">
        <f t="shared" si="52"/>
        <v>13300</v>
      </c>
      <c r="T296" s="12">
        <v>2500</v>
      </c>
      <c r="U296" s="9">
        <f t="shared" si="53"/>
        <v>3300</v>
      </c>
      <c r="V296" s="6">
        <f t="shared" si="54"/>
        <v>0.24812030075187969</v>
      </c>
      <c r="W296" s="3" t="s">
        <v>48</v>
      </c>
      <c r="X296" s="3" t="s">
        <v>49</v>
      </c>
      <c r="Y296" s="3">
        <f t="shared" si="55"/>
        <v>2</v>
      </c>
      <c r="Z296" s="3" t="str">
        <f t="shared" si="56"/>
        <v>Regular</v>
      </c>
      <c r="AA296" s="3">
        <v>2</v>
      </c>
      <c r="AB296" s="3" t="str">
        <f t="shared" si="57"/>
        <v>Average</v>
      </c>
      <c r="AC296" s="3" t="str">
        <f t="shared" si="58"/>
        <v>October</v>
      </c>
      <c r="AD296" s="3" t="str">
        <f t="shared" si="59"/>
        <v>Q4</v>
      </c>
      <c r="AE296" s="3">
        <f t="shared" si="60"/>
        <v>2026</v>
      </c>
      <c r="AF296" s="3" t="str">
        <f t="shared" si="61"/>
        <v>Monday</v>
      </c>
      <c r="AG296" s="3" t="str">
        <f t="shared" si="62"/>
        <v>36-45</v>
      </c>
      <c r="AH296" s="3" t="str">
        <f t="shared" si="63"/>
        <v>Medium</v>
      </c>
      <c r="AI296" s="3" t="str">
        <f t="shared" si="64"/>
        <v>Low</v>
      </c>
      <c r="AJ296" s="3" t="str" cm="1">
        <f t="array" ref="AJ296">_xlfn.IFS(S296&gt;=80000,"VIP",S296&gt;=40000,"Gold",S296&gt;=15000,"Silver",TRUE,"Bronze")</f>
        <v>Bronze</v>
      </c>
    </row>
    <row r="297" spans="1:36" x14ac:dyDescent="0.3">
      <c r="A297" s="3" t="s">
        <v>843</v>
      </c>
      <c r="B297" s="15">
        <v>46038</v>
      </c>
      <c r="C297" s="15">
        <v>46043</v>
      </c>
      <c r="D297" s="3" t="s">
        <v>844</v>
      </c>
      <c r="E297" s="3" t="s">
        <v>845</v>
      </c>
      <c r="F297" s="3" t="s">
        <v>52</v>
      </c>
      <c r="G297" s="3">
        <v>22</v>
      </c>
      <c r="H297" s="3" t="s">
        <v>119</v>
      </c>
      <c r="I297" s="3" t="s">
        <v>120</v>
      </c>
      <c r="J297" s="3" t="s">
        <v>121</v>
      </c>
      <c r="K297" s="3" t="s">
        <v>96</v>
      </c>
      <c r="L297" s="3" t="s">
        <v>166</v>
      </c>
      <c r="M297" s="3" t="s">
        <v>97</v>
      </c>
      <c r="N297" s="3" t="s">
        <v>98</v>
      </c>
      <c r="O297" s="3" t="s">
        <v>99</v>
      </c>
      <c r="P297" s="3">
        <v>3</v>
      </c>
      <c r="Q297" s="9">
        <v>4500</v>
      </c>
      <c r="R297" s="6">
        <v>0.05</v>
      </c>
      <c r="S297" s="12">
        <f t="shared" si="52"/>
        <v>12825</v>
      </c>
      <c r="T297" s="12">
        <v>3000</v>
      </c>
      <c r="U297" s="9">
        <f t="shared" si="53"/>
        <v>3825</v>
      </c>
      <c r="V297" s="6">
        <f t="shared" si="54"/>
        <v>0.2982456140350877</v>
      </c>
      <c r="W297" s="3" t="s">
        <v>100</v>
      </c>
      <c r="X297" s="3" t="s">
        <v>74</v>
      </c>
      <c r="Y297" s="3">
        <f t="shared" si="55"/>
        <v>5</v>
      </c>
      <c r="Z297" s="3" t="str">
        <f t="shared" si="56"/>
        <v>Regular</v>
      </c>
      <c r="AA297" s="3">
        <v>4</v>
      </c>
      <c r="AB297" s="3" t="str">
        <f t="shared" si="57"/>
        <v>Excellent</v>
      </c>
      <c r="AC297" s="3" t="str">
        <f t="shared" si="58"/>
        <v>January</v>
      </c>
      <c r="AD297" s="3" t="str">
        <f t="shared" si="59"/>
        <v>Q1</v>
      </c>
      <c r="AE297" s="3">
        <f t="shared" si="60"/>
        <v>2026</v>
      </c>
      <c r="AF297" s="3" t="str">
        <f t="shared" si="61"/>
        <v>Friday</v>
      </c>
      <c r="AG297" s="3" t="str">
        <f t="shared" si="62"/>
        <v>18-25</v>
      </c>
      <c r="AH297" s="3" t="str">
        <f t="shared" si="63"/>
        <v>Medium</v>
      </c>
      <c r="AI297" s="3" t="str">
        <f t="shared" si="64"/>
        <v>Low</v>
      </c>
      <c r="AJ297" s="3" t="str" cm="1">
        <f t="array" ref="AJ297">_xlfn.IFS(S297&gt;=80000,"VIP",S297&gt;=40000,"Gold",S297&gt;=15000,"Silver",TRUE,"Bronze")</f>
        <v>Bronze</v>
      </c>
    </row>
    <row r="298" spans="1:36" x14ac:dyDescent="0.3">
      <c r="A298" s="3" t="s">
        <v>846</v>
      </c>
      <c r="B298" s="15">
        <v>46172</v>
      </c>
      <c r="C298" s="15">
        <v>46175</v>
      </c>
      <c r="D298" s="3" t="s">
        <v>847</v>
      </c>
      <c r="E298" s="3" t="s">
        <v>848</v>
      </c>
      <c r="F298" s="3" t="s">
        <v>39</v>
      </c>
      <c r="G298" s="3">
        <v>42</v>
      </c>
      <c r="H298" s="3" t="s">
        <v>78</v>
      </c>
      <c r="I298" s="3" t="s">
        <v>79</v>
      </c>
      <c r="J298" s="3" t="s">
        <v>80</v>
      </c>
      <c r="K298" s="3" t="s">
        <v>90</v>
      </c>
      <c r="L298" s="3" t="s">
        <v>122</v>
      </c>
      <c r="M298" s="3" t="s">
        <v>45</v>
      </c>
      <c r="N298" s="3" t="s">
        <v>91</v>
      </c>
      <c r="O298" s="3" t="s">
        <v>123</v>
      </c>
      <c r="P298" s="3">
        <v>2</v>
      </c>
      <c r="Q298" s="9">
        <v>2500</v>
      </c>
      <c r="R298" s="6">
        <v>0.08</v>
      </c>
      <c r="S298" s="12">
        <f t="shared" si="52"/>
        <v>4600</v>
      </c>
      <c r="T298" s="12">
        <v>1700</v>
      </c>
      <c r="U298" s="9">
        <f t="shared" si="53"/>
        <v>1200</v>
      </c>
      <c r="V298" s="6">
        <f t="shared" si="54"/>
        <v>0.2608695652173913</v>
      </c>
      <c r="W298" s="3" t="s">
        <v>92</v>
      </c>
      <c r="X298" s="3" t="s">
        <v>49</v>
      </c>
      <c r="Y298" s="3">
        <f t="shared" si="55"/>
        <v>3</v>
      </c>
      <c r="Z298" s="3" t="str">
        <f t="shared" si="56"/>
        <v>Regular</v>
      </c>
      <c r="AA298" s="3">
        <v>4</v>
      </c>
      <c r="AB298" s="3" t="str">
        <f t="shared" si="57"/>
        <v>Excellent</v>
      </c>
      <c r="AC298" s="3" t="str">
        <f t="shared" si="58"/>
        <v>May</v>
      </c>
      <c r="AD298" s="3" t="str">
        <f t="shared" si="59"/>
        <v>Q2</v>
      </c>
      <c r="AE298" s="3">
        <f t="shared" si="60"/>
        <v>2026</v>
      </c>
      <c r="AF298" s="3" t="str">
        <f t="shared" si="61"/>
        <v>Saturday</v>
      </c>
      <c r="AG298" s="3" t="str">
        <f t="shared" si="62"/>
        <v>36-45</v>
      </c>
      <c r="AH298" s="3" t="str">
        <f t="shared" si="63"/>
        <v>Small</v>
      </c>
      <c r="AI298" s="3" t="str">
        <f t="shared" si="64"/>
        <v>Medium</v>
      </c>
      <c r="AJ298" s="3" t="str" cm="1">
        <f t="array" ref="AJ298">_xlfn.IFS(S298&gt;=80000,"VIP",S298&gt;=40000,"Gold",S298&gt;=15000,"Silver",TRUE,"Bronze")</f>
        <v>Bronze</v>
      </c>
    </row>
    <row r="299" spans="1:36" x14ac:dyDescent="0.3">
      <c r="A299" s="3" t="s">
        <v>849</v>
      </c>
      <c r="B299" s="15">
        <v>46167</v>
      </c>
      <c r="C299" s="15">
        <v>46172</v>
      </c>
      <c r="D299" s="3" t="s">
        <v>850</v>
      </c>
      <c r="E299" s="3" t="s">
        <v>702</v>
      </c>
      <c r="F299" s="3" t="s">
        <v>52</v>
      </c>
      <c r="G299" s="3">
        <v>22</v>
      </c>
      <c r="H299" s="3" t="s">
        <v>68</v>
      </c>
      <c r="I299" s="3" t="s">
        <v>68</v>
      </c>
      <c r="J299" s="3" t="s">
        <v>69</v>
      </c>
      <c r="K299" s="3" t="s">
        <v>81</v>
      </c>
      <c r="L299" s="3" t="s">
        <v>82</v>
      </c>
      <c r="M299" s="3" t="s">
        <v>45</v>
      </c>
      <c r="N299" s="3" t="s">
        <v>83</v>
      </c>
      <c r="O299" s="3" t="s">
        <v>84</v>
      </c>
      <c r="P299" s="3">
        <v>4</v>
      </c>
      <c r="Q299" s="9">
        <v>42000</v>
      </c>
      <c r="R299" s="6">
        <v>0.12</v>
      </c>
      <c r="S299" s="12">
        <f t="shared" si="52"/>
        <v>147840</v>
      </c>
      <c r="T299" s="12">
        <v>35000</v>
      </c>
      <c r="U299" s="9">
        <f t="shared" si="53"/>
        <v>7840</v>
      </c>
      <c r="V299" s="6">
        <f t="shared" si="54"/>
        <v>5.3030303030303032E-2</v>
      </c>
      <c r="W299" s="3" t="s">
        <v>56</v>
      </c>
      <c r="X299" s="3" t="s">
        <v>74</v>
      </c>
      <c r="Y299" s="3">
        <f t="shared" si="55"/>
        <v>5</v>
      </c>
      <c r="Z299" s="3" t="str">
        <f t="shared" si="56"/>
        <v>Premium</v>
      </c>
      <c r="AA299" s="3">
        <v>2</v>
      </c>
      <c r="AB299" s="3" t="str">
        <f t="shared" si="57"/>
        <v>Average</v>
      </c>
      <c r="AC299" s="3" t="str">
        <f t="shared" si="58"/>
        <v>May</v>
      </c>
      <c r="AD299" s="3" t="str">
        <f t="shared" si="59"/>
        <v>Q2</v>
      </c>
      <c r="AE299" s="3">
        <f t="shared" si="60"/>
        <v>2026</v>
      </c>
      <c r="AF299" s="3" t="str">
        <f t="shared" si="61"/>
        <v>Monday</v>
      </c>
      <c r="AG299" s="3" t="str">
        <f t="shared" si="62"/>
        <v>18-25</v>
      </c>
      <c r="AH299" s="3" t="str">
        <f t="shared" si="63"/>
        <v>Large</v>
      </c>
      <c r="AI299" s="3" t="str">
        <f t="shared" si="64"/>
        <v>Medium</v>
      </c>
      <c r="AJ299" s="3" t="str" cm="1">
        <f t="array" ref="AJ299">_xlfn.IFS(S299&gt;=80000,"VIP",S299&gt;=40000,"Gold",S299&gt;=15000,"Silver",TRUE,"Bronze")</f>
        <v>VIP</v>
      </c>
    </row>
    <row r="300" spans="1:36" x14ac:dyDescent="0.3">
      <c r="A300" s="3" t="s">
        <v>851</v>
      </c>
      <c r="B300" s="15">
        <v>46221</v>
      </c>
      <c r="C300" s="15">
        <v>46223</v>
      </c>
      <c r="D300" s="3" t="s">
        <v>852</v>
      </c>
      <c r="E300" s="3" t="s">
        <v>297</v>
      </c>
      <c r="F300" s="3" t="s">
        <v>52</v>
      </c>
      <c r="G300" s="3">
        <v>49</v>
      </c>
      <c r="H300" s="3" t="s">
        <v>68</v>
      </c>
      <c r="I300" s="3" t="s">
        <v>68</v>
      </c>
      <c r="J300" s="3" t="s">
        <v>69</v>
      </c>
      <c r="K300" s="3" t="s">
        <v>62</v>
      </c>
      <c r="L300" s="3" t="s">
        <v>163</v>
      </c>
      <c r="M300" s="3" t="s">
        <v>45</v>
      </c>
      <c r="N300" s="3" t="s">
        <v>63</v>
      </c>
      <c r="O300" s="3" t="s">
        <v>64</v>
      </c>
      <c r="P300" s="3">
        <v>3</v>
      </c>
      <c r="Q300" s="9">
        <v>62000</v>
      </c>
      <c r="R300" s="6">
        <v>0.15</v>
      </c>
      <c r="S300" s="12">
        <f t="shared" si="52"/>
        <v>158100</v>
      </c>
      <c r="T300" s="12">
        <v>52000</v>
      </c>
      <c r="U300" s="9">
        <f t="shared" si="53"/>
        <v>2100</v>
      </c>
      <c r="V300" s="6">
        <f t="shared" si="54"/>
        <v>1.3282732447817837E-2</v>
      </c>
      <c r="W300" s="3" t="s">
        <v>73</v>
      </c>
      <c r="X300" s="3" t="s">
        <v>106</v>
      </c>
      <c r="Y300" s="3">
        <f t="shared" si="55"/>
        <v>2</v>
      </c>
      <c r="Z300" s="3" t="str">
        <f t="shared" si="56"/>
        <v>Premium</v>
      </c>
      <c r="AA300" s="3">
        <v>4</v>
      </c>
      <c r="AB300" s="3" t="str">
        <f t="shared" si="57"/>
        <v>Excellent</v>
      </c>
      <c r="AC300" s="3" t="str">
        <f t="shared" si="58"/>
        <v>July</v>
      </c>
      <c r="AD300" s="3" t="str">
        <f t="shared" si="59"/>
        <v>Q3</v>
      </c>
      <c r="AE300" s="3">
        <f t="shared" si="60"/>
        <v>2026</v>
      </c>
      <c r="AF300" s="3" t="str">
        <f t="shared" si="61"/>
        <v>Saturday</v>
      </c>
      <c r="AG300" s="3" t="str">
        <f t="shared" si="62"/>
        <v>46+</v>
      </c>
      <c r="AH300" s="3" t="str">
        <f t="shared" si="63"/>
        <v>Large</v>
      </c>
      <c r="AI300" s="3" t="str">
        <f t="shared" si="64"/>
        <v>Medium</v>
      </c>
      <c r="AJ300" s="3" t="str" cm="1">
        <f t="array" ref="AJ300">_xlfn.IFS(S300&gt;=80000,"VIP",S300&gt;=40000,"Gold",S300&gt;=15000,"Silver",TRUE,"Bronze")</f>
        <v>VIP</v>
      </c>
    </row>
    <row r="301" spans="1:36" x14ac:dyDescent="0.3">
      <c r="A301" s="3" t="s">
        <v>853</v>
      </c>
      <c r="B301" s="15">
        <v>46326</v>
      </c>
      <c r="C301" s="15">
        <v>46329</v>
      </c>
      <c r="D301" s="3" t="s">
        <v>854</v>
      </c>
      <c r="E301" s="3" t="s">
        <v>855</v>
      </c>
      <c r="F301" s="3" t="s">
        <v>52</v>
      </c>
      <c r="G301" s="3">
        <v>49</v>
      </c>
      <c r="H301" s="3" t="s">
        <v>60</v>
      </c>
      <c r="I301" s="3" t="s">
        <v>61</v>
      </c>
      <c r="J301" s="3" t="s">
        <v>42</v>
      </c>
      <c r="K301" s="3" t="s">
        <v>62</v>
      </c>
      <c r="L301" s="3" t="s">
        <v>163</v>
      </c>
      <c r="M301" s="3" t="s">
        <v>45</v>
      </c>
      <c r="N301" s="3" t="s">
        <v>63</v>
      </c>
      <c r="O301" s="3" t="s">
        <v>64</v>
      </c>
      <c r="P301" s="3">
        <v>3</v>
      </c>
      <c r="Q301" s="9">
        <v>62000</v>
      </c>
      <c r="R301" s="6">
        <v>0.1</v>
      </c>
      <c r="S301" s="12">
        <f t="shared" si="52"/>
        <v>167400</v>
      </c>
      <c r="T301" s="12">
        <v>52000</v>
      </c>
      <c r="U301" s="9">
        <f t="shared" si="53"/>
        <v>11400</v>
      </c>
      <c r="V301" s="6">
        <f t="shared" si="54"/>
        <v>6.8100358422939072E-2</v>
      </c>
      <c r="W301" s="3" t="s">
        <v>65</v>
      </c>
      <c r="X301" s="3" t="s">
        <v>49</v>
      </c>
      <c r="Y301" s="3">
        <f t="shared" si="55"/>
        <v>3</v>
      </c>
      <c r="Z301" s="3" t="str">
        <f t="shared" si="56"/>
        <v>Premium</v>
      </c>
      <c r="AA301" s="3">
        <v>4</v>
      </c>
      <c r="AB301" s="3" t="str">
        <f t="shared" si="57"/>
        <v>Excellent</v>
      </c>
      <c r="AC301" s="3" t="str">
        <f t="shared" si="58"/>
        <v>October</v>
      </c>
      <c r="AD301" s="3" t="str">
        <f t="shared" si="59"/>
        <v>Q4</v>
      </c>
      <c r="AE301" s="3">
        <f t="shared" si="60"/>
        <v>2026</v>
      </c>
      <c r="AF301" s="3" t="str">
        <f t="shared" si="61"/>
        <v>Saturday</v>
      </c>
      <c r="AG301" s="3" t="str">
        <f t="shared" si="62"/>
        <v>46+</v>
      </c>
      <c r="AH301" s="3" t="str">
        <f t="shared" si="63"/>
        <v>Large</v>
      </c>
      <c r="AI301" s="3" t="str">
        <f t="shared" si="64"/>
        <v>Medium</v>
      </c>
      <c r="AJ301" s="3" t="str" cm="1">
        <f t="array" ref="AJ301">_xlfn.IFS(S301&gt;=80000,"VIP",S301&gt;=40000,"Gold",S301&gt;=15000,"Silver",TRUE,"Bronze")</f>
        <v>VIP</v>
      </c>
    </row>
    <row r="302" spans="1:36" x14ac:dyDescent="0.3">
      <c r="A302" s="3" t="s">
        <v>856</v>
      </c>
      <c r="B302" s="15">
        <v>46282</v>
      </c>
      <c r="C302" s="15">
        <v>46287</v>
      </c>
      <c r="D302" s="3" t="s">
        <v>857</v>
      </c>
      <c r="E302" s="3" t="s">
        <v>374</v>
      </c>
      <c r="F302" s="3" t="s">
        <v>39</v>
      </c>
      <c r="G302" s="3">
        <v>45</v>
      </c>
      <c r="H302" s="3" t="s">
        <v>40</v>
      </c>
      <c r="I302" s="3" t="s">
        <v>41</v>
      </c>
      <c r="J302" s="3" t="s">
        <v>42</v>
      </c>
      <c r="K302" s="3" t="s">
        <v>105</v>
      </c>
      <c r="L302" s="3" t="s">
        <v>112</v>
      </c>
      <c r="M302" s="3" t="s">
        <v>113</v>
      </c>
      <c r="N302" s="3" t="s">
        <v>114</v>
      </c>
      <c r="O302" s="3" t="s">
        <v>115</v>
      </c>
      <c r="P302" s="3">
        <v>5</v>
      </c>
      <c r="Q302" s="9">
        <v>3500</v>
      </c>
      <c r="R302" s="6">
        <v>0.1</v>
      </c>
      <c r="S302" s="12">
        <f t="shared" si="52"/>
        <v>15750</v>
      </c>
      <c r="T302" s="12">
        <v>2500</v>
      </c>
      <c r="U302" s="9">
        <f t="shared" si="53"/>
        <v>3250</v>
      </c>
      <c r="V302" s="6">
        <f t="shared" si="54"/>
        <v>0.20634920634920634</v>
      </c>
      <c r="W302" s="3" t="s">
        <v>92</v>
      </c>
      <c r="X302" s="3" t="s">
        <v>49</v>
      </c>
      <c r="Y302" s="3">
        <f t="shared" si="55"/>
        <v>5</v>
      </c>
      <c r="Z302" s="3" t="str">
        <f t="shared" si="56"/>
        <v>Regular</v>
      </c>
      <c r="AA302" s="3">
        <v>4</v>
      </c>
      <c r="AB302" s="3" t="str">
        <f t="shared" si="57"/>
        <v>Excellent</v>
      </c>
      <c r="AC302" s="3" t="str">
        <f t="shared" si="58"/>
        <v>September</v>
      </c>
      <c r="AD302" s="3" t="str">
        <f t="shared" si="59"/>
        <v>Q3</v>
      </c>
      <c r="AE302" s="3">
        <f t="shared" si="60"/>
        <v>2026</v>
      </c>
      <c r="AF302" s="3" t="str">
        <f t="shared" si="61"/>
        <v>Thursday</v>
      </c>
      <c r="AG302" s="3" t="str">
        <f t="shared" si="62"/>
        <v>36-45</v>
      </c>
      <c r="AH302" s="3" t="str">
        <f t="shared" si="63"/>
        <v>Medium</v>
      </c>
      <c r="AI302" s="3" t="str">
        <f t="shared" si="64"/>
        <v>Medium</v>
      </c>
      <c r="AJ302" s="3" t="str" cm="1">
        <f t="array" ref="AJ302">_xlfn.IFS(S302&gt;=80000,"VIP",S302&gt;=40000,"Gold",S302&gt;=15000,"Silver",TRUE,"Bronze")</f>
        <v>Silver</v>
      </c>
    </row>
    <row r="303" spans="1:36" x14ac:dyDescent="0.3">
      <c r="A303" s="3" t="s">
        <v>858</v>
      </c>
      <c r="B303" s="15">
        <v>46317</v>
      </c>
      <c r="C303" s="15">
        <v>46320</v>
      </c>
      <c r="D303" s="3" t="s">
        <v>859</v>
      </c>
      <c r="E303" s="3" t="s">
        <v>206</v>
      </c>
      <c r="F303" s="3" t="s">
        <v>39</v>
      </c>
      <c r="G303" s="3">
        <v>32</v>
      </c>
      <c r="H303" s="3" t="s">
        <v>110</v>
      </c>
      <c r="I303" s="3" t="s">
        <v>111</v>
      </c>
      <c r="J303" s="3" t="s">
        <v>80</v>
      </c>
      <c r="K303" s="3" t="s">
        <v>90</v>
      </c>
      <c r="L303" s="3" t="s">
        <v>122</v>
      </c>
      <c r="M303" s="3" t="s">
        <v>45</v>
      </c>
      <c r="N303" s="3" t="s">
        <v>91</v>
      </c>
      <c r="O303" s="3" t="s">
        <v>123</v>
      </c>
      <c r="P303" s="3">
        <v>5</v>
      </c>
      <c r="Q303" s="9">
        <v>2500</v>
      </c>
      <c r="R303" s="6">
        <v>0.08</v>
      </c>
      <c r="S303" s="12">
        <f t="shared" si="52"/>
        <v>11500</v>
      </c>
      <c r="T303" s="12">
        <v>1700</v>
      </c>
      <c r="U303" s="9">
        <f t="shared" si="53"/>
        <v>3000</v>
      </c>
      <c r="V303" s="6">
        <f t="shared" si="54"/>
        <v>0.2608695652173913</v>
      </c>
      <c r="W303" s="3" t="s">
        <v>100</v>
      </c>
      <c r="X303" s="3" t="s">
        <v>74</v>
      </c>
      <c r="Y303" s="3">
        <f t="shared" si="55"/>
        <v>3</v>
      </c>
      <c r="Z303" s="3" t="str">
        <f t="shared" si="56"/>
        <v>Regular</v>
      </c>
      <c r="AA303" s="3">
        <v>4</v>
      </c>
      <c r="AB303" s="3" t="str">
        <f t="shared" si="57"/>
        <v>Excellent</v>
      </c>
      <c r="AC303" s="3" t="str">
        <f t="shared" si="58"/>
        <v>October</v>
      </c>
      <c r="AD303" s="3" t="str">
        <f t="shared" si="59"/>
        <v>Q4</v>
      </c>
      <c r="AE303" s="3">
        <f t="shared" si="60"/>
        <v>2026</v>
      </c>
      <c r="AF303" s="3" t="str">
        <f t="shared" si="61"/>
        <v>Thursday</v>
      </c>
      <c r="AG303" s="3" t="str">
        <f t="shared" si="62"/>
        <v>26-35</v>
      </c>
      <c r="AH303" s="3" t="str">
        <f t="shared" si="63"/>
        <v>Medium</v>
      </c>
      <c r="AI303" s="3" t="str">
        <f t="shared" si="64"/>
        <v>Medium</v>
      </c>
      <c r="AJ303" s="3" t="str" cm="1">
        <f t="array" ref="AJ303">_xlfn.IFS(S303&gt;=80000,"VIP",S303&gt;=40000,"Gold",S303&gt;=15000,"Silver",TRUE,"Bronze")</f>
        <v>Bronze</v>
      </c>
    </row>
    <row r="304" spans="1:36" x14ac:dyDescent="0.3">
      <c r="A304" s="3" t="s">
        <v>860</v>
      </c>
      <c r="B304" s="15">
        <v>46217</v>
      </c>
      <c r="C304" s="15">
        <v>46222</v>
      </c>
      <c r="D304" s="3" t="s">
        <v>861</v>
      </c>
      <c r="E304" s="3" t="s">
        <v>862</v>
      </c>
      <c r="F304" s="3" t="s">
        <v>39</v>
      </c>
      <c r="G304" s="3">
        <v>20</v>
      </c>
      <c r="H304" s="3" t="s">
        <v>68</v>
      </c>
      <c r="I304" s="3" t="s">
        <v>68</v>
      </c>
      <c r="J304" s="3" t="s">
        <v>69</v>
      </c>
      <c r="K304" s="3" t="s">
        <v>54</v>
      </c>
      <c r="L304" s="3" t="s">
        <v>173</v>
      </c>
      <c r="M304" s="3" t="s">
        <v>45</v>
      </c>
      <c r="N304" s="3" t="s">
        <v>46</v>
      </c>
      <c r="O304" s="3" t="s">
        <v>55</v>
      </c>
      <c r="P304" s="3">
        <v>4</v>
      </c>
      <c r="Q304" s="9">
        <v>79900</v>
      </c>
      <c r="R304" s="6">
        <v>0.05</v>
      </c>
      <c r="S304" s="12">
        <f t="shared" si="52"/>
        <v>303620</v>
      </c>
      <c r="T304" s="12">
        <v>65000</v>
      </c>
      <c r="U304" s="9">
        <f t="shared" si="53"/>
        <v>43620</v>
      </c>
      <c r="V304" s="6">
        <f t="shared" si="54"/>
        <v>0.14366642513668401</v>
      </c>
      <c r="W304" s="3" t="s">
        <v>48</v>
      </c>
      <c r="X304" s="3" t="s">
        <v>106</v>
      </c>
      <c r="Y304" s="3">
        <f t="shared" si="55"/>
        <v>5</v>
      </c>
      <c r="Z304" s="3" t="str">
        <f t="shared" si="56"/>
        <v>Premium</v>
      </c>
      <c r="AA304" s="3">
        <v>5</v>
      </c>
      <c r="AB304" s="3" t="str">
        <f t="shared" si="57"/>
        <v>Excellent</v>
      </c>
      <c r="AC304" s="3" t="str">
        <f t="shared" si="58"/>
        <v>July</v>
      </c>
      <c r="AD304" s="3" t="str">
        <f t="shared" si="59"/>
        <v>Q3</v>
      </c>
      <c r="AE304" s="3">
        <f t="shared" si="60"/>
        <v>2026</v>
      </c>
      <c r="AF304" s="3" t="str">
        <f t="shared" si="61"/>
        <v>Tuesday</v>
      </c>
      <c r="AG304" s="3" t="str">
        <f t="shared" si="62"/>
        <v>18-25</v>
      </c>
      <c r="AH304" s="3" t="str">
        <f t="shared" si="63"/>
        <v>Large</v>
      </c>
      <c r="AI304" s="3" t="str">
        <f t="shared" si="64"/>
        <v>Low</v>
      </c>
      <c r="AJ304" s="3" t="str" cm="1">
        <f t="array" ref="AJ304">_xlfn.IFS(S304&gt;=80000,"VIP",S304&gt;=40000,"Gold",S304&gt;=15000,"Silver",TRUE,"Bronze")</f>
        <v>VIP</v>
      </c>
    </row>
    <row r="305" spans="1:36" x14ac:dyDescent="0.3">
      <c r="A305" s="3" t="s">
        <v>863</v>
      </c>
      <c r="B305" s="15">
        <v>46286</v>
      </c>
      <c r="C305" s="15">
        <v>46290</v>
      </c>
      <c r="D305" s="3" t="s">
        <v>864</v>
      </c>
      <c r="E305" s="3" t="s">
        <v>693</v>
      </c>
      <c r="F305" s="3" t="s">
        <v>52</v>
      </c>
      <c r="G305" s="3">
        <v>31</v>
      </c>
      <c r="H305" s="3" t="s">
        <v>78</v>
      </c>
      <c r="I305" s="3" t="s">
        <v>79</v>
      </c>
      <c r="J305" s="3" t="s">
        <v>80</v>
      </c>
      <c r="K305" s="3" t="s">
        <v>81</v>
      </c>
      <c r="L305" s="3" t="s">
        <v>82</v>
      </c>
      <c r="M305" s="3" t="s">
        <v>45</v>
      </c>
      <c r="N305" s="3" t="s">
        <v>83</v>
      </c>
      <c r="O305" s="3" t="s">
        <v>84</v>
      </c>
      <c r="P305" s="3">
        <v>1</v>
      </c>
      <c r="Q305" s="9">
        <v>42000</v>
      </c>
      <c r="R305" s="6">
        <v>0.2</v>
      </c>
      <c r="S305" s="12">
        <f t="shared" si="52"/>
        <v>33600</v>
      </c>
      <c r="T305" s="12">
        <v>35000</v>
      </c>
      <c r="U305" s="9">
        <f t="shared" si="53"/>
        <v>-1400</v>
      </c>
      <c r="V305" s="6">
        <f t="shared" si="54"/>
        <v>-4.1666666666666664E-2</v>
      </c>
      <c r="W305" s="3" t="s">
        <v>65</v>
      </c>
      <c r="X305" s="3" t="s">
        <v>74</v>
      </c>
      <c r="Y305" s="3">
        <f t="shared" si="55"/>
        <v>4</v>
      </c>
      <c r="Z305" s="3" t="str">
        <f t="shared" si="56"/>
        <v>Regular</v>
      </c>
      <c r="AA305" s="3">
        <v>2</v>
      </c>
      <c r="AB305" s="3" t="str">
        <f t="shared" si="57"/>
        <v>Average</v>
      </c>
      <c r="AC305" s="3" t="str">
        <f t="shared" si="58"/>
        <v>September</v>
      </c>
      <c r="AD305" s="3" t="str">
        <f t="shared" si="59"/>
        <v>Q3</v>
      </c>
      <c r="AE305" s="3">
        <f t="shared" si="60"/>
        <v>2026</v>
      </c>
      <c r="AF305" s="3" t="str">
        <f t="shared" si="61"/>
        <v>Monday</v>
      </c>
      <c r="AG305" s="3" t="str">
        <f t="shared" si="62"/>
        <v>26-35</v>
      </c>
      <c r="AH305" s="3" t="str">
        <f t="shared" si="63"/>
        <v>Large</v>
      </c>
      <c r="AI305" s="3" t="str">
        <f t="shared" si="64"/>
        <v>High</v>
      </c>
      <c r="AJ305" s="3" t="str" cm="1">
        <f t="array" ref="AJ305">_xlfn.IFS(S305&gt;=80000,"VIP",S305&gt;=40000,"Gold",S305&gt;=15000,"Silver",TRUE,"Bronze")</f>
        <v>Silver</v>
      </c>
    </row>
    <row r="306" spans="1:36" x14ac:dyDescent="0.3">
      <c r="A306" s="3" t="s">
        <v>865</v>
      </c>
      <c r="B306" s="15">
        <v>46156</v>
      </c>
      <c r="C306" s="15">
        <v>46158</v>
      </c>
      <c r="D306" s="3" t="s">
        <v>866</v>
      </c>
      <c r="E306" s="3" t="s">
        <v>175</v>
      </c>
      <c r="F306" s="3" t="s">
        <v>39</v>
      </c>
      <c r="G306" s="3">
        <v>41</v>
      </c>
      <c r="H306" s="3" t="s">
        <v>53</v>
      </c>
      <c r="I306" s="3" t="s">
        <v>41</v>
      </c>
      <c r="J306" s="3" t="s">
        <v>42</v>
      </c>
      <c r="K306" s="3" t="s">
        <v>54</v>
      </c>
      <c r="L306" s="3" t="s">
        <v>173</v>
      </c>
      <c r="M306" s="3" t="s">
        <v>45</v>
      </c>
      <c r="N306" s="3" t="s">
        <v>46</v>
      </c>
      <c r="O306" s="3" t="s">
        <v>55</v>
      </c>
      <c r="P306" s="3">
        <v>5</v>
      </c>
      <c r="Q306" s="9">
        <v>79900</v>
      </c>
      <c r="R306" s="6">
        <v>0.12</v>
      </c>
      <c r="S306" s="12">
        <f t="shared" si="52"/>
        <v>351560</v>
      </c>
      <c r="T306" s="12">
        <v>65000</v>
      </c>
      <c r="U306" s="9">
        <f t="shared" si="53"/>
        <v>26560</v>
      </c>
      <c r="V306" s="6">
        <f t="shared" si="54"/>
        <v>7.5548981681647517E-2</v>
      </c>
      <c r="W306" s="3" t="s">
        <v>56</v>
      </c>
      <c r="X306" s="3" t="s">
        <v>106</v>
      </c>
      <c r="Y306" s="3">
        <f t="shared" si="55"/>
        <v>2</v>
      </c>
      <c r="Z306" s="3" t="str">
        <f t="shared" si="56"/>
        <v>Premium</v>
      </c>
      <c r="AA306" s="3">
        <v>3</v>
      </c>
      <c r="AB306" s="3" t="str">
        <f t="shared" si="57"/>
        <v>Average</v>
      </c>
      <c r="AC306" s="3" t="str">
        <f t="shared" si="58"/>
        <v>May</v>
      </c>
      <c r="AD306" s="3" t="str">
        <f t="shared" si="59"/>
        <v>Q2</v>
      </c>
      <c r="AE306" s="3">
        <f t="shared" si="60"/>
        <v>2026</v>
      </c>
      <c r="AF306" s="3" t="str">
        <f t="shared" si="61"/>
        <v>Thursday</v>
      </c>
      <c r="AG306" s="3" t="str">
        <f t="shared" si="62"/>
        <v>36-45</v>
      </c>
      <c r="AH306" s="3" t="str">
        <f t="shared" si="63"/>
        <v>Large</v>
      </c>
      <c r="AI306" s="3" t="str">
        <f t="shared" si="64"/>
        <v>Medium</v>
      </c>
      <c r="AJ306" s="3" t="str" cm="1">
        <f t="array" ref="AJ306">_xlfn.IFS(S306&gt;=80000,"VIP",S306&gt;=40000,"Gold",S306&gt;=15000,"Silver",TRUE,"Bronze")</f>
        <v>VIP</v>
      </c>
    </row>
    <row r="307" spans="1:36" x14ac:dyDescent="0.3">
      <c r="A307" s="3" t="s">
        <v>867</v>
      </c>
      <c r="B307" s="15">
        <v>46209</v>
      </c>
      <c r="C307" s="15">
        <v>46212</v>
      </c>
      <c r="D307" s="3" t="s">
        <v>868</v>
      </c>
      <c r="E307" s="3" t="s">
        <v>184</v>
      </c>
      <c r="F307" s="3" t="s">
        <v>52</v>
      </c>
      <c r="G307" s="3">
        <v>47</v>
      </c>
      <c r="H307" s="3" t="s">
        <v>53</v>
      </c>
      <c r="I307" s="3" t="s">
        <v>41</v>
      </c>
      <c r="J307" s="3" t="s">
        <v>42</v>
      </c>
      <c r="K307" s="3" t="s">
        <v>105</v>
      </c>
      <c r="L307" s="3" t="s">
        <v>112</v>
      </c>
      <c r="M307" s="3" t="s">
        <v>113</v>
      </c>
      <c r="N307" s="3" t="s">
        <v>114</v>
      </c>
      <c r="O307" s="3" t="s">
        <v>115</v>
      </c>
      <c r="P307" s="3">
        <v>3</v>
      </c>
      <c r="Q307" s="9">
        <v>3500</v>
      </c>
      <c r="R307" s="6">
        <v>0.2</v>
      </c>
      <c r="S307" s="12">
        <f t="shared" si="52"/>
        <v>8400</v>
      </c>
      <c r="T307" s="12">
        <v>2500</v>
      </c>
      <c r="U307" s="9">
        <f t="shared" si="53"/>
        <v>900</v>
      </c>
      <c r="V307" s="6">
        <f t="shared" si="54"/>
        <v>0.10714285714285714</v>
      </c>
      <c r="W307" s="3" t="s">
        <v>56</v>
      </c>
      <c r="X307" s="3" t="s">
        <v>49</v>
      </c>
      <c r="Y307" s="3">
        <f t="shared" si="55"/>
        <v>3</v>
      </c>
      <c r="Z307" s="3" t="str">
        <f t="shared" si="56"/>
        <v>Regular</v>
      </c>
      <c r="AA307" s="3">
        <v>2</v>
      </c>
      <c r="AB307" s="3" t="str">
        <f t="shared" si="57"/>
        <v>Average</v>
      </c>
      <c r="AC307" s="3" t="str">
        <f t="shared" si="58"/>
        <v>July</v>
      </c>
      <c r="AD307" s="3" t="str">
        <f t="shared" si="59"/>
        <v>Q3</v>
      </c>
      <c r="AE307" s="3">
        <f t="shared" si="60"/>
        <v>2026</v>
      </c>
      <c r="AF307" s="3" t="str">
        <f t="shared" si="61"/>
        <v>Monday</v>
      </c>
      <c r="AG307" s="3" t="str">
        <f t="shared" si="62"/>
        <v>46+</v>
      </c>
      <c r="AH307" s="3" t="str">
        <f t="shared" si="63"/>
        <v>Small</v>
      </c>
      <c r="AI307" s="3" t="str">
        <f t="shared" si="64"/>
        <v>High</v>
      </c>
      <c r="AJ307" s="3" t="str" cm="1">
        <f t="array" ref="AJ307">_xlfn.IFS(S307&gt;=80000,"VIP",S307&gt;=40000,"Gold",S307&gt;=15000,"Silver",TRUE,"Bronze")</f>
        <v>Bronze</v>
      </c>
    </row>
    <row r="308" spans="1:36" x14ac:dyDescent="0.3">
      <c r="A308" s="3" t="s">
        <v>869</v>
      </c>
      <c r="B308" s="15">
        <v>46202</v>
      </c>
      <c r="C308" s="15">
        <v>46207</v>
      </c>
      <c r="D308" s="3" t="s">
        <v>870</v>
      </c>
      <c r="E308" s="3" t="s">
        <v>289</v>
      </c>
      <c r="F308" s="3" t="s">
        <v>39</v>
      </c>
      <c r="G308" s="3">
        <v>29</v>
      </c>
      <c r="H308" s="3" t="s">
        <v>68</v>
      </c>
      <c r="I308" s="3" t="s">
        <v>68</v>
      </c>
      <c r="J308" s="3" t="s">
        <v>69</v>
      </c>
      <c r="K308" s="3" t="s">
        <v>43</v>
      </c>
      <c r="L308" s="3" t="s">
        <v>44</v>
      </c>
      <c r="M308" s="3" t="s">
        <v>45</v>
      </c>
      <c r="N308" s="3" t="s">
        <v>46</v>
      </c>
      <c r="O308" s="3" t="s">
        <v>47</v>
      </c>
      <c r="P308" s="3">
        <v>3</v>
      </c>
      <c r="Q308" s="9">
        <v>28500</v>
      </c>
      <c r="R308" s="6">
        <v>0.1</v>
      </c>
      <c r="S308" s="12">
        <f t="shared" si="52"/>
        <v>76950</v>
      </c>
      <c r="T308" s="12">
        <v>22000</v>
      </c>
      <c r="U308" s="9">
        <f t="shared" si="53"/>
        <v>10950</v>
      </c>
      <c r="V308" s="6">
        <f t="shared" si="54"/>
        <v>0.14230019493177387</v>
      </c>
      <c r="W308" s="3" t="s">
        <v>73</v>
      </c>
      <c r="X308" s="3" t="s">
        <v>106</v>
      </c>
      <c r="Y308" s="3">
        <f t="shared" si="55"/>
        <v>5</v>
      </c>
      <c r="Z308" s="3" t="str">
        <f t="shared" si="56"/>
        <v>Premium</v>
      </c>
      <c r="AA308" s="3">
        <v>2</v>
      </c>
      <c r="AB308" s="3" t="str">
        <f t="shared" si="57"/>
        <v>Average</v>
      </c>
      <c r="AC308" s="3" t="str">
        <f t="shared" si="58"/>
        <v>June</v>
      </c>
      <c r="AD308" s="3" t="str">
        <f t="shared" si="59"/>
        <v>Q2</v>
      </c>
      <c r="AE308" s="3">
        <f t="shared" si="60"/>
        <v>2026</v>
      </c>
      <c r="AF308" s="3" t="str">
        <f t="shared" si="61"/>
        <v>Monday</v>
      </c>
      <c r="AG308" s="3" t="str">
        <f t="shared" si="62"/>
        <v>26-35</v>
      </c>
      <c r="AH308" s="3" t="str">
        <f t="shared" si="63"/>
        <v>Large</v>
      </c>
      <c r="AI308" s="3" t="str">
        <f t="shared" si="64"/>
        <v>Medium</v>
      </c>
      <c r="AJ308" s="3" t="str" cm="1">
        <f t="array" ref="AJ308">_xlfn.IFS(S308&gt;=80000,"VIP",S308&gt;=40000,"Gold",S308&gt;=15000,"Silver",TRUE,"Bronze")</f>
        <v>Gold</v>
      </c>
    </row>
    <row r="309" spans="1:36" x14ac:dyDescent="0.3">
      <c r="A309" s="3" t="s">
        <v>871</v>
      </c>
      <c r="B309" s="15">
        <v>46137</v>
      </c>
      <c r="C309" s="15">
        <v>46139</v>
      </c>
      <c r="D309" s="3" t="s">
        <v>872</v>
      </c>
      <c r="E309" s="3" t="s">
        <v>719</v>
      </c>
      <c r="F309" s="3" t="s">
        <v>52</v>
      </c>
      <c r="G309" s="3">
        <v>39</v>
      </c>
      <c r="H309" s="3" t="s">
        <v>53</v>
      </c>
      <c r="I309" s="3" t="s">
        <v>41</v>
      </c>
      <c r="J309" s="3" t="s">
        <v>42</v>
      </c>
      <c r="K309" s="3" t="s">
        <v>54</v>
      </c>
      <c r="L309" s="3" t="s">
        <v>173</v>
      </c>
      <c r="M309" s="3" t="s">
        <v>45</v>
      </c>
      <c r="N309" s="3" t="s">
        <v>46</v>
      </c>
      <c r="O309" s="3" t="s">
        <v>55</v>
      </c>
      <c r="P309" s="3">
        <v>1</v>
      </c>
      <c r="Q309" s="9">
        <v>79900</v>
      </c>
      <c r="R309" s="6">
        <v>0.15</v>
      </c>
      <c r="S309" s="12">
        <f t="shared" si="52"/>
        <v>67915</v>
      </c>
      <c r="T309" s="12">
        <v>65000</v>
      </c>
      <c r="U309" s="9">
        <f t="shared" si="53"/>
        <v>2915</v>
      </c>
      <c r="V309" s="6">
        <f t="shared" si="54"/>
        <v>4.292129868217625E-2</v>
      </c>
      <c r="W309" s="3" t="s">
        <v>65</v>
      </c>
      <c r="X309" s="3" t="s">
        <v>101</v>
      </c>
      <c r="Y309" s="3">
        <f t="shared" si="55"/>
        <v>2</v>
      </c>
      <c r="Z309" s="3" t="str">
        <f t="shared" si="56"/>
        <v>Premium</v>
      </c>
      <c r="AA309" s="3">
        <v>5</v>
      </c>
      <c r="AB309" s="3" t="str">
        <f t="shared" si="57"/>
        <v>Excellent</v>
      </c>
      <c r="AC309" s="3" t="str">
        <f t="shared" si="58"/>
        <v>April</v>
      </c>
      <c r="AD309" s="3" t="str">
        <f t="shared" si="59"/>
        <v>Q2</v>
      </c>
      <c r="AE309" s="3">
        <f t="shared" si="60"/>
        <v>2026</v>
      </c>
      <c r="AF309" s="3" t="str">
        <f t="shared" si="61"/>
        <v>Saturday</v>
      </c>
      <c r="AG309" s="3" t="str">
        <f t="shared" si="62"/>
        <v>36-45</v>
      </c>
      <c r="AH309" s="3" t="str">
        <f t="shared" si="63"/>
        <v>Large</v>
      </c>
      <c r="AI309" s="3" t="str">
        <f t="shared" si="64"/>
        <v>Medium</v>
      </c>
      <c r="AJ309" s="3" t="str" cm="1">
        <f t="array" ref="AJ309">_xlfn.IFS(S309&gt;=80000,"VIP",S309&gt;=40000,"Gold",S309&gt;=15000,"Silver",TRUE,"Bronze")</f>
        <v>Gold</v>
      </c>
    </row>
    <row r="310" spans="1:36" x14ac:dyDescent="0.3">
      <c r="A310" s="3" t="s">
        <v>873</v>
      </c>
      <c r="B310" s="15">
        <v>46333</v>
      </c>
      <c r="C310" s="15">
        <v>46338</v>
      </c>
      <c r="D310" s="3" t="s">
        <v>874</v>
      </c>
      <c r="E310" s="3" t="s">
        <v>875</v>
      </c>
      <c r="F310" s="3" t="s">
        <v>39</v>
      </c>
      <c r="G310" s="3">
        <v>50</v>
      </c>
      <c r="H310" s="3" t="s">
        <v>119</v>
      </c>
      <c r="I310" s="3" t="s">
        <v>120</v>
      </c>
      <c r="J310" s="3" t="s">
        <v>121</v>
      </c>
      <c r="K310" s="3" t="s">
        <v>105</v>
      </c>
      <c r="L310" s="3" t="s">
        <v>112</v>
      </c>
      <c r="M310" s="3" t="s">
        <v>113</v>
      </c>
      <c r="N310" s="3" t="s">
        <v>114</v>
      </c>
      <c r="O310" s="3" t="s">
        <v>115</v>
      </c>
      <c r="P310" s="3">
        <v>5</v>
      </c>
      <c r="Q310" s="9">
        <v>3500</v>
      </c>
      <c r="R310" s="6">
        <v>0.15</v>
      </c>
      <c r="S310" s="12">
        <f t="shared" si="52"/>
        <v>14875</v>
      </c>
      <c r="T310" s="12">
        <v>2500</v>
      </c>
      <c r="U310" s="9">
        <f t="shared" si="53"/>
        <v>2375</v>
      </c>
      <c r="V310" s="6">
        <f t="shared" si="54"/>
        <v>0.15966386554621848</v>
      </c>
      <c r="W310" s="3" t="s">
        <v>48</v>
      </c>
      <c r="X310" s="3" t="s">
        <v>49</v>
      </c>
      <c r="Y310" s="3">
        <f t="shared" si="55"/>
        <v>5</v>
      </c>
      <c r="Z310" s="3" t="str">
        <f t="shared" si="56"/>
        <v>Regular</v>
      </c>
      <c r="AA310" s="3">
        <v>2</v>
      </c>
      <c r="AB310" s="3" t="str">
        <f t="shared" si="57"/>
        <v>Average</v>
      </c>
      <c r="AC310" s="3" t="str">
        <f t="shared" si="58"/>
        <v>November</v>
      </c>
      <c r="AD310" s="3" t="str">
        <f t="shared" si="59"/>
        <v>Q4</v>
      </c>
      <c r="AE310" s="3">
        <f t="shared" si="60"/>
        <v>2026</v>
      </c>
      <c r="AF310" s="3" t="str">
        <f t="shared" si="61"/>
        <v>Saturday</v>
      </c>
      <c r="AG310" s="3" t="str">
        <f t="shared" si="62"/>
        <v>46+</v>
      </c>
      <c r="AH310" s="3" t="str">
        <f t="shared" si="63"/>
        <v>Medium</v>
      </c>
      <c r="AI310" s="3" t="str">
        <f t="shared" si="64"/>
        <v>Medium</v>
      </c>
      <c r="AJ310" s="3" t="str" cm="1">
        <f t="array" ref="AJ310">_xlfn.IFS(S310&gt;=80000,"VIP",S310&gt;=40000,"Gold",S310&gt;=15000,"Silver",TRUE,"Bronze")</f>
        <v>Bronze</v>
      </c>
    </row>
    <row r="311" spans="1:36" x14ac:dyDescent="0.3">
      <c r="A311" s="3" t="s">
        <v>876</v>
      </c>
      <c r="B311" s="15">
        <v>46362</v>
      </c>
      <c r="C311" s="15">
        <v>46366</v>
      </c>
      <c r="D311" s="3" t="s">
        <v>877</v>
      </c>
      <c r="E311" s="3" t="s">
        <v>181</v>
      </c>
      <c r="F311" s="3" t="s">
        <v>39</v>
      </c>
      <c r="G311" s="3">
        <v>30</v>
      </c>
      <c r="H311" s="3" t="s">
        <v>40</v>
      </c>
      <c r="I311" s="3" t="s">
        <v>41</v>
      </c>
      <c r="J311" s="3" t="s">
        <v>42</v>
      </c>
      <c r="K311" s="3" t="s">
        <v>43</v>
      </c>
      <c r="L311" s="3" t="s">
        <v>44</v>
      </c>
      <c r="M311" s="3" t="s">
        <v>45</v>
      </c>
      <c r="N311" s="3" t="s">
        <v>46</v>
      </c>
      <c r="O311" s="3" t="s">
        <v>47</v>
      </c>
      <c r="P311" s="3">
        <v>4</v>
      </c>
      <c r="Q311" s="9">
        <v>28500</v>
      </c>
      <c r="R311" s="6">
        <v>0.05</v>
      </c>
      <c r="S311" s="12">
        <f t="shared" si="52"/>
        <v>108300</v>
      </c>
      <c r="T311" s="12">
        <v>22000</v>
      </c>
      <c r="U311" s="9">
        <f t="shared" si="53"/>
        <v>20300</v>
      </c>
      <c r="V311" s="6">
        <f t="shared" si="54"/>
        <v>0.18744228993536471</v>
      </c>
      <c r="W311" s="3" t="s">
        <v>65</v>
      </c>
      <c r="X311" s="3" t="s">
        <v>106</v>
      </c>
      <c r="Y311" s="3">
        <f t="shared" si="55"/>
        <v>4</v>
      </c>
      <c r="Z311" s="3" t="str">
        <f t="shared" si="56"/>
        <v>Premium</v>
      </c>
      <c r="AA311" s="3">
        <v>2</v>
      </c>
      <c r="AB311" s="3" t="str">
        <f t="shared" si="57"/>
        <v>Average</v>
      </c>
      <c r="AC311" s="3" t="str">
        <f t="shared" si="58"/>
        <v>December</v>
      </c>
      <c r="AD311" s="3" t="str">
        <f t="shared" si="59"/>
        <v>Q4</v>
      </c>
      <c r="AE311" s="3">
        <f t="shared" si="60"/>
        <v>2026</v>
      </c>
      <c r="AF311" s="3" t="str">
        <f t="shared" si="61"/>
        <v>Sunday</v>
      </c>
      <c r="AG311" s="3" t="str">
        <f t="shared" si="62"/>
        <v>26-35</v>
      </c>
      <c r="AH311" s="3" t="str">
        <f t="shared" si="63"/>
        <v>Large</v>
      </c>
      <c r="AI311" s="3" t="str">
        <f t="shared" si="64"/>
        <v>Low</v>
      </c>
      <c r="AJ311" s="3" t="str" cm="1">
        <f t="array" ref="AJ311">_xlfn.IFS(S311&gt;=80000,"VIP",S311&gt;=40000,"Gold",S311&gt;=15000,"Silver",TRUE,"Bronze")</f>
        <v>VIP</v>
      </c>
    </row>
    <row r="312" spans="1:36" x14ac:dyDescent="0.3">
      <c r="A312" s="3" t="s">
        <v>878</v>
      </c>
      <c r="B312" s="15">
        <v>46380</v>
      </c>
      <c r="C312" s="15">
        <v>46384</v>
      </c>
      <c r="D312" s="3" t="s">
        <v>879</v>
      </c>
      <c r="E312" s="3" t="s">
        <v>880</v>
      </c>
      <c r="F312" s="3" t="s">
        <v>39</v>
      </c>
      <c r="G312" s="3">
        <v>42</v>
      </c>
      <c r="H312" s="3" t="s">
        <v>78</v>
      </c>
      <c r="I312" s="3" t="s">
        <v>79</v>
      </c>
      <c r="J312" s="3" t="s">
        <v>80</v>
      </c>
      <c r="K312" s="3" t="s">
        <v>105</v>
      </c>
      <c r="L312" s="3" t="s">
        <v>112</v>
      </c>
      <c r="M312" s="3" t="s">
        <v>113</v>
      </c>
      <c r="N312" s="3" t="s">
        <v>114</v>
      </c>
      <c r="O312" s="3" t="s">
        <v>115</v>
      </c>
      <c r="P312" s="3">
        <v>1</v>
      </c>
      <c r="Q312" s="9">
        <v>3500</v>
      </c>
      <c r="R312" s="6">
        <v>0.1</v>
      </c>
      <c r="S312" s="12">
        <f t="shared" si="52"/>
        <v>3150</v>
      </c>
      <c r="T312" s="12">
        <v>2500</v>
      </c>
      <c r="U312" s="9">
        <f t="shared" si="53"/>
        <v>650</v>
      </c>
      <c r="V312" s="6">
        <f t="shared" si="54"/>
        <v>0.20634920634920634</v>
      </c>
      <c r="W312" s="3" t="s">
        <v>65</v>
      </c>
      <c r="X312" s="3" t="s">
        <v>49</v>
      </c>
      <c r="Y312" s="3">
        <f t="shared" si="55"/>
        <v>4</v>
      </c>
      <c r="Z312" s="3" t="str">
        <f t="shared" si="56"/>
        <v>Regular</v>
      </c>
      <c r="AA312" s="3">
        <v>2</v>
      </c>
      <c r="AB312" s="3" t="str">
        <f t="shared" si="57"/>
        <v>Average</v>
      </c>
      <c r="AC312" s="3" t="str">
        <f t="shared" si="58"/>
        <v>December</v>
      </c>
      <c r="AD312" s="3" t="str">
        <f t="shared" si="59"/>
        <v>Q4</v>
      </c>
      <c r="AE312" s="3">
        <f t="shared" si="60"/>
        <v>2026</v>
      </c>
      <c r="AF312" s="3" t="str">
        <f t="shared" si="61"/>
        <v>Thursday</v>
      </c>
      <c r="AG312" s="3" t="str">
        <f t="shared" si="62"/>
        <v>36-45</v>
      </c>
      <c r="AH312" s="3" t="str">
        <f t="shared" si="63"/>
        <v>Small</v>
      </c>
      <c r="AI312" s="3" t="str">
        <f t="shared" si="64"/>
        <v>Medium</v>
      </c>
      <c r="AJ312" s="3" t="str" cm="1">
        <f t="array" ref="AJ312">_xlfn.IFS(S312&gt;=80000,"VIP",S312&gt;=40000,"Gold",S312&gt;=15000,"Silver",TRUE,"Bronze")</f>
        <v>Bronze</v>
      </c>
    </row>
    <row r="313" spans="1:36" x14ac:dyDescent="0.3">
      <c r="A313" s="3" t="s">
        <v>881</v>
      </c>
      <c r="B313" s="15">
        <v>46088</v>
      </c>
      <c r="C313" s="15">
        <v>46094</v>
      </c>
      <c r="D313" s="3" t="s">
        <v>882</v>
      </c>
      <c r="E313" s="3" t="s">
        <v>883</v>
      </c>
      <c r="F313" s="3" t="s">
        <v>39</v>
      </c>
      <c r="G313" s="3">
        <v>29</v>
      </c>
      <c r="H313" s="3" t="s">
        <v>53</v>
      </c>
      <c r="I313" s="3" t="s">
        <v>41</v>
      </c>
      <c r="J313" s="3" t="s">
        <v>42</v>
      </c>
      <c r="K313" s="3" t="s">
        <v>54</v>
      </c>
      <c r="L313" s="3" t="s">
        <v>173</v>
      </c>
      <c r="M313" s="3" t="s">
        <v>45</v>
      </c>
      <c r="N313" s="3" t="s">
        <v>46</v>
      </c>
      <c r="O313" s="3" t="s">
        <v>55</v>
      </c>
      <c r="P313" s="3">
        <v>3</v>
      </c>
      <c r="Q313" s="9">
        <v>79900</v>
      </c>
      <c r="R313" s="6">
        <v>0.1</v>
      </c>
      <c r="S313" s="12">
        <f t="shared" si="52"/>
        <v>215730</v>
      </c>
      <c r="T313" s="12">
        <v>65000</v>
      </c>
      <c r="U313" s="9">
        <f t="shared" si="53"/>
        <v>20730</v>
      </c>
      <c r="V313" s="6">
        <f t="shared" si="54"/>
        <v>9.6092337644277576E-2</v>
      </c>
      <c r="W313" s="3" t="s">
        <v>92</v>
      </c>
      <c r="X313" s="3" t="s">
        <v>74</v>
      </c>
      <c r="Y313" s="3">
        <f t="shared" si="55"/>
        <v>6</v>
      </c>
      <c r="Z313" s="3" t="str">
        <f t="shared" si="56"/>
        <v>Premium</v>
      </c>
      <c r="AA313" s="3">
        <v>3</v>
      </c>
      <c r="AB313" s="3" t="str">
        <f t="shared" si="57"/>
        <v>Average</v>
      </c>
      <c r="AC313" s="3" t="str">
        <f t="shared" si="58"/>
        <v>March</v>
      </c>
      <c r="AD313" s="3" t="str">
        <f t="shared" si="59"/>
        <v>Q1</v>
      </c>
      <c r="AE313" s="3">
        <f t="shared" si="60"/>
        <v>2026</v>
      </c>
      <c r="AF313" s="3" t="str">
        <f t="shared" si="61"/>
        <v>Saturday</v>
      </c>
      <c r="AG313" s="3" t="str">
        <f t="shared" si="62"/>
        <v>26-35</v>
      </c>
      <c r="AH313" s="3" t="str">
        <f t="shared" si="63"/>
        <v>Large</v>
      </c>
      <c r="AI313" s="3" t="str">
        <f t="shared" si="64"/>
        <v>Medium</v>
      </c>
      <c r="AJ313" s="3" t="str" cm="1">
        <f t="array" ref="AJ313">_xlfn.IFS(S313&gt;=80000,"VIP",S313&gt;=40000,"Gold",S313&gt;=15000,"Silver",TRUE,"Bronze")</f>
        <v>VIP</v>
      </c>
    </row>
    <row r="314" spans="1:36" x14ac:dyDescent="0.3">
      <c r="A314" s="3" t="s">
        <v>884</v>
      </c>
      <c r="B314" s="15">
        <v>46367</v>
      </c>
      <c r="C314" s="15">
        <v>46372</v>
      </c>
      <c r="D314" s="3" t="s">
        <v>885</v>
      </c>
      <c r="E314" s="3" t="s">
        <v>263</v>
      </c>
      <c r="F314" s="3" t="s">
        <v>39</v>
      </c>
      <c r="G314" s="3">
        <v>25</v>
      </c>
      <c r="H314" s="3" t="s">
        <v>53</v>
      </c>
      <c r="I314" s="3" t="s">
        <v>41</v>
      </c>
      <c r="J314" s="3" t="s">
        <v>42</v>
      </c>
      <c r="K314" s="3" t="s">
        <v>90</v>
      </c>
      <c r="L314" s="3" t="s">
        <v>122</v>
      </c>
      <c r="M314" s="3" t="s">
        <v>45</v>
      </c>
      <c r="N314" s="3" t="s">
        <v>91</v>
      </c>
      <c r="O314" s="3" t="s">
        <v>123</v>
      </c>
      <c r="P314" s="3">
        <v>4</v>
      </c>
      <c r="Q314" s="9">
        <v>2500</v>
      </c>
      <c r="R314" s="6">
        <v>0.08</v>
      </c>
      <c r="S314" s="12">
        <f t="shared" si="52"/>
        <v>9200</v>
      </c>
      <c r="T314" s="12">
        <v>1700</v>
      </c>
      <c r="U314" s="9">
        <f t="shared" si="53"/>
        <v>2400</v>
      </c>
      <c r="V314" s="6">
        <f t="shared" si="54"/>
        <v>0.2608695652173913</v>
      </c>
      <c r="W314" s="3" t="s">
        <v>48</v>
      </c>
      <c r="X314" s="3" t="s">
        <v>106</v>
      </c>
      <c r="Y314" s="3">
        <f t="shared" si="55"/>
        <v>5</v>
      </c>
      <c r="Z314" s="3" t="str">
        <f t="shared" si="56"/>
        <v>Regular</v>
      </c>
      <c r="AA314" s="3">
        <v>2</v>
      </c>
      <c r="AB314" s="3" t="str">
        <f t="shared" si="57"/>
        <v>Average</v>
      </c>
      <c r="AC314" s="3" t="str">
        <f t="shared" si="58"/>
        <v>December</v>
      </c>
      <c r="AD314" s="3" t="str">
        <f t="shared" si="59"/>
        <v>Q4</v>
      </c>
      <c r="AE314" s="3">
        <f t="shared" si="60"/>
        <v>2026</v>
      </c>
      <c r="AF314" s="3" t="str">
        <f t="shared" si="61"/>
        <v>Friday</v>
      </c>
      <c r="AG314" s="3" t="str">
        <f t="shared" si="62"/>
        <v>18-25</v>
      </c>
      <c r="AH314" s="3" t="str">
        <f t="shared" si="63"/>
        <v>Small</v>
      </c>
      <c r="AI314" s="3" t="str">
        <f t="shared" si="64"/>
        <v>Medium</v>
      </c>
      <c r="AJ314" s="3" t="str" cm="1">
        <f t="array" ref="AJ314">_xlfn.IFS(S314&gt;=80000,"VIP",S314&gt;=40000,"Gold",S314&gt;=15000,"Silver",TRUE,"Bronze")</f>
        <v>Bronze</v>
      </c>
    </row>
    <row r="315" spans="1:36" x14ac:dyDescent="0.3">
      <c r="A315" s="3" t="s">
        <v>886</v>
      </c>
      <c r="B315" s="15">
        <v>46162</v>
      </c>
      <c r="C315" s="15">
        <v>46167</v>
      </c>
      <c r="D315" s="3" t="s">
        <v>887</v>
      </c>
      <c r="E315" s="3" t="s">
        <v>888</v>
      </c>
      <c r="F315" s="3" t="s">
        <v>52</v>
      </c>
      <c r="G315" s="3">
        <v>48</v>
      </c>
      <c r="H315" s="3" t="s">
        <v>40</v>
      </c>
      <c r="I315" s="3" t="s">
        <v>41</v>
      </c>
      <c r="J315" s="3" t="s">
        <v>42</v>
      </c>
      <c r="K315" s="3" t="s">
        <v>105</v>
      </c>
      <c r="L315" s="3" t="s">
        <v>112</v>
      </c>
      <c r="M315" s="3" t="s">
        <v>113</v>
      </c>
      <c r="N315" s="3" t="s">
        <v>114</v>
      </c>
      <c r="O315" s="3" t="s">
        <v>115</v>
      </c>
      <c r="P315" s="3">
        <v>2</v>
      </c>
      <c r="Q315" s="9">
        <v>3500</v>
      </c>
      <c r="R315" s="6">
        <v>0.2</v>
      </c>
      <c r="S315" s="12">
        <f t="shared" si="52"/>
        <v>5600</v>
      </c>
      <c r="T315" s="12">
        <v>2500</v>
      </c>
      <c r="U315" s="9">
        <f t="shared" si="53"/>
        <v>600</v>
      </c>
      <c r="V315" s="6">
        <f t="shared" si="54"/>
        <v>0.10714285714285714</v>
      </c>
      <c r="W315" s="3" t="s">
        <v>48</v>
      </c>
      <c r="X315" s="3" t="s">
        <v>101</v>
      </c>
      <c r="Y315" s="3">
        <f t="shared" si="55"/>
        <v>5</v>
      </c>
      <c r="Z315" s="3" t="str">
        <f t="shared" si="56"/>
        <v>Regular</v>
      </c>
      <c r="AA315" s="3">
        <v>5</v>
      </c>
      <c r="AB315" s="3" t="str">
        <f t="shared" si="57"/>
        <v>Excellent</v>
      </c>
      <c r="AC315" s="3" t="str">
        <f t="shared" si="58"/>
        <v>May</v>
      </c>
      <c r="AD315" s="3" t="str">
        <f t="shared" si="59"/>
        <v>Q2</v>
      </c>
      <c r="AE315" s="3">
        <f t="shared" si="60"/>
        <v>2026</v>
      </c>
      <c r="AF315" s="3" t="str">
        <f t="shared" si="61"/>
        <v>Wednesday</v>
      </c>
      <c r="AG315" s="3" t="str">
        <f t="shared" si="62"/>
        <v>46+</v>
      </c>
      <c r="AH315" s="3" t="str">
        <f t="shared" si="63"/>
        <v>Small</v>
      </c>
      <c r="AI315" s="3" t="str">
        <f t="shared" si="64"/>
        <v>High</v>
      </c>
      <c r="AJ315" s="3" t="str" cm="1">
        <f t="array" ref="AJ315">_xlfn.IFS(S315&gt;=80000,"VIP",S315&gt;=40000,"Gold",S315&gt;=15000,"Silver",TRUE,"Bronze")</f>
        <v>Bronze</v>
      </c>
    </row>
    <row r="316" spans="1:36" x14ac:dyDescent="0.3">
      <c r="A316" s="3" t="s">
        <v>889</v>
      </c>
      <c r="B316" s="15">
        <v>46130</v>
      </c>
      <c r="C316" s="15">
        <v>46133</v>
      </c>
      <c r="D316" s="3" t="s">
        <v>890</v>
      </c>
      <c r="E316" s="3" t="s">
        <v>862</v>
      </c>
      <c r="F316" s="3" t="s">
        <v>39</v>
      </c>
      <c r="G316" s="3">
        <v>45</v>
      </c>
      <c r="H316" s="3" t="s">
        <v>110</v>
      </c>
      <c r="I316" s="3" t="s">
        <v>111</v>
      </c>
      <c r="J316" s="3" t="s">
        <v>80</v>
      </c>
      <c r="K316" s="3" t="s">
        <v>62</v>
      </c>
      <c r="L316" s="3" t="s">
        <v>163</v>
      </c>
      <c r="M316" s="3" t="s">
        <v>45</v>
      </c>
      <c r="N316" s="3" t="s">
        <v>63</v>
      </c>
      <c r="O316" s="3" t="s">
        <v>64</v>
      </c>
      <c r="P316" s="3">
        <v>3</v>
      </c>
      <c r="Q316" s="9">
        <v>62000</v>
      </c>
      <c r="R316" s="6">
        <v>0.08</v>
      </c>
      <c r="S316" s="12">
        <f t="shared" si="52"/>
        <v>171120</v>
      </c>
      <c r="T316" s="12">
        <v>52000</v>
      </c>
      <c r="U316" s="9">
        <f t="shared" si="53"/>
        <v>15120</v>
      </c>
      <c r="V316" s="6">
        <f t="shared" si="54"/>
        <v>8.8359046283309955E-2</v>
      </c>
      <c r="W316" s="3" t="s">
        <v>65</v>
      </c>
      <c r="X316" s="3" t="s">
        <v>106</v>
      </c>
      <c r="Y316" s="3">
        <f t="shared" si="55"/>
        <v>3</v>
      </c>
      <c r="Z316" s="3" t="str">
        <f t="shared" si="56"/>
        <v>Premium</v>
      </c>
      <c r="AA316" s="3">
        <v>5</v>
      </c>
      <c r="AB316" s="3" t="str">
        <f t="shared" si="57"/>
        <v>Excellent</v>
      </c>
      <c r="AC316" s="3" t="str">
        <f t="shared" si="58"/>
        <v>April</v>
      </c>
      <c r="AD316" s="3" t="str">
        <f t="shared" si="59"/>
        <v>Q2</v>
      </c>
      <c r="AE316" s="3">
        <f t="shared" si="60"/>
        <v>2026</v>
      </c>
      <c r="AF316" s="3" t="str">
        <f t="shared" si="61"/>
        <v>Saturday</v>
      </c>
      <c r="AG316" s="3" t="str">
        <f t="shared" si="62"/>
        <v>36-45</v>
      </c>
      <c r="AH316" s="3" t="str">
        <f t="shared" si="63"/>
        <v>Large</v>
      </c>
      <c r="AI316" s="3" t="str">
        <f t="shared" si="64"/>
        <v>Medium</v>
      </c>
      <c r="AJ316" s="3" t="str" cm="1">
        <f t="array" ref="AJ316">_xlfn.IFS(S316&gt;=80000,"VIP",S316&gt;=40000,"Gold",S316&gt;=15000,"Silver",TRUE,"Bronze")</f>
        <v>VIP</v>
      </c>
    </row>
    <row r="317" spans="1:36" x14ac:dyDescent="0.3">
      <c r="A317" s="3" t="s">
        <v>891</v>
      </c>
      <c r="B317" s="15">
        <v>46212</v>
      </c>
      <c r="C317" s="15">
        <v>46214</v>
      </c>
      <c r="D317" s="3" t="s">
        <v>892</v>
      </c>
      <c r="E317" s="3" t="s">
        <v>165</v>
      </c>
      <c r="F317" s="3" t="s">
        <v>52</v>
      </c>
      <c r="G317" s="3">
        <v>41</v>
      </c>
      <c r="H317" s="3" t="s">
        <v>88</v>
      </c>
      <c r="I317" s="3" t="s">
        <v>89</v>
      </c>
      <c r="J317" s="3" t="s">
        <v>80</v>
      </c>
      <c r="K317" s="3" t="s">
        <v>43</v>
      </c>
      <c r="L317" s="3" t="s">
        <v>44</v>
      </c>
      <c r="M317" s="3" t="s">
        <v>45</v>
      </c>
      <c r="N317" s="3" t="s">
        <v>46</v>
      </c>
      <c r="O317" s="3" t="s">
        <v>47</v>
      </c>
      <c r="P317" s="3">
        <v>4</v>
      </c>
      <c r="Q317" s="9">
        <v>28500</v>
      </c>
      <c r="R317" s="6">
        <v>0.15</v>
      </c>
      <c r="S317" s="12">
        <f t="shared" si="52"/>
        <v>96900</v>
      </c>
      <c r="T317" s="12">
        <v>22000</v>
      </c>
      <c r="U317" s="9">
        <f t="shared" si="53"/>
        <v>8900</v>
      </c>
      <c r="V317" s="6">
        <f t="shared" si="54"/>
        <v>9.1847265221878222E-2</v>
      </c>
      <c r="W317" s="3" t="s">
        <v>100</v>
      </c>
      <c r="X317" s="3" t="s">
        <v>101</v>
      </c>
      <c r="Y317" s="3">
        <f t="shared" si="55"/>
        <v>2</v>
      </c>
      <c r="Z317" s="3" t="str">
        <f t="shared" si="56"/>
        <v>Premium</v>
      </c>
      <c r="AA317" s="3">
        <v>4</v>
      </c>
      <c r="AB317" s="3" t="str">
        <f t="shared" si="57"/>
        <v>Excellent</v>
      </c>
      <c r="AC317" s="3" t="str">
        <f t="shared" si="58"/>
        <v>July</v>
      </c>
      <c r="AD317" s="3" t="str">
        <f t="shared" si="59"/>
        <v>Q3</v>
      </c>
      <c r="AE317" s="3">
        <f t="shared" si="60"/>
        <v>2026</v>
      </c>
      <c r="AF317" s="3" t="str">
        <f t="shared" si="61"/>
        <v>Thursday</v>
      </c>
      <c r="AG317" s="3" t="str">
        <f t="shared" si="62"/>
        <v>36-45</v>
      </c>
      <c r="AH317" s="3" t="str">
        <f t="shared" si="63"/>
        <v>Large</v>
      </c>
      <c r="AI317" s="3" t="str">
        <f t="shared" si="64"/>
        <v>Medium</v>
      </c>
      <c r="AJ317" s="3" t="str" cm="1">
        <f t="array" ref="AJ317">_xlfn.IFS(S317&gt;=80000,"VIP",S317&gt;=40000,"Gold",S317&gt;=15000,"Silver",TRUE,"Bronze")</f>
        <v>VIP</v>
      </c>
    </row>
    <row r="318" spans="1:36" x14ac:dyDescent="0.3">
      <c r="A318" s="3" t="s">
        <v>893</v>
      </c>
      <c r="B318" s="15">
        <v>46024</v>
      </c>
      <c r="C318" s="15">
        <v>46029</v>
      </c>
      <c r="D318" s="3" t="s">
        <v>894</v>
      </c>
      <c r="E318" s="3" t="s">
        <v>317</v>
      </c>
      <c r="F318" s="3" t="s">
        <v>52</v>
      </c>
      <c r="G318" s="3">
        <v>26</v>
      </c>
      <c r="H318" s="3" t="s">
        <v>119</v>
      </c>
      <c r="I318" s="3" t="s">
        <v>120</v>
      </c>
      <c r="J318" s="3" t="s">
        <v>121</v>
      </c>
      <c r="K318" s="3" t="s">
        <v>70</v>
      </c>
      <c r="L318" s="3" t="s">
        <v>71</v>
      </c>
      <c r="M318" s="3" t="s">
        <v>45</v>
      </c>
      <c r="N318" s="3" t="s">
        <v>63</v>
      </c>
      <c r="O318" s="3" t="s">
        <v>72</v>
      </c>
      <c r="P318" s="3">
        <v>4</v>
      </c>
      <c r="Q318" s="9">
        <v>58000</v>
      </c>
      <c r="R318" s="6">
        <v>0.12</v>
      </c>
      <c r="S318" s="12">
        <f t="shared" si="52"/>
        <v>204160</v>
      </c>
      <c r="T318" s="12">
        <v>49000</v>
      </c>
      <c r="U318" s="9">
        <f t="shared" si="53"/>
        <v>8160</v>
      </c>
      <c r="V318" s="6">
        <f t="shared" si="54"/>
        <v>3.9968652037617555E-2</v>
      </c>
      <c r="W318" s="3" t="s">
        <v>100</v>
      </c>
      <c r="X318" s="3" t="s">
        <v>101</v>
      </c>
      <c r="Y318" s="3">
        <f t="shared" si="55"/>
        <v>5</v>
      </c>
      <c r="Z318" s="3" t="str">
        <f t="shared" si="56"/>
        <v>Premium</v>
      </c>
      <c r="AA318" s="3">
        <v>5</v>
      </c>
      <c r="AB318" s="3" t="str">
        <f t="shared" si="57"/>
        <v>Excellent</v>
      </c>
      <c r="AC318" s="3" t="str">
        <f t="shared" si="58"/>
        <v>January</v>
      </c>
      <c r="AD318" s="3" t="str">
        <f t="shared" si="59"/>
        <v>Q1</v>
      </c>
      <c r="AE318" s="3">
        <f t="shared" si="60"/>
        <v>2026</v>
      </c>
      <c r="AF318" s="3" t="str">
        <f t="shared" si="61"/>
        <v>Friday</v>
      </c>
      <c r="AG318" s="3" t="str">
        <f t="shared" si="62"/>
        <v>26-35</v>
      </c>
      <c r="AH318" s="3" t="str">
        <f t="shared" si="63"/>
        <v>Large</v>
      </c>
      <c r="AI318" s="3" t="str">
        <f t="shared" si="64"/>
        <v>Medium</v>
      </c>
      <c r="AJ318" s="3" t="str" cm="1">
        <f t="array" ref="AJ318">_xlfn.IFS(S318&gt;=80000,"VIP",S318&gt;=40000,"Gold",S318&gt;=15000,"Silver",TRUE,"Bronze")</f>
        <v>VIP</v>
      </c>
    </row>
    <row r="319" spans="1:36" x14ac:dyDescent="0.3">
      <c r="A319" s="3" t="s">
        <v>895</v>
      </c>
      <c r="B319" s="15">
        <v>46103</v>
      </c>
      <c r="C319" s="15">
        <v>46108</v>
      </c>
      <c r="D319" s="3" t="s">
        <v>896</v>
      </c>
      <c r="E319" s="3" t="s">
        <v>897</v>
      </c>
      <c r="F319" s="3" t="s">
        <v>39</v>
      </c>
      <c r="G319" s="3">
        <v>34</v>
      </c>
      <c r="H319" s="3" t="s">
        <v>53</v>
      </c>
      <c r="I319" s="3" t="s">
        <v>41</v>
      </c>
      <c r="J319" s="3" t="s">
        <v>42</v>
      </c>
      <c r="K319" s="3" t="s">
        <v>96</v>
      </c>
      <c r="L319" s="3" t="s">
        <v>166</v>
      </c>
      <c r="M319" s="3" t="s">
        <v>97</v>
      </c>
      <c r="N319" s="3" t="s">
        <v>98</v>
      </c>
      <c r="O319" s="3" t="s">
        <v>99</v>
      </c>
      <c r="P319" s="3">
        <v>2</v>
      </c>
      <c r="Q319" s="9">
        <v>4500</v>
      </c>
      <c r="R319" s="6">
        <v>0.2</v>
      </c>
      <c r="S319" s="12">
        <f t="shared" si="52"/>
        <v>7200</v>
      </c>
      <c r="T319" s="12">
        <v>3000</v>
      </c>
      <c r="U319" s="9">
        <f t="shared" si="53"/>
        <v>1200</v>
      </c>
      <c r="V319" s="6">
        <f t="shared" si="54"/>
        <v>0.16666666666666666</v>
      </c>
      <c r="W319" s="3" t="s">
        <v>92</v>
      </c>
      <c r="X319" s="3" t="s">
        <v>74</v>
      </c>
      <c r="Y319" s="3">
        <f t="shared" si="55"/>
        <v>5</v>
      </c>
      <c r="Z319" s="3" t="str">
        <f t="shared" si="56"/>
        <v>Regular</v>
      </c>
      <c r="AA319" s="3">
        <v>3</v>
      </c>
      <c r="AB319" s="3" t="str">
        <f t="shared" si="57"/>
        <v>Average</v>
      </c>
      <c r="AC319" s="3" t="str">
        <f t="shared" si="58"/>
        <v>March</v>
      </c>
      <c r="AD319" s="3" t="str">
        <f t="shared" si="59"/>
        <v>Q1</v>
      </c>
      <c r="AE319" s="3">
        <f t="shared" si="60"/>
        <v>2026</v>
      </c>
      <c r="AF319" s="3" t="str">
        <f t="shared" si="61"/>
        <v>Sunday</v>
      </c>
      <c r="AG319" s="3" t="str">
        <f t="shared" si="62"/>
        <v>26-35</v>
      </c>
      <c r="AH319" s="3" t="str">
        <f t="shared" si="63"/>
        <v>Small</v>
      </c>
      <c r="AI319" s="3" t="str">
        <f t="shared" si="64"/>
        <v>High</v>
      </c>
      <c r="AJ319" s="3" t="str" cm="1">
        <f t="array" ref="AJ319">_xlfn.IFS(S319&gt;=80000,"VIP",S319&gt;=40000,"Gold",S319&gt;=15000,"Silver",TRUE,"Bronze")</f>
        <v>Bronze</v>
      </c>
    </row>
    <row r="320" spans="1:36" x14ac:dyDescent="0.3">
      <c r="A320" s="3" t="s">
        <v>898</v>
      </c>
      <c r="B320" s="15">
        <v>46089</v>
      </c>
      <c r="C320" s="15">
        <v>46092</v>
      </c>
      <c r="D320" s="3" t="s">
        <v>899</v>
      </c>
      <c r="E320" s="3" t="s">
        <v>900</v>
      </c>
      <c r="F320" s="3" t="s">
        <v>39</v>
      </c>
      <c r="G320" s="3">
        <v>40</v>
      </c>
      <c r="H320" s="3" t="s">
        <v>88</v>
      </c>
      <c r="I320" s="3" t="s">
        <v>89</v>
      </c>
      <c r="J320" s="3" t="s">
        <v>80</v>
      </c>
      <c r="K320" s="3" t="s">
        <v>96</v>
      </c>
      <c r="L320" s="3" t="s">
        <v>166</v>
      </c>
      <c r="M320" s="3" t="s">
        <v>97</v>
      </c>
      <c r="N320" s="3" t="s">
        <v>98</v>
      </c>
      <c r="O320" s="3" t="s">
        <v>99</v>
      </c>
      <c r="P320" s="3">
        <v>1</v>
      </c>
      <c r="Q320" s="9">
        <v>4500</v>
      </c>
      <c r="R320" s="6">
        <v>0.05</v>
      </c>
      <c r="S320" s="12">
        <f t="shared" si="52"/>
        <v>4275</v>
      </c>
      <c r="T320" s="12">
        <v>3000</v>
      </c>
      <c r="U320" s="9">
        <f t="shared" si="53"/>
        <v>1275</v>
      </c>
      <c r="V320" s="6">
        <f t="shared" si="54"/>
        <v>0.2982456140350877</v>
      </c>
      <c r="W320" s="3" t="s">
        <v>73</v>
      </c>
      <c r="X320" s="3" t="s">
        <v>49</v>
      </c>
      <c r="Y320" s="3">
        <f t="shared" si="55"/>
        <v>3</v>
      </c>
      <c r="Z320" s="3" t="str">
        <f t="shared" si="56"/>
        <v>Regular</v>
      </c>
      <c r="AA320" s="3">
        <v>4</v>
      </c>
      <c r="AB320" s="3" t="str">
        <f t="shared" si="57"/>
        <v>Excellent</v>
      </c>
      <c r="AC320" s="3" t="str">
        <f t="shared" si="58"/>
        <v>March</v>
      </c>
      <c r="AD320" s="3" t="str">
        <f t="shared" si="59"/>
        <v>Q1</v>
      </c>
      <c r="AE320" s="3">
        <f t="shared" si="60"/>
        <v>2026</v>
      </c>
      <c r="AF320" s="3" t="str">
        <f t="shared" si="61"/>
        <v>Sunday</v>
      </c>
      <c r="AG320" s="3" t="str">
        <f t="shared" si="62"/>
        <v>36-45</v>
      </c>
      <c r="AH320" s="3" t="str">
        <f t="shared" si="63"/>
        <v>Small</v>
      </c>
      <c r="AI320" s="3" t="str">
        <f t="shared" si="64"/>
        <v>Low</v>
      </c>
      <c r="AJ320" s="3" t="str" cm="1">
        <f t="array" ref="AJ320">_xlfn.IFS(S320&gt;=80000,"VIP",S320&gt;=40000,"Gold",S320&gt;=15000,"Silver",TRUE,"Bronze")</f>
        <v>Bronze</v>
      </c>
    </row>
    <row r="321" spans="1:36" x14ac:dyDescent="0.3">
      <c r="A321" s="3" t="s">
        <v>901</v>
      </c>
      <c r="B321" s="15">
        <v>46130</v>
      </c>
      <c r="C321" s="15">
        <v>46135</v>
      </c>
      <c r="D321" s="3" t="s">
        <v>902</v>
      </c>
      <c r="E321" s="3" t="s">
        <v>903</v>
      </c>
      <c r="F321" s="3" t="s">
        <v>52</v>
      </c>
      <c r="G321" s="3">
        <v>30</v>
      </c>
      <c r="H321" s="3" t="s">
        <v>78</v>
      </c>
      <c r="I321" s="3" t="s">
        <v>79</v>
      </c>
      <c r="J321" s="3" t="s">
        <v>80</v>
      </c>
      <c r="K321" s="3" t="s">
        <v>90</v>
      </c>
      <c r="L321" s="3" t="s">
        <v>122</v>
      </c>
      <c r="M321" s="3" t="s">
        <v>45</v>
      </c>
      <c r="N321" s="3" t="s">
        <v>91</v>
      </c>
      <c r="O321" s="3" t="s">
        <v>123</v>
      </c>
      <c r="P321" s="3">
        <v>1</v>
      </c>
      <c r="Q321" s="9">
        <v>2500</v>
      </c>
      <c r="R321" s="6">
        <v>0.05</v>
      </c>
      <c r="S321" s="12">
        <f t="shared" si="52"/>
        <v>2375</v>
      </c>
      <c r="T321" s="12">
        <v>1700</v>
      </c>
      <c r="U321" s="9">
        <f t="shared" si="53"/>
        <v>675</v>
      </c>
      <c r="V321" s="6">
        <f t="shared" si="54"/>
        <v>0.28421052631578947</v>
      </c>
      <c r="W321" s="3" t="s">
        <v>48</v>
      </c>
      <c r="X321" s="3" t="s">
        <v>101</v>
      </c>
      <c r="Y321" s="3">
        <f t="shared" si="55"/>
        <v>5</v>
      </c>
      <c r="Z321" s="3" t="str">
        <f t="shared" si="56"/>
        <v>Regular</v>
      </c>
      <c r="AA321" s="3">
        <v>4</v>
      </c>
      <c r="AB321" s="3" t="str">
        <f t="shared" si="57"/>
        <v>Excellent</v>
      </c>
      <c r="AC321" s="3" t="str">
        <f t="shared" si="58"/>
        <v>April</v>
      </c>
      <c r="AD321" s="3" t="str">
        <f t="shared" si="59"/>
        <v>Q2</v>
      </c>
      <c r="AE321" s="3">
        <f t="shared" si="60"/>
        <v>2026</v>
      </c>
      <c r="AF321" s="3" t="str">
        <f t="shared" si="61"/>
        <v>Saturday</v>
      </c>
      <c r="AG321" s="3" t="str">
        <f t="shared" si="62"/>
        <v>26-35</v>
      </c>
      <c r="AH321" s="3" t="str">
        <f t="shared" si="63"/>
        <v>Small</v>
      </c>
      <c r="AI321" s="3" t="str">
        <f t="shared" si="64"/>
        <v>Low</v>
      </c>
      <c r="AJ321" s="3" t="str" cm="1">
        <f t="array" ref="AJ321">_xlfn.IFS(S321&gt;=80000,"VIP",S321&gt;=40000,"Gold",S321&gt;=15000,"Silver",TRUE,"Bronze")</f>
        <v>Bronze</v>
      </c>
    </row>
    <row r="322" spans="1:36" x14ac:dyDescent="0.3">
      <c r="A322" s="3" t="s">
        <v>904</v>
      </c>
      <c r="B322" s="15">
        <v>46296</v>
      </c>
      <c r="C322" s="15">
        <v>46300</v>
      </c>
      <c r="D322" s="3" t="s">
        <v>905</v>
      </c>
      <c r="E322" s="3" t="s">
        <v>263</v>
      </c>
      <c r="F322" s="3" t="s">
        <v>52</v>
      </c>
      <c r="G322" s="3">
        <v>24</v>
      </c>
      <c r="H322" s="3" t="s">
        <v>53</v>
      </c>
      <c r="I322" s="3" t="s">
        <v>41</v>
      </c>
      <c r="J322" s="3" t="s">
        <v>42</v>
      </c>
      <c r="K322" s="3" t="s">
        <v>70</v>
      </c>
      <c r="L322" s="3" t="s">
        <v>71</v>
      </c>
      <c r="M322" s="3" t="s">
        <v>45</v>
      </c>
      <c r="N322" s="3" t="s">
        <v>63</v>
      </c>
      <c r="O322" s="3" t="s">
        <v>72</v>
      </c>
      <c r="P322" s="3">
        <v>5</v>
      </c>
      <c r="Q322" s="9">
        <v>58000</v>
      </c>
      <c r="R322" s="6">
        <v>0.1</v>
      </c>
      <c r="S322" s="12">
        <f t="shared" ref="S322:S385" si="65">P322*Q322*(1-R322)</f>
        <v>261000</v>
      </c>
      <c r="T322" s="12">
        <v>49000</v>
      </c>
      <c r="U322" s="9">
        <f t="shared" ref="U322:U385" si="66">S322-(T322*P322)</f>
        <v>16000</v>
      </c>
      <c r="V322" s="6">
        <f t="shared" ref="V322:V385" si="67">U322/S322</f>
        <v>6.1302681992337162E-2</v>
      </c>
      <c r="W322" s="3" t="s">
        <v>73</v>
      </c>
      <c r="X322" s="3" t="s">
        <v>106</v>
      </c>
      <c r="Y322" s="3">
        <f t="shared" ref="Y322:Y385" si="68">C322-B322</f>
        <v>4</v>
      </c>
      <c r="Z322" s="3" t="str">
        <f t="shared" ref="Z322:Z385" si="69">IF(S322&gt;=50000,"Premium","Regular")</f>
        <v>Premium</v>
      </c>
      <c r="AA322" s="3">
        <v>3</v>
      </c>
      <c r="AB322" s="3" t="str">
        <f t="shared" ref="AB322:AB385" si="70">IF(AA322&gt;=4,"Excellent","Average")</f>
        <v>Average</v>
      </c>
      <c r="AC322" s="3" t="str">
        <f t="shared" ref="AC322:AC385" si="71">TEXT(B322,"mmmm")</f>
        <v>October</v>
      </c>
      <c r="AD322" s="3" t="str">
        <f t="shared" ref="AD322:AD385" si="72">"Q"&amp;ROUNDUP(MONTH(B322)/3,0)</f>
        <v>Q4</v>
      </c>
      <c r="AE322" s="3">
        <f t="shared" ref="AE322:AE385" si="73">YEAR(B322)</f>
        <v>2026</v>
      </c>
      <c r="AF322" s="3" t="str">
        <f t="shared" ref="AF322:AF385" si="74">TEXT(B322,"dddd")</f>
        <v>Thursday</v>
      </c>
      <c r="AG322" s="3" t="str">
        <f t="shared" ref="AG322:AG385" si="75">IF(G322&lt;=25,"18-25",IF(G322&lt;=35,"26-35",IF(G322&lt;=45,"36-45","46+")))</f>
        <v>18-25</v>
      </c>
      <c r="AH322" s="3" t="str">
        <f t="shared" ref="AH322:AH385" si="76">IF(S322&lt;10000,"Small",IF(S322&lt;30000,"Medium","Large"))</f>
        <v>Large</v>
      </c>
      <c r="AI322" s="3" t="str">
        <f t="shared" ref="AI322:AI385" si="77">IF(R322&lt;=5%,"Low",IF(R322&lt;=15%,"Medium","High"))</f>
        <v>Medium</v>
      </c>
      <c r="AJ322" s="3" t="str" cm="1">
        <f t="array" ref="AJ322">_xlfn.IFS(S322&gt;=80000,"VIP",S322&gt;=40000,"Gold",S322&gt;=15000,"Silver",TRUE,"Bronze")</f>
        <v>VIP</v>
      </c>
    </row>
    <row r="323" spans="1:36" x14ac:dyDescent="0.3">
      <c r="A323" s="3" t="s">
        <v>906</v>
      </c>
      <c r="B323" s="15">
        <v>46184</v>
      </c>
      <c r="C323" s="15">
        <v>46186</v>
      </c>
      <c r="D323" s="3" t="s">
        <v>907</v>
      </c>
      <c r="E323" s="3" t="s">
        <v>520</v>
      </c>
      <c r="F323" s="3" t="s">
        <v>39</v>
      </c>
      <c r="G323" s="3">
        <v>22</v>
      </c>
      <c r="H323" s="3" t="s">
        <v>110</v>
      </c>
      <c r="I323" s="3" t="s">
        <v>111</v>
      </c>
      <c r="J323" s="3" t="s">
        <v>80</v>
      </c>
      <c r="K323" s="3" t="s">
        <v>81</v>
      </c>
      <c r="L323" s="3" t="s">
        <v>82</v>
      </c>
      <c r="M323" s="3" t="s">
        <v>45</v>
      </c>
      <c r="N323" s="3" t="s">
        <v>83</v>
      </c>
      <c r="O323" s="3" t="s">
        <v>84</v>
      </c>
      <c r="P323" s="3">
        <v>5</v>
      </c>
      <c r="Q323" s="9">
        <v>42000</v>
      </c>
      <c r="R323" s="6">
        <v>0.08</v>
      </c>
      <c r="S323" s="12">
        <f t="shared" si="65"/>
        <v>193200</v>
      </c>
      <c r="T323" s="12">
        <v>35000</v>
      </c>
      <c r="U323" s="9">
        <f t="shared" si="66"/>
        <v>18200</v>
      </c>
      <c r="V323" s="6">
        <f t="shared" si="67"/>
        <v>9.420289855072464E-2</v>
      </c>
      <c r="W323" s="3" t="s">
        <v>48</v>
      </c>
      <c r="X323" s="3" t="s">
        <v>106</v>
      </c>
      <c r="Y323" s="3">
        <f t="shared" si="68"/>
        <v>2</v>
      </c>
      <c r="Z323" s="3" t="str">
        <f t="shared" si="69"/>
        <v>Premium</v>
      </c>
      <c r="AA323" s="3">
        <v>5</v>
      </c>
      <c r="AB323" s="3" t="str">
        <f t="shared" si="70"/>
        <v>Excellent</v>
      </c>
      <c r="AC323" s="3" t="str">
        <f t="shared" si="71"/>
        <v>June</v>
      </c>
      <c r="AD323" s="3" t="str">
        <f t="shared" si="72"/>
        <v>Q2</v>
      </c>
      <c r="AE323" s="3">
        <f t="shared" si="73"/>
        <v>2026</v>
      </c>
      <c r="AF323" s="3" t="str">
        <f t="shared" si="74"/>
        <v>Thursday</v>
      </c>
      <c r="AG323" s="3" t="str">
        <f t="shared" si="75"/>
        <v>18-25</v>
      </c>
      <c r="AH323" s="3" t="str">
        <f t="shared" si="76"/>
        <v>Large</v>
      </c>
      <c r="AI323" s="3" t="str">
        <f t="shared" si="77"/>
        <v>Medium</v>
      </c>
      <c r="AJ323" s="3" t="str" cm="1">
        <f t="array" ref="AJ323">_xlfn.IFS(S323&gt;=80000,"VIP",S323&gt;=40000,"Gold",S323&gt;=15000,"Silver",TRUE,"Bronze")</f>
        <v>VIP</v>
      </c>
    </row>
    <row r="324" spans="1:36" x14ac:dyDescent="0.3">
      <c r="A324" s="3" t="s">
        <v>908</v>
      </c>
      <c r="B324" s="15">
        <v>46044</v>
      </c>
      <c r="C324" s="15">
        <v>46046</v>
      </c>
      <c r="D324" s="3" t="s">
        <v>909</v>
      </c>
      <c r="E324" s="3" t="s">
        <v>845</v>
      </c>
      <c r="F324" s="3" t="s">
        <v>52</v>
      </c>
      <c r="G324" s="3">
        <v>50</v>
      </c>
      <c r="H324" s="3" t="s">
        <v>88</v>
      </c>
      <c r="I324" s="3" t="s">
        <v>89</v>
      </c>
      <c r="J324" s="3" t="s">
        <v>80</v>
      </c>
      <c r="K324" s="3" t="s">
        <v>105</v>
      </c>
      <c r="L324" s="3" t="s">
        <v>112</v>
      </c>
      <c r="M324" s="3" t="s">
        <v>113</v>
      </c>
      <c r="N324" s="3" t="s">
        <v>114</v>
      </c>
      <c r="O324" s="3" t="s">
        <v>115</v>
      </c>
      <c r="P324" s="3">
        <v>5</v>
      </c>
      <c r="Q324" s="9">
        <v>3500</v>
      </c>
      <c r="R324" s="6">
        <v>0.2</v>
      </c>
      <c r="S324" s="12">
        <f t="shared" si="65"/>
        <v>14000</v>
      </c>
      <c r="T324" s="12">
        <v>2500</v>
      </c>
      <c r="U324" s="9">
        <f t="shared" si="66"/>
        <v>1500</v>
      </c>
      <c r="V324" s="6">
        <f t="shared" si="67"/>
        <v>0.10714285714285714</v>
      </c>
      <c r="W324" s="3" t="s">
        <v>73</v>
      </c>
      <c r="X324" s="3" t="s">
        <v>101</v>
      </c>
      <c r="Y324" s="3">
        <f t="shared" si="68"/>
        <v>2</v>
      </c>
      <c r="Z324" s="3" t="str">
        <f t="shared" si="69"/>
        <v>Regular</v>
      </c>
      <c r="AA324" s="3">
        <v>2</v>
      </c>
      <c r="AB324" s="3" t="str">
        <f t="shared" si="70"/>
        <v>Average</v>
      </c>
      <c r="AC324" s="3" t="str">
        <f t="shared" si="71"/>
        <v>January</v>
      </c>
      <c r="AD324" s="3" t="str">
        <f t="shared" si="72"/>
        <v>Q1</v>
      </c>
      <c r="AE324" s="3">
        <f t="shared" si="73"/>
        <v>2026</v>
      </c>
      <c r="AF324" s="3" t="str">
        <f t="shared" si="74"/>
        <v>Thursday</v>
      </c>
      <c r="AG324" s="3" t="str">
        <f t="shared" si="75"/>
        <v>46+</v>
      </c>
      <c r="AH324" s="3" t="str">
        <f t="shared" si="76"/>
        <v>Medium</v>
      </c>
      <c r="AI324" s="3" t="str">
        <f t="shared" si="77"/>
        <v>High</v>
      </c>
      <c r="AJ324" s="3" t="str" cm="1">
        <f t="array" ref="AJ324">_xlfn.IFS(S324&gt;=80000,"VIP",S324&gt;=40000,"Gold",S324&gt;=15000,"Silver",TRUE,"Bronze")</f>
        <v>Bronze</v>
      </c>
    </row>
    <row r="325" spans="1:36" x14ac:dyDescent="0.3">
      <c r="A325" s="3" t="s">
        <v>910</v>
      </c>
      <c r="B325" s="15">
        <v>46205</v>
      </c>
      <c r="C325" s="15">
        <v>46209</v>
      </c>
      <c r="D325" s="3" t="s">
        <v>911</v>
      </c>
      <c r="E325" s="3" t="s">
        <v>371</v>
      </c>
      <c r="F325" s="3" t="s">
        <v>39</v>
      </c>
      <c r="G325" s="3">
        <v>22</v>
      </c>
      <c r="H325" s="3" t="s">
        <v>78</v>
      </c>
      <c r="I325" s="3" t="s">
        <v>79</v>
      </c>
      <c r="J325" s="3" t="s">
        <v>80</v>
      </c>
      <c r="K325" s="3" t="s">
        <v>62</v>
      </c>
      <c r="L325" s="3" t="s">
        <v>163</v>
      </c>
      <c r="M325" s="3" t="s">
        <v>45</v>
      </c>
      <c r="N325" s="3" t="s">
        <v>63</v>
      </c>
      <c r="O325" s="3" t="s">
        <v>64</v>
      </c>
      <c r="P325" s="3">
        <v>3</v>
      </c>
      <c r="Q325" s="9">
        <v>62000</v>
      </c>
      <c r="R325" s="6">
        <v>0.05</v>
      </c>
      <c r="S325" s="12">
        <f t="shared" si="65"/>
        <v>176700</v>
      </c>
      <c r="T325" s="12">
        <v>52000</v>
      </c>
      <c r="U325" s="9">
        <f t="shared" si="66"/>
        <v>20700</v>
      </c>
      <c r="V325" s="6">
        <f t="shared" si="67"/>
        <v>0.11714770797962648</v>
      </c>
      <c r="W325" s="3" t="s">
        <v>56</v>
      </c>
      <c r="X325" s="3" t="s">
        <v>101</v>
      </c>
      <c r="Y325" s="3">
        <f t="shared" si="68"/>
        <v>4</v>
      </c>
      <c r="Z325" s="3" t="str">
        <f t="shared" si="69"/>
        <v>Premium</v>
      </c>
      <c r="AA325" s="3">
        <v>3</v>
      </c>
      <c r="AB325" s="3" t="str">
        <f t="shared" si="70"/>
        <v>Average</v>
      </c>
      <c r="AC325" s="3" t="str">
        <f t="shared" si="71"/>
        <v>July</v>
      </c>
      <c r="AD325" s="3" t="str">
        <f t="shared" si="72"/>
        <v>Q3</v>
      </c>
      <c r="AE325" s="3">
        <f t="shared" si="73"/>
        <v>2026</v>
      </c>
      <c r="AF325" s="3" t="str">
        <f t="shared" si="74"/>
        <v>Thursday</v>
      </c>
      <c r="AG325" s="3" t="str">
        <f t="shared" si="75"/>
        <v>18-25</v>
      </c>
      <c r="AH325" s="3" t="str">
        <f t="shared" si="76"/>
        <v>Large</v>
      </c>
      <c r="AI325" s="3" t="str">
        <f t="shared" si="77"/>
        <v>Low</v>
      </c>
      <c r="AJ325" s="3" t="str" cm="1">
        <f t="array" ref="AJ325">_xlfn.IFS(S325&gt;=80000,"VIP",S325&gt;=40000,"Gold",S325&gt;=15000,"Silver",TRUE,"Bronze")</f>
        <v>VIP</v>
      </c>
    </row>
    <row r="326" spans="1:36" x14ac:dyDescent="0.3">
      <c r="A326" s="3" t="s">
        <v>912</v>
      </c>
      <c r="B326" s="15">
        <v>46167</v>
      </c>
      <c r="C326" s="15">
        <v>46172</v>
      </c>
      <c r="D326" s="3" t="s">
        <v>913</v>
      </c>
      <c r="E326" s="3" t="s">
        <v>412</v>
      </c>
      <c r="F326" s="3" t="s">
        <v>52</v>
      </c>
      <c r="G326" s="3">
        <v>42</v>
      </c>
      <c r="H326" s="3" t="s">
        <v>78</v>
      </c>
      <c r="I326" s="3" t="s">
        <v>79</v>
      </c>
      <c r="J326" s="3" t="s">
        <v>80</v>
      </c>
      <c r="K326" s="3" t="s">
        <v>105</v>
      </c>
      <c r="L326" s="3" t="s">
        <v>112</v>
      </c>
      <c r="M326" s="3" t="s">
        <v>113</v>
      </c>
      <c r="N326" s="3" t="s">
        <v>114</v>
      </c>
      <c r="O326" s="3" t="s">
        <v>115</v>
      </c>
      <c r="P326" s="3">
        <v>1</v>
      </c>
      <c r="Q326" s="9">
        <v>3500</v>
      </c>
      <c r="R326" s="6">
        <v>0.12</v>
      </c>
      <c r="S326" s="12">
        <f t="shared" si="65"/>
        <v>3080</v>
      </c>
      <c r="T326" s="12">
        <v>2500</v>
      </c>
      <c r="U326" s="9">
        <f t="shared" si="66"/>
        <v>580</v>
      </c>
      <c r="V326" s="6">
        <f t="shared" si="67"/>
        <v>0.18831168831168832</v>
      </c>
      <c r="W326" s="3" t="s">
        <v>92</v>
      </c>
      <c r="X326" s="3" t="s">
        <v>74</v>
      </c>
      <c r="Y326" s="3">
        <f t="shared" si="68"/>
        <v>5</v>
      </c>
      <c r="Z326" s="3" t="str">
        <f t="shared" si="69"/>
        <v>Regular</v>
      </c>
      <c r="AA326" s="3">
        <v>5</v>
      </c>
      <c r="AB326" s="3" t="str">
        <f t="shared" si="70"/>
        <v>Excellent</v>
      </c>
      <c r="AC326" s="3" t="str">
        <f t="shared" si="71"/>
        <v>May</v>
      </c>
      <c r="AD326" s="3" t="str">
        <f t="shared" si="72"/>
        <v>Q2</v>
      </c>
      <c r="AE326" s="3">
        <f t="shared" si="73"/>
        <v>2026</v>
      </c>
      <c r="AF326" s="3" t="str">
        <f t="shared" si="74"/>
        <v>Monday</v>
      </c>
      <c r="AG326" s="3" t="str">
        <f t="shared" si="75"/>
        <v>36-45</v>
      </c>
      <c r="AH326" s="3" t="str">
        <f t="shared" si="76"/>
        <v>Small</v>
      </c>
      <c r="AI326" s="3" t="str">
        <f t="shared" si="77"/>
        <v>Medium</v>
      </c>
      <c r="AJ326" s="3" t="str" cm="1">
        <f t="array" ref="AJ326">_xlfn.IFS(S326&gt;=80000,"VIP",S326&gt;=40000,"Gold",S326&gt;=15000,"Silver",TRUE,"Bronze")</f>
        <v>Bronze</v>
      </c>
    </row>
    <row r="327" spans="1:36" x14ac:dyDescent="0.3">
      <c r="A327" s="3" t="s">
        <v>914</v>
      </c>
      <c r="B327" s="15">
        <v>46148</v>
      </c>
      <c r="C327" s="15">
        <v>46151</v>
      </c>
      <c r="D327" s="3" t="s">
        <v>915</v>
      </c>
      <c r="E327" s="3" t="s">
        <v>916</v>
      </c>
      <c r="F327" s="3" t="s">
        <v>39</v>
      </c>
      <c r="G327" s="3">
        <v>50</v>
      </c>
      <c r="H327" s="3" t="s">
        <v>53</v>
      </c>
      <c r="I327" s="3" t="s">
        <v>41</v>
      </c>
      <c r="J327" s="3" t="s">
        <v>42</v>
      </c>
      <c r="K327" s="3" t="s">
        <v>43</v>
      </c>
      <c r="L327" s="3" t="s">
        <v>44</v>
      </c>
      <c r="M327" s="3" t="s">
        <v>45</v>
      </c>
      <c r="N327" s="3" t="s">
        <v>46</v>
      </c>
      <c r="O327" s="3" t="s">
        <v>47</v>
      </c>
      <c r="P327" s="3">
        <v>1</v>
      </c>
      <c r="Q327" s="9">
        <v>28500</v>
      </c>
      <c r="R327" s="6">
        <v>0.08</v>
      </c>
      <c r="S327" s="12">
        <f t="shared" si="65"/>
        <v>26220</v>
      </c>
      <c r="T327" s="12">
        <v>22000</v>
      </c>
      <c r="U327" s="9">
        <f t="shared" si="66"/>
        <v>4220</v>
      </c>
      <c r="V327" s="6">
        <f t="shared" si="67"/>
        <v>0.16094584286803967</v>
      </c>
      <c r="W327" s="3" t="s">
        <v>92</v>
      </c>
      <c r="X327" s="3" t="s">
        <v>49</v>
      </c>
      <c r="Y327" s="3">
        <f t="shared" si="68"/>
        <v>3</v>
      </c>
      <c r="Z327" s="3" t="str">
        <f t="shared" si="69"/>
        <v>Regular</v>
      </c>
      <c r="AA327" s="3">
        <v>2</v>
      </c>
      <c r="AB327" s="3" t="str">
        <f t="shared" si="70"/>
        <v>Average</v>
      </c>
      <c r="AC327" s="3" t="str">
        <f t="shared" si="71"/>
        <v>May</v>
      </c>
      <c r="AD327" s="3" t="str">
        <f t="shared" si="72"/>
        <v>Q2</v>
      </c>
      <c r="AE327" s="3">
        <f t="shared" si="73"/>
        <v>2026</v>
      </c>
      <c r="AF327" s="3" t="str">
        <f t="shared" si="74"/>
        <v>Wednesday</v>
      </c>
      <c r="AG327" s="3" t="str">
        <f t="shared" si="75"/>
        <v>46+</v>
      </c>
      <c r="AH327" s="3" t="str">
        <f t="shared" si="76"/>
        <v>Medium</v>
      </c>
      <c r="AI327" s="3" t="str">
        <f t="shared" si="77"/>
        <v>Medium</v>
      </c>
      <c r="AJ327" s="3" t="str" cm="1">
        <f t="array" ref="AJ327">_xlfn.IFS(S327&gt;=80000,"VIP",S327&gt;=40000,"Gold",S327&gt;=15000,"Silver",TRUE,"Bronze")</f>
        <v>Silver</v>
      </c>
    </row>
    <row r="328" spans="1:36" x14ac:dyDescent="0.3">
      <c r="A328" s="3" t="s">
        <v>917</v>
      </c>
      <c r="B328" s="15">
        <v>46214</v>
      </c>
      <c r="C328" s="15">
        <v>46217</v>
      </c>
      <c r="D328" s="3" t="s">
        <v>918</v>
      </c>
      <c r="E328" s="3" t="s">
        <v>639</v>
      </c>
      <c r="F328" s="3" t="s">
        <v>52</v>
      </c>
      <c r="G328" s="3">
        <v>22</v>
      </c>
      <c r="H328" s="3" t="s">
        <v>119</v>
      </c>
      <c r="I328" s="3" t="s">
        <v>120</v>
      </c>
      <c r="J328" s="3" t="s">
        <v>121</v>
      </c>
      <c r="K328" s="3" t="s">
        <v>43</v>
      </c>
      <c r="L328" s="3" t="s">
        <v>44</v>
      </c>
      <c r="M328" s="3" t="s">
        <v>45</v>
      </c>
      <c r="N328" s="3" t="s">
        <v>46</v>
      </c>
      <c r="O328" s="3" t="s">
        <v>47</v>
      </c>
      <c r="P328" s="3">
        <v>2</v>
      </c>
      <c r="Q328" s="9">
        <v>28500</v>
      </c>
      <c r="R328" s="6">
        <v>0.05</v>
      </c>
      <c r="S328" s="12">
        <f t="shared" si="65"/>
        <v>54150</v>
      </c>
      <c r="T328" s="12">
        <v>22000</v>
      </c>
      <c r="U328" s="9">
        <f t="shared" si="66"/>
        <v>10150</v>
      </c>
      <c r="V328" s="6">
        <f t="shared" si="67"/>
        <v>0.18744228993536471</v>
      </c>
      <c r="W328" s="3" t="s">
        <v>100</v>
      </c>
      <c r="X328" s="3" t="s">
        <v>101</v>
      </c>
      <c r="Y328" s="3">
        <f t="shared" si="68"/>
        <v>3</v>
      </c>
      <c r="Z328" s="3" t="str">
        <f t="shared" si="69"/>
        <v>Premium</v>
      </c>
      <c r="AA328" s="3">
        <v>5</v>
      </c>
      <c r="AB328" s="3" t="str">
        <f t="shared" si="70"/>
        <v>Excellent</v>
      </c>
      <c r="AC328" s="3" t="str">
        <f t="shared" si="71"/>
        <v>July</v>
      </c>
      <c r="AD328" s="3" t="str">
        <f t="shared" si="72"/>
        <v>Q3</v>
      </c>
      <c r="AE328" s="3">
        <f t="shared" si="73"/>
        <v>2026</v>
      </c>
      <c r="AF328" s="3" t="str">
        <f t="shared" si="74"/>
        <v>Saturday</v>
      </c>
      <c r="AG328" s="3" t="str">
        <f t="shared" si="75"/>
        <v>18-25</v>
      </c>
      <c r="AH328" s="3" t="str">
        <f t="shared" si="76"/>
        <v>Large</v>
      </c>
      <c r="AI328" s="3" t="str">
        <f t="shared" si="77"/>
        <v>Low</v>
      </c>
      <c r="AJ328" s="3" t="str" cm="1">
        <f t="array" ref="AJ328">_xlfn.IFS(S328&gt;=80000,"VIP",S328&gt;=40000,"Gold",S328&gt;=15000,"Silver",TRUE,"Bronze")</f>
        <v>Gold</v>
      </c>
    </row>
    <row r="329" spans="1:36" x14ac:dyDescent="0.3">
      <c r="A329" s="3" t="s">
        <v>919</v>
      </c>
      <c r="B329" s="15">
        <v>46243</v>
      </c>
      <c r="C329" s="15">
        <v>46249</v>
      </c>
      <c r="D329" s="3" t="s">
        <v>920</v>
      </c>
      <c r="E329" s="3" t="s">
        <v>642</v>
      </c>
      <c r="F329" s="3" t="s">
        <v>52</v>
      </c>
      <c r="G329" s="3">
        <v>37</v>
      </c>
      <c r="H329" s="3" t="s">
        <v>53</v>
      </c>
      <c r="I329" s="3" t="s">
        <v>41</v>
      </c>
      <c r="J329" s="3" t="s">
        <v>42</v>
      </c>
      <c r="K329" s="3" t="s">
        <v>43</v>
      </c>
      <c r="L329" s="3" t="s">
        <v>44</v>
      </c>
      <c r="M329" s="3" t="s">
        <v>45</v>
      </c>
      <c r="N329" s="3" t="s">
        <v>46</v>
      </c>
      <c r="O329" s="3" t="s">
        <v>47</v>
      </c>
      <c r="P329" s="3">
        <v>2</v>
      </c>
      <c r="Q329" s="9">
        <v>28500</v>
      </c>
      <c r="R329" s="6">
        <v>0.1</v>
      </c>
      <c r="S329" s="12">
        <f t="shared" si="65"/>
        <v>51300</v>
      </c>
      <c r="T329" s="12">
        <v>22000</v>
      </c>
      <c r="U329" s="9">
        <f t="shared" si="66"/>
        <v>7300</v>
      </c>
      <c r="V329" s="6">
        <f t="shared" si="67"/>
        <v>0.14230019493177387</v>
      </c>
      <c r="W329" s="3" t="s">
        <v>65</v>
      </c>
      <c r="X329" s="3" t="s">
        <v>106</v>
      </c>
      <c r="Y329" s="3">
        <f t="shared" si="68"/>
        <v>6</v>
      </c>
      <c r="Z329" s="3" t="str">
        <f t="shared" si="69"/>
        <v>Premium</v>
      </c>
      <c r="AA329" s="3">
        <v>4</v>
      </c>
      <c r="AB329" s="3" t="str">
        <f t="shared" si="70"/>
        <v>Excellent</v>
      </c>
      <c r="AC329" s="3" t="str">
        <f t="shared" si="71"/>
        <v>August</v>
      </c>
      <c r="AD329" s="3" t="str">
        <f t="shared" si="72"/>
        <v>Q3</v>
      </c>
      <c r="AE329" s="3">
        <f t="shared" si="73"/>
        <v>2026</v>
      </c>
      <c r="AF329" s="3" t="str">
        <f t="shared" si="74"/>
        <v>Sunday</v>
      </c>
      <c r="AG329" s="3" t="str">
        <f t="shared" si="75"/>
        <v>36-45</v>
      </c>
      <c r="AH329" s="3" t="str">
        <f t="shared" si="76"/>
        <v>Large</v>
      </c>
      <c r="AI329" s="3" t="str">
        <f t="shared" si="77"/>
        <v>Medium</v>
      </c>
      <c r="AJ329" s="3" t="str" cm="1">
        <f t="array" ref="AJ329">_xlfn.IFS(S329&gt;=80000,"VIP",S329&gt;=40000,"Gold",S329&gt;=15000,"Silver",TRUE,"Bronze")</f>
        <v>Gold</v>
      </c>
    </row>
    <row r="330" spans="1:36" x14ac:dyDescent="0.3">
      <c r="A330" s="3" t="s">
        <v>921</v>
      </c>
      <c r="B330" s="15">
        <v>46256</v>
      </c>
      <c r="C330" s="15">
        <v>46258</v>
      </c>
      <c r="D330" s="3" t="s">
        <v>922</v>
      </c>
      <c r="E330" s="3" t="s">
        <v>104</v>
      </c>
      <c r="F330" s="3" t="s">
        <v>39</v>
      </c>
      <c r="G330" s="3">
        <v>48</v>
      </c>
      <c r="H330" s="3" t="s">
        <v>60</v>
      </c>
      <c r="I330" s="3" t="s">
        <v>61</v>
      </c>
      <c r="J330" s="3" t="s">
        <v>42</v>
      </c>
      <c r="K330" s="3" t="s">
        <v>105</v>
      </c>
      <c r="L330" s="3" t="s">
        <v>112</v>
      </c>
      <c r="M330" s="3" t="s">
        <v>113</v>
      </c>
      <c r="N330" s="3" t="s">
        <v>114</v>
      </c>
      <c r="O330" s="3" t="s">
        <v>115</v>
      </c>
      <c r="P330" s="3">
        <v>4</v>
      </c>
      <c r="Q330" s="9">
        <v>3500</v>
      </c>
      <c r="R330" s="6">
        <v>0.15</v>
      </c>
      <c r="S330" s="12">
        <f t="shared" si="65"/>
        <v>11900</v>
      </c>
      <c r="T330" s="12">
        <v>2500</v>
      </c>
      <c r="U330" s="9">
        <f t="shared" si="66"/>
        <v>1900</v>
      </c>
      <c r="V330" s="6">
        <f t="shared" si="67"/>
        <v>0.15966386554621848</v>
      </c>
      <c r="W330" s="3" t="s">
        <v>73</v>
      </c>
      <c r="X330" s="3" t="s">
        <v>101</v>
      </c>
      <c r="Y330" s="3">
        <f t="shared" si="68"/>
        <v>2</v>
      </c>
      <c r="Z330" s="3" t="str">
        <f t="shared" si="69"/>
        <v>Regular</v>
      </c>
      <c r="AA330" s="3">
        <v>4</v>
      </c>
      <c r="AB330" s="3" t="str">
        <f t="shared" si="70"/>
        <v>Excellent</v>
      </c>
      <c r="AC330" s="3" t="str">
        <f t="shared" si="71"/>
        <v>August</v>
      </c>
      <c r="AD330" s="3" t="str">
        <f t="shared" si="72"/>
        <v>Q3</v>
      </c>
      <c r="AE330" s="3">
        <f t="shared" si="73"/>
        <v>2026</v>
      </c>
      <c r="AF330" s="3" t="str">
        <f t="shared" si="74"/>
        <v>Saturday</v>
      </c>
      <c r="AG330" s="3" t="str">
        <f t="shared" si="75"/>
        <v>46+</v>
      </c>
      <c r="AH330" s="3" t="str">
        <f t="shared" si="76"/>
        <v>Medium</v>
      </c>
      <c r="AI330" s="3" t="str">
        <f t="shared" si="77"/>
        <v>Medium</v>
      </c>
      <c r="AJ330" s="3" t="str" cm="1">
        <f t="array" ref="AJ330">_xlfn.IFS(S330&gt;=80000,"VIP",S330&gt;=40000,"Gold",S330&gt;=15000,"Silver",TRUE,"Bronze")</f>
        <v>Bronze</v>
      </c>
    </row>
    <row r="331" spans="1:36" x14ac:dyDescent="0.3">
      <c r="A331" s="3" t="s">
        <v>923</v>
      </c>
      <c r="B331" s="15">
        <v>46033</v>
      </c>
      <c r="C331" s="15">
        <v>46036</v>
      </c>
      <c r="D331" s="3" t="s">
        <v>924</v>
      </c>
      <c r="E331" s="3" t="s">
        <v>159</v>
      </c>
      <c r="F331" s="3" t="s">
        <v>39</v>
      </c>
      <c r="G331" s="3">
        <v>48</v>
      </c>
      <c r="H331" s="3" t="s">
        <v>68</v>
      </c>
      <c r="I331" s="3" t="s">
        <v>68</v>
      </c>
      <c r="J331" s="3" t="s">
        <v>69</v>
      </c>
      <c r="K331" s="3" t="s">
        <v>62</v>
      </c>
      <c r="L331" s="3" t="s">
        <v>163</v>
      </c>
      <c r="M331" s="3" t="s">
        <v>45</v>
      </c>
      <c r="N331" s="3" t="s">
        <v>63</v>
      </c>
      <c r="O331" s="3" t="s">
        <v>64</v>
      </c>
      <c r="P331" s="3">
        <v>4</v>
      </c>
      <c r="Q331" s="9">
        <v>62000</v>
      </c>
      <c r="R331" s="6">
        <v>0.08</v>
      </c>
      <c r="S331" s="12">
        <f t="shared" si="65"/>
        <v>228160</v>
      </c>
      <c r="T331" s="12">
        <v>52000</v>
      </c>
      <c r="U331" s="9">
        <f t="shared" si="66"/>
        <v>20160</v>
      </c>
      <c r="V331" s="6">
        <f t="shared" si="67"/>
        <v>8.8359046283309955E-2</v>
      </c>
      <c r="W331" s="3" t="s">
        <v>73</v>
      </c>
      <c r="X331" s="3" t="s">
        <v>74</v>
      </c>
      <c r="Y331" s="3">
        <f t="shared" si="68"/>
        <v>3</v>
      </c>
      <c r="Z331" s="3" t="str">
        <f t="shared" si="69"/>
        <v>Premium</v>
      </c>
      <c r="AA331" s="3">
        <v>3</v>
      </c>
      <c r="AB331" s="3" t="str">
        <f t="shared" si="70"/>
        <v>Average</v>
      </c>
      <c r="AC331" s="3" t="str">
        <f t="shared" si="71"/>
        <v>January</v>
      </c>
      <c r="AD331" s="3" t="str">
        <f t="shared" si="72"/>
        <v>Q1</v>
      </c>
      <c r="AE331" s="3">
        <f t="shared" si="73"/>
        <v>2026</v>
      </c>
      <c r="AF331" s="3" t="str">
        <f t="shared" si="74"/>
        <v>Sunday</v>
      </c>
      <c r="AG331" s="3" t="str">
        <f t="shared" si="75"/>
        <v>46+</v>
      </c>
      <c r="AH331" s="3" t="str">
        <f t="shared" si="76"/>
        <v>Large</v>
      </c>
      <c r="AI331" s="3" t="str">
        <f t="shared" si="77"/>
        <v>Medium</v>
      </c>
      <c r="AJ331" s="3" t="str" cm="1">
        <f t="array" ref="AJ331">_xlfn.IFS(S331&gt;=80000,"VIP",S331&gt;=40000,"Gold",S331&gt;=15000,"Silver",TRUE,"Bronze")</f>
        <v>VIP</v>
      </c>
    </row>
    <row r="332" spans="1:36" x14ac:dyDescent="0.3">
      <c r="A332" s="3" t="s">
        <v>925</v>
      </c>
      <c r="B332" s="15">
        <v>46240</v>
      </c>
      <c r="C332" s="15">
        <v>46245</v>
      </c>
      <c r="D332" s="3" t="s">
        <v>926</v>
      </c>
      <c r="E332" s="3" t="s">
        <v>242</v>
      </c>
      <c r="F332" s="3" t="s">
        <v>52</v>
      </c>
      <c r="G332" s="3">
        <v>24</v>
      </c>
      <c r="H332" s="3" t="s">
        <v>78</v>
      </c>
      <c r="I332" s="3" t="s">
        <v>79</v>
      </c>
      <c r="J332" s="3" t="s">
        <v>80</v>
      </c>
      <c r="K332" s="3" t="s">
        <v>62</v>
      </c>
      <c r="L332" s="3" t="s">
        <v>163</v>
      </c>
      <c r="M332" s="3" t="s">
        <v>45</v>
      </c>
      <c r="N332" s="3" t="s">
        <v>63</v>
      </c>
      <c r="O332" s="3" t="s">
        <v>64</v>
      </c>
      <c r="P332" s="3">
        <v>5</v>
      </c>
      <c r="Q332" s="9">
        <v>62000</v>
      </c>
      <c r="R332" s="6">
        <v>0.05</v>
      </c>
      <c r="S332" s="12">
        <f t="shared" si="65"/>
        <v>294500</v>
      </c>
      <c r="T332" s="12">
        <v>52000</v>
      </c>
      <c r="U332" s="9">
        <f t="shared" si="66"/>
        <v>34500</v>
      </c>
      <c r="V332" s="6">
        <f t="shared" si="67"/>
        <v>0.11714770797962648</v>
      </c>
      <c r="W332" s="3" t="s">
        <v>65</v>
      </c>
      <c r="X332" s="3" t="s">
        <v>106</v>
      </c>
      <c r="Y332" s="3">
        <f t="shared" si="68"/>
        <v>5</v>
      </c>
      <c r="Z332" s="3" t="str">
        <f t="shared" si="69"/>
        <v>Premium</v>
      </c>
      <c r="AA332" s="3">
        <v>2</v>
      </c>
      <c r="AB332" s="3" t="str">
        <f t="shared" si="70"/>
        <v>Average</v>
      </c>
      <c r="AC332" s="3" t="str">
        <f t="shared" si="71"/>
        <v>August</v>
      </c>
      <c r="AD332" s="3" t="str">
        <f t="shared" si="72"/>
        <v>Q3</v>
      </c>
      <c r="AE332" s="3">
        <f t="shared" si="73"/>
        <v>2026</v>
      </c>
      <c r="AF332" s="3" t="str">
        <f t="shared" si="74"/>
        <v>Thursday</v>
      </c>
      <c r="AG332" s="3" t="str">
        <f t="shared" si="75"/>
        <v>18-25</v>
      </c>
      <c r="AH332" s="3" t="str">
        <f t="shared" si="76"/>
        <v>Large</v>
      </c>
      <c r="AI332" s="3" t="str">
        <f t="shared" si="77"/>
        <v>Low</v>
      </c>
      <c r="AJ332" s="3" t="str" cm="1">
        <f t="array" ref="AJ332">_xlfn.IFS(S332&gt;=80000,"VIP",S332&gt;=40000,"Gold",S332&gt;=15000,"Silver",TRUE,"Bronze")</f>
        <v>VIP</v>
      </c>
    </row>
    <row r="333" spans="1:36" x14ac:dyDescent="0.3">
      <c r="A333" s="3" t="s">
        <v>927</v>
      </c>
      <c r="B333" s="15">
        <v>46153</v>
      </c>
      <c r="C333" s="15">
        <v>46156</v>
      </c>
      <c r="D333" s="3" t="s">
        <v>928</v>
      </c>
      <c r="E333" s="3" t="s">
        <v>929</v>
      </c>
      <c r="F333" s="3" t="s">
        <v>39</v>
      </c>
      <c r="G333" s="3">
        <v>21</v>
      </c>
      <c r="H333" s="3" t="s">
        <v>60</v>
      </c>
      <c r="I333" s="3" t="s">
        <v>61</v>
      </c>
      <c r="J333" s="3" t="s">
        <v>42</v>
      </c>
      <c r="K333" s="3" t="s">
        <v>62</v>
      </c>
      <c r="L333" s="3" t="s">
        <v>163</v>
      </c>
      <c r="M333" s="3" t="s">
        <v>45</v>
      </c>
      <c r="N333" s="3" t="s">
        <v>63</v>
      </c>
      <c r="O333" s="3" t="s">
        <v>64</v>
      </c>
      <c r="P333" s="3">
        <v>4</v>
      </c>
      <c r="Q333" s="9">
        <v>62000</v>
      </c>
      <c r="R333" s="6">
        <v>0.2</v>
      </c>
      <c r="S333" s="12">
        <f t="shared" si="65"/>
        <v>198400</v>
      </c>
      <c r="T333" s="12">
        <v>52000</v>
      </c>
      <c r="U333" s="9">
        <f t="shared" si="66"/>
        <v>-9600</v>
      </c>
      <c r="V333" s="6">
        <f t="shared" si="67"/>
        <v>-4.8387096774193547E-2</v>
      </c>
      <c r="W333" s="3" t="s">
        <v>92</v>
      </c>
      <c r="X333" s="3" t="s">
        <v>74</v>
      </c>
      <c r="Y333" s="3">
        <f t="shared" si="68"/>
        <v>3</v>
      </c>
      <c r="Z333" s="3" t="str">
        <f t="shared" si="69"/>
        <v>Premium</v>
      </c>
      <c r="AA333" s="3">
        <v>4</v>
      </c>
      <c r="AB333" s="3" t="str">
        <f t="shared" si="70"/>
        <v>Excellent</v>
      </c>
      <c r="AC333" s="3" t="str">
        <f t="shared" si="71"/>
        <v>May</v>
      </c>
      <c r="AD333" s="3" t="str">
        <f t="shared" si="72"/>
        <v>Q2</v>
      </c>
      <c r="AE333" s="3">
        <f t="shared" si="73"/>
        <v>2026</v>
      </c>
      <c r="AF333" s="3" t="str">
        <f t="shared" si="74"/>
        <v>Monday</v>
      </c>
      <c r="AG333" s="3" t="str">
        <f t="shared" si="75"/>
        <v>18-25</v>
      </c>
      <c r="AH333" s="3" t="str">
        <f t="shared" si="76"/>
        <v>Large</v>
      </c>
      <c r="AI333" s="3" t="str">
        <f t="shared" si="77"/>
        <v>High</v>
      </c>
      <c r="AJ333" s="3" t="str" cm="1">
        <f t="array" ref="AJ333">_xlfn.IFS(S333&gt;=80000,"VIP",S333&gt;=40000,"Gold",S333&gt;=15000,"Silver",TRUE,"Bronze")</f>
        <v>VIP</v>
      </c>
    </row>
    <row r="334" spans="1:36" x14ac:dyDescent="0.3">
      <c r="A334" s="3" t="s">
        <v>930</v>
      </c>
      <c r="B334" s="15">
        <v>46261</v>
      </c>
      <c r="C334" s="15">
        <v>46265</v>
      </c>
      <c r="D334" s="3" t="s">
        <v>931</v>
      </c>
      <c r="E334" s="3" t="s">
        <v>932</v>
      </c>
      <c r="F334" s="3" t="s">
        <v>52</v>
      </c>
      <c r="G334" s="3">
        <v>24</v>
      </c>
      <c r="H334" s="3" t="s">
        <v>119</v>
      </c>
      <c r="I334" s="3" t="s">
        <v>120</v>
      </c>
      <c r="J334" s="3" t="s">
        <v>121</v>
      </c>
      <c r="K334" s="3" t="s">
        <v>105</v>
      </c>
      <c r="L334" s="3" t="s">
        <v>112</v>
      </c>
      <c r="M334" s="3" t="s">
        <v>113</v>
      </c>
      <c r="N334" s="3" t="s">
        <v>114</v>
      </c>
      <c r="O334" s="3" t="s">
        <v>115</v>
      </c>
      <c r="P334" s="3">
        <v>5</v>
      </c>
      <c r="Q334" s="9">
        <v>3500</v>
      </c>
      <c r="R334" s="6">
        <v>0.08</v>
      </c>
      <c r="S334" s="12">
        <f t="shared" si="65"/>
        <v>16100</v>
      </c>
      <c r="T334" s="12">
        <v>2500</v>
      </c>
      <c r="U334" s="9">
        <f t="shared" si="66"/>
        <v>3600</v>
      </c>
      <c r="V334" s="6">
        <f t="shared" si="67"/>
        <v>0.2236024844720497</v>
      </c>
      <c r="W334" s="3" t="s">
        <v>56</v>
      </c>
      <c r="X334" s="3" t="s">
        <v>106</v>
      </c>
      <c r="Y334" s="3">
        <f t="shared" si="68"/>
        <v>4</v>
      </c>
      <c r="Z334" s="3" t="str">
        <f t="shared" si="69"/>
        <v>Regular</v>
      </c>
      <c r="AA334" s="3">
        <v>4</v>
      </c>
      <c r="AB334" s="3" t="str">
        <f t="shared" si="70"/>
        <v>Excellent</v>
      </c>
      <c r="AC334" s="3" t="str">
        <f t="shared" si="71"/>
        <v>August</v>
      </c>
      <c r="AD334" s="3" t="str">
        <f t="shared" si="72"/>
        <v>Q3</v>
      </c>
      <c r="AE334" s="3">
        <f t="shared" si="73"/>
        <v>2026</v>
      </c>
      <c r="AF334" s="3" t="str">
        <f t="shared" si="74"/>
        <v>Thursday</v>
      </c>
      <c r="AG334" s="3" t="str">
        <f t="shared" si="75"/>
        <v>18-25</v>
      </c>
      <c r="AH334" s="3" t="str">
        <f t="shared" si="76"/>
        <v>Medium</v>
      </c>
      <c r="AI334" s="3" t="str">
        <f t="shared" si="77"/>
        <v>Medium</v>
      </c>
      <c r="AJ334" s="3" t="str" cm="1">
        <f t="array" ref="AJ334">_xlfn.IFS(S334&gt;=80000,"VIP",S334&gt;=40000,"Gold",S334&gt;=15000,"Silver",TRUE,"Bronze")</f>
        <v>Silver</v>
      </c>
    </row>
    <row r="335" spans="1:36" x14ac:dyDescent="0.3">
      <c r="A335" s="3" t="s">
        <v>933</v>
      </c>
      <c r="B335" s="15">
        <v>46080</v>
      </c>
      <c r="C335" s="15">
        <v>46084</v>
      </c>
      <c r="D335" s="3" t="s">
        <v>934</v>
      </c>
      <c r="E335" s="3" t="s">
        <v>722</v>
      </c>
      <c r="F335" s="3" t="s">
        <v>39</v>
      </c>
      <c r="G335" s="3">
        <v>30</v>
      </c>
      <c r="H335" s="3" t="s">
        <v>68</v>
      </c>
      <c r="I335" s="3" t="s">
        <v>68</v>
      </c>
      <c r="J335" s="3" t="s">
        <v>69</v>
      </c>
      <c r="K335" s="3" t="s">
        <v>62</v>
      </c>
      <c r="L335" s="3" t="s">
        <v>163</v>
      </c>
      <c r="M335" s="3" t="s">
        <v>45</v>
      </c>
      <c r="N335" s="3" t="s">
        <v>63</v>
      </c>
      <c r="O335" s="3" t="s">
        <v>64</v>
      </c>
      <c r="P335" s="3">
        <v>1</v>
      </c>
      <c r="Q335" s="9">
        <v>62000</v>
      </c>
      <c r="R335" s="6">
        <v>0.15</v>
      </c>
      <c r="S335" s="12">
        <f t="shared" si="65"/>
        <v>52700</v>
      </c>
      <c r="T335" s="12">
        <v>52000</v>
      </c>
      <c r="U335" s="9">
        <f t="shared" si="66"/>
        <v>700</v>
      </c>
      <c r="V335" s="6">
        <f t="shared" si="67"/>
        <v>1.3282732447817837E-2</v>
      </c>
      <c r="W335" s="3" t="s">
        <v>65</v>
      </c>
      <c r="X335" s="3" t="s">
        <v>101</v>
      </c>
      <c r="Y335" s="3">
        <f t="shared" si="68"/>
        <v>4</v>
      </c>
      <c r="Z335" s="3" t="str">
        <f t="shared" si="69"/>
        <v>Premium</v>
      </c>
      <c r="AA335" s="3">
        <v>5</v>
      </c>
      <c r="AB335" s="3" t="str">
        <f t="shared" si="70"/>
        <v>Excellent</v>
      </c>
      <c r="AC335" s="3" t="str">
        <f t="shared" si="71"/>
        <v>February</v>
      </c>
      <c r="AD335" s="3" t="str">
        <f t="shared" si="72"/>
        <v>Q1</v>
      </c>
      <c r="AE335" s="3">
        <f t="shared" si="73"/>
        <v>2026</v>
      </c>
      <c r="AF335" s="3" t="str">
        <f t="shared" si="74"/>
        <v>Friday</v>
      </c>
      <c r="AG335" s="3" t="str">
        <f t="shared" si="75"/>
        <v>26-35</v>
      </c>
      <c r="AH335" s="3" t="str">
        <f t="shared" si="76"/>
        <v>Large</v>
      </c>
      <c r="AI335" s="3" t="str">
        <f t="shared" si="77"/>
        <v>Medium</v>
      </c>
      <c r="AJ335" s="3" t="str" cm="1">
        <f t="array" ref="AJ335">_xlfn.IFS(S335&gt;=80000,"VIP",S335&gt;=40000,"Gold",S335&gt;=15000,"Silver",TRUE,"Bronze")</f>
        <v>Gold</v>
      </c>
    </row>
    <row r="336" spans="1:36" x14ac:dyDescent="0.3">
      <c r="A336" s="3" t="s">
        <v>935</v>
      </c>
      <c r="B336" s="15">
        <v>46262</v>
      </c>
      <c r="C336" s="15">
        <v>46267</v>
      </c>
      <c r="D336" s="3" t="s">
        <v>936</v>
      </c>
      <c r="E336" s="3" t="s">
        <v>104</v>
      </c>
      <c r="F336" s="3" t="s">
        <v>52</v>
      </c>
      <c r="G336" s="3">
        <v>21</v>
      </c>
      <c r="H336" s="3" t="s">
        <v>68</v>
      </c>
      <c r="I336" s="3" t="s">
        <v>68</v>
      </c>
      <c r="J336" s="3" t="s">
        <v>69</v>
      </c>
      <c r="K336" s="3" t="s">
        <v>90</v>
      </c>
      <c r="L336" s="3" t="s">
        <v>122</v>
      </c>
      <c r="M336" s="3" t="s">
        <v>45</v>
      </c>
      <c r="N336" s="3" t="s">
        <v>91</v>
      </c>
      <c r="O336" s="3" t="s">
        <v>123</v>
      </c>
      <c r="P336" s="3">
        <v>1</v>
      </c>
      <c r="Q336" s="9">
        <v>2500</v>
      </c>
      <c r="R336" s="6">
        <v>0.12</v>
      </c>
      <c r="S336" s="12">
        <f t="shared" si="65"/>
        <v>2200</v>
      </c>
      <c r="T336" s="12">
        <v>1700</v>
      </c>
      <c r="U336" s="9">
        <f t="shared" si="66"/>
        <v>500</v>
      </c>
      <c r="V336" s="6">
        <f t="shared" si="67"/>
        <v>0.22727272727272727</v>
      </c>
      <c r="W336" s="3" t="s">
        <v>73</v>
      </c>
      <c r="X336" s="3" t="s">
        <v>49</v>
      </c>
      <c r="Y336" s="3">
        <f t="shared" si="68"/>
        <v>5</v>
      </c>
      <c r="Z336" s="3" t="str">
        <f t="shared" si="69"/>
        <v>Regular</v>
      </c>
      <c r="AA336" s="3">
        <v>4</v>
      </c>
      <c r="AB336" s="3" t="str">
        <f t="shared" si="70"/>
        <v>Excellent</v>
      </c>
      <c r="AC336" s="3" t="str">
        <f t="shared" si="71"/>
        <v>August</v>
      </c>
      <c r="AD336" s="3" t="str">
        <f t="shared" si="72"/>
        <v>Q3</v>
      </c>
      <c r="AE336" s="3">
        <f t="shared" si="73"/>
        <v>2026</v>
      </c>
      <c r="AF336" s="3" t="str">
        <f t="shared" si="74"/>
        <v>Friday</v>
      </c>
      <c r="AG336" s="3" t="str">
        <f t="shared" si="75"/>
        <v>18-25</v>
      </c>
      <c r="AH336" s="3" t="str">
        <f t="shared" si="76"/>
        <v>Small</v>
      </c>
      <c r="AI336" s="3" t="str">
        <f t="shared" si="77"/>
        <v>Medium</v>
      </c>
      <c r="AJ336" s="3" t="str" cm="1">
        <f t="array" ref="AJ336">_xlfn.IFS(S336&gt;=80000,"VIP",S336&gt;=40000,"Gold",S336&gt;=15000,"Silver",TRUE,"Bronze")</f>
        <v>Bronze</v>
      </c>
    </row>
    <row r="337" spans="1:36" x14ac:dyDescent="0.3">
      <c r="A337" s="3" t="s">
        <v>937</v>
      </c>
      <c r="B337" s="15">
        <v>46261</v>
      </c>
      <c r="C337" s="15">
        <v>46265</v>
      </c>
      <c r="D337" s="3" t="s">
        <v>938</v>
      </c>
      <c r="E337" s="3" t="s">
        <v>806</v>
      </c>
      <c r="F337" s="3" t="s">
        <v>52</v>
      </c>
      <c r="G337" s="3">
        <v>34</v>
      </c>
      <c r="H337" s="3" t="s">
        <v>78</v>
      </c>
      <c r="I337" s="3" t="s">
        <v>79</v>
      </c>
      <c r="J337" s="3" t="s">
        <v>80</v>
      </c>
      <c r="K337" s="3" t="s">
        <v>43</v>
      </c>
      <c r="L337" s="3" t="s">
        <v>44</v>
      </c>
      <c r="M337" s="3" t="s">
        <v>45</v>
      </c>
      <c r="N337" s="3" t="s">
        <v>46</v>
      </c>
      <c r="O337" s="3" t="s">
        <v>47</v>
      </c>
      <c r="P337" s="3">
        <v>1</v>
      </c>
      <c r="Q337" s="9">
        <v>28500</v>
      </c>
      <c r="R337" s="6">
        <v>0.1</v>
      </c>
      <c r="S337" s="12">
        <f t="shared" si="65"/>
        <v>25650</v>
      </c>
      <c r="T337" s="12">
        <v>22000</v>
      </c>
      <c r="U337" s="9">
        <f t="shared" si="66"/>
        <v>3650</v>
      </c>
      <c r="V337" s="6">
        <f t="shared" si="67"/>
        <v>0.14230019493177387</v>
      </c>
      <c r="W337" s="3" t="s">
        <v>48</v>
      </c>
      <c r="X337" s="3" t="s">
        <v>49</v>
      </c>
      <c r="Y337" s="3">
        <f t="shared" si="68"/>
        <v>4</v>
      </c>
      <c r="Z337" s="3" t="str">
        <f t="shared" si="69"/>
        <v>Regular</v>
      </c>
      <c r="AA337" s="3">
        <v>5</v>
      </c>
      <c r="AB337" s="3" t="str">
        <f t="shared" si="70"/>
        <v>Excellent</v>
      </c>
      <c r="AC337" s="3" t="str">
        <f t="shared" si="71"/>
        <v>August</v>
      </c>
      <c r="AD337" s="3" t="str">
        <f t="shared" si="72"/>
        <v>Q3</v>
      </c>
      <c r="AE337" s="3">
        <f t="shared" si="73"/>
        <v>2026</v>
      </c>
      <c r="AF337" s="3" t="str">
        <f t="shared" si="74"/>
        <v>Thursday</v>
      </c>
      <c r="AG337" s="3" t="str">
        <f t="shared" si="75"/>
        <v>26-35</v>
      </c>
      <c r="AH337" s="3" t="str">
        <f t="shared" si="76"/>
        <v>Medium</v>
      </c>
      <c r="AI337" s="3" t="str">
        <f t="shared" si="77"/>
        <v>Medium</v>
      </c>
      <c r="AJ337" s="3" t="str" cm="1">
        <f t="array" ref="AJ337">_xlfn.IFS(S337&gt;=80000,"VIP",S337&gt;=40000,"Gold",S337&gt;=15000,"Silver",TRUE,"Bronze")</f>
        <v>Silver</v>
      </c>
    </row>
    <row r="338" spans="1:36" x14ac:dyDescent="0.3">
      <c r="A338" s="3" t="s">
        <v>939</v>
      </c>
      <c r="B338" s="15">
        <v>46203</v>
      </c>
      <c r="C338" s="15">
        <v>46209</v>
      </c>
      <c r="D338" s="3" t="s">
        <v>940</v>
      </c>
      <c r="E338" s="3" t="s">
        <v>509</v>
      </c>
      <c r="F338" s="3" t="s">
        <v>52</v>
      </c>
      <c r="G338" s="3">
        <v>36</v>
      </c>
      <c r="H338" s="3" t="s">
        <v>110</v>
      </c>
      <c r="I338" s="3" t="s">
        <v>111</v>
      </c>
      <c r="J338" s="3" t="s">
        <v>80</v>
      </c>
      <c r="K338" s="3" t="s">
        <v>90</v>
      </c>
      <c r="L338" s="3" t="s">
        <v>122</v>
      </c>
      <c r="M338" s="3" t="s">
        <v>45</v>
      </c>
      <c r="N338" s="3" t="s">
        <v>91</v>
      </c>
      <c r="O338" s="3" t="s">
        <v>123</v>
      </c>
      <c r="P338" s="3">
        <v>1</v>
      </c>
      <c r="Q338" s="9">
        <v>2500</v>
      </c>
      <c r="R338" s="6">
        <v>0.2</v>
      </c>
      <c r="S338" s="12">
        <f t="shared" si="65"/>
        <v>2000</v>
      </c>
      <c r="T338" s="12">
        <v>1700</v>
      </c>
      <c r="U338" s="9">
        <f t="shared" si="66"/>
        <v>300</v>
      </c>
      <c r="V338" s="6">
        <f t="shared" si="67"/>
        <v>0.15</v>
      </c>
      <c r="W338" s="3" t="s">
        <v>73</v>
      </c>
      <c r="X338" s="3" t="s">
        <v>101</v>
      </c>
      <c r="Y338" s="3">
        <f t="shared" si="68"/>
        <v>6</v>
      </c>
      <c r="Z338" s="3" t="str">
        <f t="shared" si="69"/>
        <v>Regular</v>
      </c>
      <c r="AA338" s="3">
        <v>3</v>
      </c>
      <c r="AB338" s="3" t="str">
        <f t="shared" si="70"/>
        <v>Average</v>
      </c>
      <c r="AC338" s="3" t="str">
        <f t="shared" si="71"/>
        <v>June</v>
      </c>
      <c r="AD338" s="3" t="str">
        <f t="shared" si="72"/>
        <v>Q2</v>
      </c>
      <c r="AE338" s="3">
        <f t="shared" si="73"/>
        <v>2026</v>
      </c>
      <c r="AF338" s="3" t="str">
        <f t="shared" si="74"/>
        <v>Tuesday</v>
      </c>
      <c r="AG338" s="3" t="str">
        <f t="shared" si="75"/>
        <v>36-45</v>
      </c>
      <c r="AH338" s="3" t="str">
        <f t="shared" si="76"/>
        <v>Small</v>
      </c>
      <c r="AI338" s="3" t="str">
        <f t="shared" si="77"/>
        <v>High</v>
      </c>
      <c r="AJ338" s="3" t="str" cm="1">
        <f t="array" ref="AJ338">_xlfn.IFS(S338&gt;=80000,"VIP",S338&gt;=40000,"Gold",S338&gt;=15000,"Silver",TRUE,"Bronze")</f>
        <v>Bronze</v>
      </c>
    </row>
    <row r="339" spans="1:36" x14ac:dyDescent="0.3">
      <c r="A339" s="3" t="s">
        <v>941</v>
      </c>
      <c r="B339" s="15">
        <v>46343</v>
      </c>
      <c r="C339" s="15">
        <v>46349</v>
      </c>
      <c r="D339" s="3" t="s">
        <v>942</v>
      </c>
      <c r="E339" s="3" t="s">
        <v>855</v>
      </c>
      <c r="F339" s="3" t="s">
        <v>39</v>
      </c>
      <c r="G339" s="3">
        <v>37</v>
      </c>
      <c r="H339" s="3" t="s">
        <v>40</v>
      </c>
      <c r="I339" s="3" t="s">
        <v>41</v>
      </c>
      <c r="J339" s="3" t="s">
        <v>42</v>
      </c>
      <c r="K339" s="3" t="s">
        <v>62</v>
      </c>
      <c r="L339" s="3" t="s">
        <v>163</v>
      </c>
      <c r="M339" s="3" t="s">
        <v>45</v>
      </c>
      <c r="N339" s="3" t="s">
        <v>63</v>
      </c>
      <c r="O339" s="3" t="s">
        <v>64</v>
      </c>
      <c r="P339" s="3">
        <v>1</v>
      </c>
      <c r="Q339" s="9">
        <v>62000</v>
      </c>
      <c r="R339" s="6">
        <v>0.15</v>
      </c>
      <c r="S339" s="12">
        <f t="shared" si="65"/>
        <v>52700</v>
      </c>
      <c r="T339" s="12">
        <v>52000</v>
      </c>
      <c r="U339" s="9">
        <f t="shared" si="66"/>
        <v>700</v>
      </c>
      <c r="V339" s="6">
        <f t="shared" si="67"/>
        <v>1.3282732447817837E-2</v>
      </c>
      <c r="W339" s="3" t="s">
        <v>56</v>
      </c>
      <c r="X339" s="3" t="s">
        <v>74</v>
      </c>
      <c r="Y339" s="3">
        <f t="shared" si="68"/>
        <v>6</v>
      </c>
      <c r="Z339" s="3" t="str">
        <f t="shared" si="69"/>
        <v>Premium</v>
      </c>
      <c r="AA339" s="3">
        <v>2</v>
      </c>
      <c r="AB339" s="3" t="str">
        <f t="shared" si="70"/>
        <v>Average</v>
      </c>
      <c r="AC339" s="3" t="str">
        <f t="shared" si="71"/>
        <v>November</v>
      </c>
      <c r="AD339" s="3" t="str">
        <f t="shared" si="72"/>
        <v>Q4</v>
      </c>
      <c r="AE339" s="3">
        <f t="shared" si="73"/>
        <v>2026</v>
      </c>
      <c r="AF339" s="3" t="str">
        <f t="shared" si="74"/>
        <v>Tuesday</v>
      </c>
      <c r="AG339" s="3" t="str">
        <f t="shared" si="75"/>
        <v>36-45</v>
      </c>
      <c r="AH339" s="3" t="str">
        <f t="shared" si="76"/>
        <v>Large</v>
      </c>
      <c r="AI339" s="3" t="str">
        <f t="shared" si="77"/>
        <v>Medium</v>
      </c>
      <c r="AJ339" s="3" t="str" cm="1">
        <f t="array" ref="AJ339">_xlfn.IFS(S339&gt;=80000,"VIP",S339&gt;=40000,"Gold",S339&gt;=15000,"Silver",TRUE,"Bronze")</f>
        <v>Gold</v>
      </c>
    </row>
    <row r="340" spans="1:36" x14ac:dyDescent="0.3">
      <c r="A340" s="3" t="s">
        <v>943</v>
      </c>
      <c r="B340" s="15">
        <v>46082</v>
      </c>
      <c r="C340" s="15">
        <v>46084</v>
      </c>
      <c r="D340" s="3" t="s">
        <v>944</v>
      </c>
      <c r="E340" s="3" t="s">
        <v>242</v>
      </c>
      <c r="F340" s="3" t="s">
        <v>52</v>
      </c>
      <c r="G340" s="3">
        <v>39</v>
      </c>
      <c r="H340" s="3" t="s">
        <v>68</v>
      </c>
      <c r="I340" s="3" t="s">
        <v>68</v>
      </c>
      <c r="J340" s="3" t="s">
        <v>69</v>
      </c>
      <c r="K340" s="3" t="s">
        <v>54</v>
      </c>
      <c r="L340" s="3" t="s">
        <v>173</v>
      </c>
      <c r="M340" s="3" t="s">
        <v>45</v>
      </c>
      <c r="N340" s="3" t="s">
        <v>46</v>
      </c>
      <c r="O340" s="3" t="s">
        <v>55</v>
      </c>
      <c r="P340" s="3">
        <v>5</v>
      </c>
      <c r="Q340" s="9">
        <v>79900</v>
      </c>
      <c r="R340" s="6">
        <v>0.2</v>
      </c>
      <c r="S340" s="12">
        <f t="shared" si="65"/>
        <v>319600</v>
      </c>
      <c r="T340" s="12">
        <v>65000</v>
      </c>
      <c r="U340" s="9">
        <f t="shared" si="66"/>
        <v>-5400</v>
      </c>
      <c r="V340" s="6">
        <f t="shared" si="67"/>
        <v>-1.6896120150187734E-2</v>
      </c>
      <c r="W340" s="3" t="s">
        <v>56</v>
      </c>
      <c r="X340" s="3" t="s">
        <v>74</v>
      </c>
      <c r="Y340" s="3">
        <f t="shared" si="68"/>
        <v>2</v>
      </c>
      <c r="Z340" s="3" t="str">
        <f t="shared" si="69"/>
        <v>Premium</v>
      </c>
      <c r="AA340" s="3">
        <v>5</v>
      </c>
      <c r="AB340" s="3" t="str">
        <f t="shared" si="70"/>
        <v>Excellent</v>
      </c>
      <c r="AC340" s="3" t="str">
        <f t="shared" si="71"/>
        <v>March</v>
      </c>
      <c r="AD340" s="3" t="str">
        <f t="shared" si="72"/>
        <v>Q1</v>
      </c>
      <c r="AE340" s="3">
        <f t="shared" si="73"/>
        <v>2026</v>
      </c>
      <c r="AF340" s="3" t="str">
        <f t="shared" si="74"/>
        <v>Sunday</v>
      </c>
      <c r="AG340" s="3" t="str">
        <f t="shared" si="75"/>
        <v>36-45</v>
      </c>
      <c r="AH340" s="3" t="str">
        <f t="shared" si="76"/>
        <v>Large</v>
      </c>
      <c r="AI340" s="3" t="str">
        <f t="shared" si="77"/>
        <v>High</v>
      </c>
      <c r="AJ340" s="3" t="str" cm="1">
        <f t="array" ref="AJ340">_xlfn.IFS(S340&gt;=80000,"VIP",S340&gt;=40000,"Gold",S340&gt;=15000,"Silver",TRUE,"Bronze")</f>
        <v>VIP</v>
      </c>
    </row>
    <row r="341" spans="1:36" x14ac:dyDescent="0.3">
      <c r="A341" s="3" t="s">
        <v>945</v>
      </c>
      <c r="B341" s="15">
        <v>46090</v>
      </c>
      <c r="C341" s="15">
        <v>46095</v>
      </c>
      <c r="D341" s="3" t="s">
        <v>946</v>
      </c>
      <c r="E341" s="3" t="s">
        <v>591</v>
      </c>
      <c r="F341" s="3" t="s">
        <v>39</v>
      </c>
      <c r="G341" s="3">
        <v>28</v>
      </c>
      <c r="H341" s="3" t="s">
        <v>53</v>
      </c>
      <c r="I341" s="3" t="s">
        <v>41</v>
      </c>
      <c r="J341" s="3" t="s">
        <v>42</v>
      </c>
      <c r="K341" s="3" t="s">
        <v>96</v>
      </c>
      <c r="L341" s="3" t="s">
        <v>166</v>
      </c>
      <c r="M341" s="3" t="s">
        <v>97</v>
      </c>
      <c r="N341" s="3" t="s">
        <v>98</v>
      </c>
      <c r="O341" s="3" t="s">
        <v>99</v>
      </c>
      <c r="P341" s="3">
        <v>1</v>
      </c>
      <c r="Q341" s="9">
        <v>4500</v>
      </c>
      <c r="R341" s="6">
        <v>0.12</v>
      </c>
      <c r="S341" s="12">
        <f t="shared" si="65"/>
        <v>3960</v>
      </c>
      <c r="T341" s="12">
        <v>3000</v>
      </c>
      <c r="U341" s="9">
        <f t="shared" si="66"/>
        <v>960</v>
      </c>
      <c r="V341" s="6">
        <f t="shared" si="67"/>
        <v>0.24242424242424243</v>
      </c>
      <c r="W341" s="3" t="s">
        <v>73</v>
      </c>
      <c r="X341" s="3" t="s">
        <v>49</v>
      </c>
      <c r="Y341" s="3">
        <f t="shared" si="68"/>
        <v>5</v>
      </c>
      <c r="Z341" s="3" t="str">
        <f t="shared" si="69"/>
        <v>Regular</v>
      </c>
      <c r="AA341" s="3">
        <v>2</v>
      </c>
      <c r="AB341" s="3" t="str">
        <f t="shared" si="70"/>
        <v>Average</v>
      </c>
      <c r="AC341" s="3" t="str">
        <f t="shared" si="71"/>
        <v>March</v>
      </c>
      <c r="AD341" s="3" t="str">
        <f t="shared" si="72"/>
        <v>Q1</v>
      </c>
      <c r="AE341" s="3">
        <f t="shared" si="73"/>
        <v>2026</v>
      </c>
      <c r="AF341" s="3" t="str">
        <f t="shared" si="74"/>
        <v>Monday</v>
      </c>
      <c r="AG341" s="3" t="str">
        <f t="shared" si="75"/>
        <v>26-35</v>
      </c>
      <c r="AH341" s="3" t="str">
        <f t="shared" si="76"/>
        <v>Small</v>
      </c>
      <c r="AI341" s="3" t="str">
        <f t="shared" si="77"/>
        <v>Medium</v>
      </c>
      <c r="AJ341" s="3" t="str" cm="1">
        <f t="array" ref="AJ341">_xlfn.IFS(S341&gt;=80000,"VIP",S341&gt;=40000,"Gold",S341&gt;=15000,"Silver",TRUE,"Bronze")</f>
        <v>Bronze</v>
      </c>
    </row>
    <row r="342" spans="1:36" x14ac:dyDescent="0.3">
      <c r="A342" s="3" t="s">
        <v>947</v>
      </c>
      <c r="B342" s="15">
        <v>46319</v>
      </c>
      <c r="C342" s="15">
        <v>46324</v>
      </c>
      <c r="D342" s="3" t="s">
        <v>948</v>
      </c>
      <c r="E342" s="3" t="s">
        <v>562</v>
      </c>
      <c r="F342" s="3" t="s">
        <v>39</v>
      </c>
      <c r="G342" s="3">
        <v>49</v>
      </c>
      <c r="H342" s="3" t="s">
        <v>88</v>
      </c>
      <c r="I342" s="3" t="s">
        <v>89</v>
      </c>
      <c r="J342" s="3" t="s">
        <v>80</v>
      </c>
      <c r="K342" s="3" t="s">
        <v>96</v>
      </c>
      <c r="L342" s="3" t="s">
        <v>166</v>
      </c>
      <c r="M342" s="3" t="s">
        <v>97</v>
      </c>
      <c r="N342" s="3" t="s">
        <v>98</v>
      </c>
      <c r="O342" s="3" t="s">
        <v>99</v>
      </c>
      <c r="P342" s="3">
        <v>3</v>
      </c>
      <c r="Q342" s="9">
        <v>4500</v>
      </c>
      <c r="R342" s="6">
        <v>0.08</v>
      </c>
      <c r="S342" s="12">
        <f t="shared" si="65"/>
        <v>12420</v>
      </c>
      <c r="T342" s="12">
        <v>3000</v>
      </c>
      <c r="U342" s="9">
        <f t="shared" si="66"/>
        <v>3420</v>
      </c>
      <c r="V342" s="6">
        <f t="shared" si="67"/>
        <v>0.27536231884057971</v>
      </c>
      <c r="W342" s="3" t="s">
        <v>65</v>
      </c>
      <c r="X342" s="3" t="s">
        <v>101</v>
      </c>
      <c r="Y342" s="3">
        <f t="shared" si="68"/>
        <v>5</v>
      </c>
      <c r="Z342" s="3" t="str">
        <f t="shared" si="69"/>
        <v>Regular</v>
      </c>
      <c r="AA342" s="3">
        <v>3</v>
      </c>
      <c r="AB342" s="3" t="str">
        <f t="shared" si="70"/>
        <v>Average</v>
      </c>
      <c r="AC342" s="3" t="str">
        <f t="shared" si="71"/>
        <v>October</v>
      </c>
      <c r="AD342" s="3" t="str">
        <f t="shared" si="72"/>
        <v>Q4</v>
      </c>
      <c r="AE342" s="3">
        <f t="shared" si="73"/>
        <v>2026</v>
      </c>
      <c r="AF342" s="3" t="str">
        <f t="shared" si="74"/>
        <v>Saturday</v>
      </c>
      <c r="AG342" s="3" t="str">
        <f t="shared" si="75"/>
        <v>46+</v>
      </c>
      <c r="AH342" s="3" t="str">
        <f t="shared" si="76"/>
        <v>Medium</v>
      </c>
      <c r="AI342" s="3" t="str">
        <f t="shared" si="77"/>
        <v>Medium</v>
      </c>
      <c r="AJ342" s="3" t="str" cm="1">
        <f t="array" ref="AJ342">_xlfn.IFS(S342&gt;=80000,"VIP",S342&gt;=40000,"Gold",S342&gt;=15000,"Silver",TRUE,"Bronze")</f>
        <v>Bronze</v>
      </c>
    </row>
    <row r="343" spans="1:36" x14ac:dyDescent="0.3">
      <c r="A343" s="3" t="s">
        <v>949</v>
      </c>
      <c r="B343" s="15">
        <v>46163</v>
      </c>
      <c r="C343" s="15">
        <v>46167</v>
      </c>
      <c r="D343" s="3" t="s">
        <v>950</v>
      </c>
      <c r="E343" s="3" t="s">
        <v>951</v>
      </c>
      <c r="F343" s="3" t="s">
        <v>39</v>
      </c>
      <c r="G343" s="3">
        <v>24</v>
      </c>
      <c r="H343" s="3" t="s">
        <v>78</v>
      </c>
      <c r="I343" s="3" t="s">
        <v>79</v>
      </c>
      <c r="J343" s="3" t="s">
        <v>80</v>
      </c>
      <c r="K343" s="3" t="s">
        <v>54</v>
      </c>
      <c r="L343" s="3" t="s">
        <v>173</v>
      </c>
      <c r="M343" s="3" t="s">
        <v>45</v>
      </c>
      <c r="N343" s="3" t="s">
        <v>46</v>
      </c>
      <c r="O343" s="3" t="s">
        <v>55</v>
      </c>
      <c r="P343" s="3">
        <v>1</v>
      </c>
      <c r="Q343" s="9">
        <v>79900</v>
      </c>
      <c r="R343" s="6">
        <v>0.05</v>
      </c>
      <c r="S343" s="12">
        <f t="shared" si="65"/>
        <v>75905</v>
      </c>
      <c r="T343" s="12">
        <v>65000</v>
      </c>
      <c r="U343" s="9">
        <f t="shared" si="66"/>
        <v>10905</v>
      </c>
      <c r="V343" s="6">
        <f t="shared" si="67"/>
        <v>0.14366642513668401</v>
      </c>
      <c r="W343" s="3" t="s">
        <v>48</v>
      </c>
      <c r="X343" s="3" t="s">
        <v>101</v>
      </c>
      <c r="Y343" s="3">
        <f t="shared" si="68"/>
        <v>4</v>
      </c>
      <c r="Z343" s="3" t="str">
        <f t="shared" si="69"/>
        <v>Premium</v>
      </c>
      <c r="AA343" s="3">
        <v>3</v>
      </c>
      <c r="AB343" s="3" t="str">
        <f t="shared" si="70"/>
        <v>Average</v>
      </c>
      <c r="AC343" s="3" t="str">
        <f t="shared" si="71"/>
        <v>May</v>
      </c>
      <c r="AD343" s="3" t="str">
        <f t="shared" si="72"/>
        <v>Q2</v>
      </c>
      <c r="AE343" s="3">
        <f t="shared" si="73"/>
        <v>2026</v>
      </c>
      <c r="AF343" s="3" t="str">
        <f t="shared" si="74"/>
        <v>Thursday</v>
      </c>
      <c r="AG343" s="3" t="str">
        <f t="shared" si="75"/>
        <v>18-25</v>
      </c>
      <c r="AH343" s="3" t="str">
        <f t="shared" si="76"/>
        <v>Large</v>
      </c>
      <c r="AI343" s="3" t="str">
        <f t="shared" si="77"/>
        <v>Low</v>
      </c>
      <c r="AJ343" s="3" t="str" cm="1">
        <f t="array" ref="AJ343">_xlfn.IFS(S343&gt;=80000,"VIP",S343&gt;=40000,"Gold",S343&gt;=15000,"Silver",TRUE,"Bronze")</f>
        <v>Gold</v>
      </c>
    </row>
    <row r="344" spans="1:36" x14ac:dyDescent="0.3">
      <c r="A344" s="3" t="s">
        <v>952</v>
      </c>
      <c r="B344" s="15">
        <v>46080</v>
      </c>
      <c r="C344" s="15">
        <v>46085</v>
      </c>
      <c r="D344" s="3" t="s">
        <v>953</v>
      </c>
      <c r="E344" s="3" t="s">
        <v>151</v>
      </c>
      <c r="F344" s="3" t="s">
        <v>52</v>
      </c>
      <c r="G344" s="3">
        <v>49</v>
      </c>
      <c r="H344" s="3" t="s">
        <v>110</v>
      </c>
      <c r="I344" s="3" t="s">
        <v>111</v>
      </c>
      <c r="J344" s="3" t="s">
        <v>80</v>
      </c>
      <c r="K344" s="3" t="s">
        <v>43</v>
      </c>
      <c r="L344" s="3" t="s">
        <v>44</v>
      </c>
      <c r="M344" s="3" t="s">
        <v>45</v>
      </c>
      <c r="N344" s="3" t="s">
        <v>46</v>
      </c>
      <c r="O344" s="3" t="s">
        <v>47</v>
      </c>
      <c r="P344" s="3">
        <v>2</v>
      </c>
      <c r="Q344" s="9">
        <v>28500</v>
      </c>
      <c r="R344" s="6">
        <v>0.12</v>
      </c>
      <c r="S344" s="12">
        <f t="shared" si="65"/>
        <v>50160</v>
      </c>
      <c r="T344" s="12">
        <v>22000</v>
      </c>
      <c r="U344" s="9">
        <f t="shared" si="66"/>
        <v>6160</v>
      </c>
      <c r="V344" s="6">
        <f t="shared" si="67"/>
        <v>0.12280701754385964</v>
      </c>
      <c r="W344" s="3" t="s">
        <v>100</v>
      </c>
      <c r="X344" s="3" t="s">
        <v>106</v>
      </c>
      <c r="Y344" s="3">
        <f t="shared" si="68"/>
        <v>5</v>
      </c>
      <c r="Z344" s="3" t="str">
        <f t="shared" si="69"/>
        <v>Premium</v>
      </c>
      <c r="AA344" s="3">
        <v>5</v>
      </c>
      <c r="AB344" s="3" t="str">
        <f t="shared" si="70"/>
        <v>Excellent</v>
      </c>
      <c r="AC344" s="3" t="str">
        <f t="shared" si="71"/>
        <v>February</v>
      </c>
      <c r="AD344" s="3" t="str">
        <f t="shared" si="72"/>
        <v>Q1</v>
      </c>
      <c r="AE344" s="3">
        <f t="shared" si="73"/>
        <v>2026</v>
      </c>
      <c r="AF344" s="3" t="str">
        <f t="shared" si="74"/>
        <v>Friday</v>
      </c>
      <c r="AG344" s="3" t="str">
        <f t="shared" si="75"/>
        <v>46+</v>
      </c>
      <c r="AH344" s="3" t="str">
        <f t="shared" si="76"/>
        <v>Large</v>
      </c>
      <c r="AI344" s="3" t="str">
        <f t="shared" si="77"/>
        <v>Medium</v>
      </c>
      <c r="AJ344" s="3" t="str" cm="1">
        <f t="array" ref="AJ344">_xlfn.IFS(S344&gt;=80000,"VIP",S344&gt;=40000,"Gold",S344&gt;=15000,"Silver",TRUE,"Bronze")</f>
        <v>Gold</v>
      </c>
    </row>
    <row r="345" spans="1:36" x14ac:dyDescent="0.3">
      <c r="A345" s="3" t="s">
        <v>954</v>
      </c>
      <c r="B345" s="15">
        <v>46346</v>
      </c>
      <c r="C345" s="15">
        <v>46349</v>
      </c>
      <c r="D345" s="3" t="s">
        <v>955</v>
      </c>
      <c r="E345" s="3" t="s">
        <v>169</v>
      </c>
      <c r="F345" s="3" t="s">
        <v>52</v>
      </c>
      <c r="G345" s="3">
        <v>46</v>
      </c>
      <c r="H345" s="3" t="s">
        <v>78</v>
      </c>
      <c r="I345" s="3" t="s">
        <v>79</v>
      </c>
      <c r="J345" s="3" t="s">
        <v>80</v>
      </c>
      <c r="K345" s="3" t="s">
        <v>70</v>
      </c>
      <c r="L345" s="3" t="s">
        <v>71</v>
      </c>
      <c r="M345" s="3" t="s">
        <v>45</v>
      </c>
      <c r="N345" s="3" t="s">
        <v>63</v>
      </c>
      <c r="O345" s="3" t="s">
        <v>72</v>
      </c>
      <c r="P345" s="3">
        <v>5</v>
      </c>
      <c r="Q345" s="9">
        <v>58000</v>
      </c>
      <c r="R345" s="6">
        <v>0.05</v>
      </c>
      <c r="S345" s="12">
        <f t="shared" si="65"/>
        <v>275500</v>
      </c>
      <c r="T345" s="12">
        <v>49000</v>
      </c>
      <c r="U345" s="9">
        <f t="shared" si="66"/>
        <v>30500</v>
      </c>
      <c r="V345" s="6">
        <f t="shared" si="67"/>
        <v>0.11070780399274047</v>
      </c>
      <c r="W345" s="3" t="s">
        <v>56</v>
      </c>
      <c r="X345" s="3" t="s">
        <v>106</v>
      </c>
      <c r="Y345" s="3">
        <f t="shared" si="68"/>
        <v>3</v>
      </c>
      <c r="Z345" s="3" t="str">
        <f t="shared" si="69"/>
        <v>Premium</v>
      </c>
      <c r="AA345" s="3">
        <v>2</v>
      </c>
      <c r="AB345" s="3" t="str">
        <f t="shared" si="70"/>
        <v>Average</v>
      </c>
      <c r="AC345" s="3" t="str">
        <f t="shared" si="71"/>
        <v>November</v>
      </c>
      <c r="AD345" s="3" t="str">
        <f t="shared" si="72"/>
        <v>Q4</v>
      </c>
      <c r="AE345" s="3">
        <f t="shared" si="73"/>
        <v>2026</v>
      </c>
      <c r="AF345" s="3" t="str">
        <f t="shared" si="74"/>
        <v>Friday</v>
      </c>
      <c r="AG345" s="3" t="str">
        <f t="shared" si="75"/>
        <v>46+</v>
      </c>
      <c r="AH345" s="3" t="str">
        <f t="shared" si="76"/>
        <v>Large</v>
      </c>
      <c r="AI345" s="3" t="str">
        <f t="shared" si="77"/>
        <v>Low</v>
      </c>
      <c r="AJ345" s="3" t="str" cm="1">
        <f t="array" ref="AJ345">_xlfn.IFS(S345&gt;=80000,"VIP",S345&gt;=40000,"Gold",S345&gt;=15000,"Silver",TRUE,"Bronze")</f>
        <v>VIP</v>
      </c>
    </row>
    <row r="346" spans="1:36" x14ac:dyDescent="0.3">
      <c r="A346" s="3" t="s">
        <v>956</v>
      </c>
      <c r="B346" s="15">
        <v>46379</v>
      </c>
      <c r="C346" s="15">
        <v>46382</v>
      </c>
      <c r="D346" s="3" t="s">
        <v>957</v>
      </c>
      <c r="E346" s="3" t="s">
        <v>958</v>
      </c>
      <c r="F346" s="3" t="s">
        <v>39</v>
      </c>
      <c r="G346" s="3">
        <v>27</v>
      </c>
      <c r="H346" s="3" t="s">
        <v>110</v>
      </c>
      <c r="I346" s="3" t="s">
        <v>111</v>
      </c>
      <c r="J346" s="3" t="s">
        <v>80</v>
      </c>
      <c r="K346" s="3" t="s">
        <v>70</v>
      </c>
      <c r="L346" s="3" t="s">
        <v>71</v>
      </c>
      <c r="M346" s="3" t="s">
        <v>45</v>
      </c>
      <c r="N346" s="3" t="s">
        <v>63</v>
      </c>
      <c r="O346" s="3" t="s">
        <v>72</v>
      </c>
      <c r="P346" s="3">
        <v>1</v>
      </c>
      <c r="Q346" s="9">
        <v>58000</v>
      </c>
      <c r="R346" s="6">
        <v>0.08</v>
      </c>
      <c r="S346" s="12">
        <f t="shared" si="65"/>
        <v>53360</v>
      </c>
      <c r="T346" s="12">
        <v>49000</v>
      </c>
      <c r="U346" s="9">
        <f t="shared" si="66"/>
        <v>4360</v>
      </c>
      <c r="V346" s="6">
        <f t="shared" si="67"/>
        <v>8.1709145427286356E-2</v>
      </c>
      <c r="W346" s="3" t="s">
        <v>100</v>
      </c>
      <c r="X346" s="3" t="s">
        <v>49</v>
      </c>
      <c r="Y346" s="3">
        <f t="shared" si="68"/>
        <v>3</v>
      </c>
      <c r="Z346" s="3" t="str">
        <f t="shared" si="69"/>
        <v>Premium</v>
      </c>
      <c r="AA346" s="3">
        <v>2</v>
      </c>
      <c r="AB346" s="3" t="str">
        <f t="shared" si="70"/>
        <v>Average</v>
      </c>
      <c r="AC346" s="3" t="str">
        <f t="shared" si="71"/>
        <v>December</v>
      </c>
      <c r="AD346" s="3" t="str">
        <f t="shared" si="72"/>
        <v>Q4</v>
      </c>
      <c r="AE346" s="3">
        <f t="shared" si="73"/>
        <v>2026</v>
      </c>
      <c r="AF346" s="3" t="str">
        <f t="shared" si="74"/>
        <v>Wednesday</v>
      </c>
      <c r="AG346" s="3" t="str">
        <f t="shared" si="75"/>
        <v>26-35</v>
      </c>
      <c r="AH346" s="3" t="str">
        <f t="shared" si="76"/>
        <v>Large</v>
      </c>
      <c r="AI346" s="3" t="str">
        <f t="shared" si="77"/>
        <v>Medium</v>
      </c>
      <c r="AJ346" s="3" t="str" cm="1">
        <f t="array" ref="AJ346">_xlfn.IFS(S346&gt;=80000,"VIP",S346&gt;=40000,"Gold",S346&gt;=15000,"Silver",TRUE,"Bronze")</f>
        <v>Gold</v>
      </c>
    </row>
    <row r="347" spans="1:36" x14ac:dyDescent="0.3">
      <c r="A347" s="3" t="s">
        <v>959</v>
      </c>
      <c r="B347" s="15">
        <v>46336</v>
      </c>
      <c r="C347" s="15">
        <v>46342</v>
      </c>
      <c r="D347" s="3" t="s">
        <v>960</v>
      </c>
      <c r="E347" s="3" t="s">
        <v>533</v>
      </c>
      <c r="F347" s="3" t="s">
        <v>52</v>
      </c>
      <c r="G347" s="3">
        <v>22</v>
      </c>
      <c r="H347" s="3" t="s">
        <v>78</v>
      </c>
      <c r="I347" s="3" t="s">
        <v>79</v>
      </c>
      <c r="J347" s="3" t="s">
        <v>80</v>
      </c>
      <c r="K347" s="3" t="s">
        <v>81</v>
      </c>
      <c r="L347" s="3" t="s">
        <v>82</v>
      </c>
      <c r="M347" s="3" t="s">
        <v>45</v>
      </c>
      <c r="N347" s="3" t="s">
        <v>83</v>
      </c>
      <c r="O347" s="3" t="s">
        <v>84</v>
      </c>
      <c r="P347" s="3">
        <v>3</v>
      </c>
      <c r="Q347" s="9">
        <v>42000</v>
      </c>
      <c r="R347" s="6">
        <v>0.08</v>
      </c>
      <c r="S347" s="12">
        <f t="shared" si="65"/>
        <v>115920</v>
      </c>
      <c r="T347" s="12">
        <v>35000</v>
      </c>
      <c r="U347" s="9">
        <f t="shared" si="66"/>
        <v>10920</v>
      </c>
      <c r="V347" s="6">
        <f t="shared" si="67"/>
        <v>9.420289855072464E-2</v>
      </c>
      <c r="W347" s="3" t="s">
        <v>73</v>
      </c>
      <c r="X347" s="3" t="s">
        <v>74</v>
      </c>
      <c r="Y347" s="3">
        <f t="shared" si="68"/>
        <v>6</v>
      </c>
      <c r="Z347" s="3" t="str">
        <f t="shared" si="69"/>
        <v>Premium</v>
      </c>
      <c r="AA347" s="3">
        <v>2</v>
      </c>
      <c r="AB347" s="3" t="str">
        <f t="shared" si="70"/>
        <v>Average</v>
      </c>
      <c r="AC347" s="3" t="str">
        <f t="shared" si="71"/>
        <v>November</v>
      </c>
      <c r="AD347" s="3" t="str">
        <f t="shared" si="72"/>
        <v>Q4</v>
      </c>
      <c r="AE347" s="3">
        <f t="shared" si="73"/>
        <v>2026</v>
      </c>
      <c r="AF347" s="3" t="str">
        <f t="shared" si="74"/>
        <v>Tuesday</v>
      </c>
      <c r="AG347" s="3" t="str">
        <f t="shared" si="75"/>
        <v>18-25</v>
      </c>
      <c r="AH347" s="3" t="str">
        <f t="shared" si="76"/>
        <v>Large</v>
      </c>
      <c r="AI347" s="3" t="str">
        <f t="shared" si="77"/>
        <v>Medium</v>
      </c>
      <c r="AJ347" s="3" t="str" cm="1">
        <f t="array" ref="AJ347">_xlfn.IFS(S347&gt;=80000,"VIP",S347&gt;=40000,"Gold",S347&gt;=15000,"Silver",TRUE,"Bronze")</f>
        <v>VIP</v>
      </c>
    </row>
    <row r="348" spans="1:36" x14ac:dyDescent="0.3">
      <c r="A348" s="3" t="s">
        <v>961</v>
      </c>
      <c r="B348" s="15">
        <v>46036</v>
      </c>
      <c r="C348" s="15">
        <v>46040</v>
      </c>
      <c r="D348" s="3" t="s">
        <v>962</v>
      </c>
      <c r="E348" s="3" t="s">
        <v>167</v>
      </c>
      <c r="F348" s="3" t="s">
        <v>39</v>
      </c>
      <c r="G348" s="3">
        <v>29</v>
      </c>
      <c r="H348" s="3" t="s">
        <v>68</v>
      </c>
      <c r="I348" s="3" t="s">
        <v>68</v>
      </c>
      <c r="J348" s="3" t="s">
        <v>69</v>
      </c>
      <c r="K348" s="3" t="s">
        <v>105</v>
      </c>
      <c r="L348" s="3" t="s">
        <v>112</v>
      </c>
      <c r="M348" s="3" t="s">
        <v>113</v>
      </c>
      <c r="N348" s="3" t="s">
        <v>114</v>
      </c>
      <c r="O348" s="3" t="s">
        <v>115</v>
      </c>
      <c r="P348" s="3">
        <v>4</v>
      </c>
      <c r="Q348" s="9">
        <v>3500</v>
      </c>
      <c r="R348" s="6">
        <v>0.12</v>
      </c>
      <c r="S348" s="12">
        <f t="shared" si="65"/>
        <v>12320</v>
      </c>
      <c r="T348" s="12">
        <v>2500</v>
      </c>
      <c r="U348" s="9">
        <f t="shared" si="66"/>
        <v>2320</v>
      </c>
      <c r="V348" s="6">
        <f t="shared" si="67"/>
        <v>0.18831168831168832</v>
      </c>
      <c r="W348" s="3" t="s">
        <v>48</v>
      </c>
      <c r="X348" s="3" t="s">
        <v>101</v>
      </c>
      <c r="Y348" s="3">
        <f t="shared" si="68"/>
        <v>4</v>
      </c>
      <c r="Z348" s="3" t="str">
        <f t="shared" si="69"/>
        <v>Regular</v>
      </c>
      <c r="AA348" s="3">
        <v>2</v>
      </c>
      <c r="AB348" s="3" t="str">
        <f t="shared" si="70"/>
        <v>Average</v>
      </c>
      <c r="AC348" s="3" t="str">
        <f t="shared" si="71"/>
        <v>January</v>
      </c>
      <c r="AD348" s="3" t="str">
        <f t="shared" si="72"/>
        <v>Q1</v>
      </c>
      <c r="AE348" s="3">
        <f t="shared" si="73"/>
        <v>2026</v>
      </c>
      <c r="AF348" s="3" t="str">
        <f t="shared" si="74"/>
        <v>Wednesday</v>
      </c>
      <c r="AG348" s="3" t="str">
        <f t="shared" si="75"/>
        <v>26-35</v>
      </c>
      <c r="AH348" s="3" t="str">
        <f t="shared" si="76"/>
        <v>Medium</v>
      </c>
      <c r="AI348" s="3" t="str">
        <f t="shared" si="77"/>
        <v>Medium</v>
      </c>
      <c r="AJ348" s="3" t="str" cm="1">
        <f t="array" ref="AJ348">_xlfn.IFS(S348&gt;=80000,"VIP",S348&gt;=40000,"Gold",S348&gt;=15000,"Silver",TRUE,"Bronze")</f>
        <v>Bronze</v>
      </c>
    </row>
    <row r="349" spans="1:36" x14ac:dyDescent="0.3">
      <c r="A349" s="3" t="s">
        <v>963</v>
      </c>
      <c r="B349" s="15">
        <v>46037</v>
      </c>
      <c r="C349" s="15">
        <v>46041</v>
      </c>
      <c r="D349" s="3" t="s">
        <v>964</v>
      </c>
      <c r="E349" s="3" t="s">
        <v>171</v>
      </c>
      <c r="F349" s="3" t="s">
        <v>52</v>
      </c>
      <c r="G349" s="3">
        <v>32</v>
      </c>
      <c r="H349" s="3" t="s">
        <v>88</v>
      </c>
      <c r="I349" s="3" t="s">
        <v>89</v>
      </c>
      <c r="J349" s="3" t="s">
        <v>80</v>
      </c>
      <c r="K349" s="3" t="s">
        <v>54</v>
      </c>
      <c r="L349" s="3" t="s">
        <v>173</v>
      </c>
      <c r="M349" s="3" t="s">
        <v>45</v>
      </c>
      <c r="N349" s="3" t="s">
        <v>46</v>
      </c>
      <c r="O349" s="3" t="s">
        <v>55</v>
      </c>
      <c r="P349" s="3">
        <v>5</v>
      </c>
      <c r="Q349" s="9">
        <v>79900</v>
      </c>
      <c r="R349" s="6">
        <v>0.08</v>
      </c>
      <c r="S349" s="12">
        <f t="shared" si="65"/>
        <v>367540</v>
      </c>
      <c r="T349" s="12">
        <v>65000</v>
      </c>
      <c r="U349" s="9">
        <f t="shared" si="66"/>
        <v>42540</v>
      </c>
      <c r="V349" s="6">
        <f t="shared" si="67"/>
        <v>0.11574250421722805</v>
      </c>
      <c r="W349" s="3" t="s">
        <v>92</v>
      </c>
      <c r="X349" s="3" t="s">
        <v>74</v>
      </c>
      <c r="Y349" s="3">
        <f t="shared" si="68"/>
        <v>4</v>
      </c>
      <c r="Z349" s="3" t="str">
        <f t="shared" si="69"/>
        <v>Premium</v>
      </c>
      <c r="AA349" s="3">
        <v>5</v>
      </c>
      <c r="AB349" s="3" t="str">
        <f t="shared" si="70"/>
        <v>Excellent</v>
      </c>
      <c r="AC349" s="3" t="str">
        <f t="shared" si="71"/>
        <v>January</v>
      </c>
      <c r="AD349" s="3" t="str">
        <f t="shared" si="72"/>
        <v>Q1</v>
      </c>
      <c r="AE349" s="3">
        <f t="shared" si="73"/>
        <v>2026</v>
      </c>
      <c r="AF349" s="3" t="str">
        <f t="shared" si="74"/>
        <v>Thursday</v>
      </c>
      <c r="AG349" s="3" t="str">
        <f t="shared" si="75"/>
        <v>26-35</v>
      </c>
      <c r="AH349" s="3" t="str">
        <f t="shared" si="76"/>
        <v>Large</v>
      </c>
      <c r="AI349" s="3" t="str">
        <f t="shared" si="77"/>
        <v>Medium</v>
      </c>
      <c r="AJ349" s="3" t="str" cm="1">
        <f t="array" ref="AJ349">_xlfn.IFS(S349&gt;=80000,"VIP",S349&gt;=40000,"Gold",S349&gt;=15000,"Silver",TRUE,"Bronze")</f>
        <v>VIP</v>
      </c>
    </row>
    <row r="350" spans="1:36" x14ac:dyDescent="0.3">
      <c r="A350" s="3" t="s">
        <v>965</v>
      </c>
      <c r="B350" s="15">
        <v>46070</v>
      </c>
      <c r="C350" s="15">
        <v>46076</v>
      </c>
      <c r="D350" s="3" t="s">
        <v>966</v>
      </c>
      <c r="E350" s="3" t="s">
        <v>803</v>
      </c>
      <c r="F350" s="3" t="s">
        <v>52</v>
      </c>
      <c r="G350" s="3">
        <v>30</v>
      </c>
      <c r="H350" s="3" t="s">
        <v>88</v>
      </c>
      <c r="I350" s="3" t="s">
        <v>89</v>
      </c>
      <c r="J350" s="3" t="s">
        <v>80</v>
      </c>
      <c r="K350" s="3" t="s">
        <v>96</v>
      </c>
      <c r="L350" s="3" t="s">
        <v>166</v>
      </c>
      <c r="M350" s="3" t="s">
        <v>97</v>
      </c>
      <c r="N350" s="3" t="s">
        <v>98</v>
      </c>
      <c r="O350" s="3" t="s">
        <v>99</v>
      </c>
      <c r="P350" s="3">
        <v>4</v>
      </c>
      <c r="Q350" s="9">
        <v>4500</v>
      </c>
      <c r="R350" s="6">
        <v>0.2</v>
      </c>
      <c r="S350" s="12">
        <f t="shared" si="65"/>
        <v>14400</v>
      </c>
      <c r="T350" s="12">
        <v>3000</v>
      </c>
      <c r="U350" s="9">
        <f t="shared" si="66"/>
        <v>2400</v>
      </c>
      <c r="V350" s="6">
        <f t="shared" si="67"/>
        <v>0.16666666666666666</v>
      </c>
      <c r="W350" s="3" t="s">
        <v>56</v>
      </c>
      <c r="X350" s="3" t="s">
        <v>49</v>
      </c>
      <c r="Y350" s="3">
        <f t="shared" si="68"/>
        <v>6</v>
      </c>
      <c r="Z350" s="3" t="str">
        <f t="shared" si="69"/>
        <v>Regular</v>
      </c>
      <c r="AA350" s="3">
        <v>4</v>
      </c>
      <c r="AB350" s="3" t="str">
        <f t="shared" si="70"/>
        <v>Excellent</v>
      </c>
      <c r="AC350" s="3" t="str">
        <f t="shared" si="71"/>
        <v>February</v>
      </c>
      <c r="AD350" s="3" t="str">
        <f t="shared" si="72"/>
        <v>Q1</v>
      </c>
      <c r="AE350" s="3">
        <f t="shared" si="73"/>
        <v>2026</v>
      </c>
      <c r="AF350" s="3" t="str">
        <f t="shared" si="74"/>
        <v>Tuesday</v>
      </c>
      <c r="AG350" s="3" t="str">
        <f t="shared" si="75"/>
        <v>26-35</v>
      </c>
      <c r="AH350" s="3" t="str">
        <f t="shared" si="76"/>
        <v>Medium</v>
      </c>
      <c r="AI350" s="3" t="str">
        <f t="shared" si="77"/>
        <v>High</v>
      </c>
      <c r="AJ350" s="3" t="str" cm="1">
        <f t="array" ref="AJ350">_xlfn.IFS(S350&gt;=80000,"VIP",S350&gt;=40000,"Gold",S350&gt;=15000,"Silver",TRUE,"Bronze")</f>
        <v>Bronze</v>
      </c>
    </row>
    <row r="351" spans="1:36" x14ac:dyDescent="0.3">
      <c r="A351" s="3" t="s">
        <v>967</v>
      </c>
      <c r="B351" s="15">
        <v>46050</v>
      </c>
      <c r="C351" s="15">
        <v>46052</v>
      </c>
      <c r="D351" s="3" t="s">
        <v>968</v>
      </c>
      <c r="E351" s="3" t="s">
        <v>546</v>
      </c>
      <c r="F351" s="3" t="s">
        <v>39</v>
      </c>
      <c r="G351" s="3">
        <v>46</v>
      </c>
      <c r="H351" s="3" t="s">
        <v>53</v>
      </c>
      <c r="I351" s="3" t="s">
        <v>41</v>
      </c>
      <c r="J351" s="3" t="s">
        <v>42</v>
      </c>
      <c r="K351" s="3" t="s">
        <v>43</v>
      </c>
      <c r="L351" s="3" t="s">
        <v>44</v>
      </c>
      <c r="M351" s="3" t="s">
        <v>45</v>
      </c>
      <c r="N351" s="3" t="s">
        <v>46</v>
      </c>
      <c r="O351" s="3" t="s">
        <v>47</v>
      </c>
      <c r="P351" s="3">
        <v>5</v>
      </c>
      <c r="Q351" s="9">
        <v>28500</v>
      </c>
      <c r="R351" s="6">
        <v>0.2</v>
      </c>
      <c r="S351" s="12">
        <f t="shared" si="65"/>
        <v>114000</v>
      </c>
      <c r="T351" s="12">
        <v>22000</v>
      </c>
      <c r="U351" s="9">
        <f t="shared" si="66"/>
        <v>4000</v>
      </c>
      <c r="V351" s="6">
        <f t="shared" si="67"/>
        <v>3.5087719298245612E-2</v>
      </c>
      <c r="W351" s="3" t="s">
        <v>73</v>
      </c>
      <c r="X351" s="3" t="s">
        <v>74</v>
      </c>
      <c r="Y351" s="3">
        <f t="shared" si="68"/>
        <v>2</v>
      </c>
      <c r="Z351" s="3" t="str">
        <f t="shared" si="69"/>
        <v>Premium</v>
      </c>
      <c r="AA351" s="3">
        <v>5</v>
      </c>
      <c r="AB351" s="3" t="str">
        <f t="shared" si="70"/>
        <v>Excellent</v>
      </c>
      <c r="AC351" s="3" t="str">
        <f t="shared" si="71"/>
        <v>January</v>
      </c>
      <c r="AD351" s="3" t="str">
        <f t="shared" si="72"/>
        <v>Q1</v>
      </c>
      <c r="AE351" s="3">
        <f t="shared" si="73"/>
        <v>2026</v>
      </c>
      <c r="AF351" s="3" t="str">
        <f t="shared" si="74"/>
        <v>Wednesday</v>
      </c>
      <c r="AG351" s="3" t="str">
        <f t="shared" si="75"/>
        <v>46+</v>
      </c>
      <c r="AH351" s="3" t="str">
        <f t="shared" si="76"/>
        <v>Large</v>
      </c>
      <c r="AI351" s="3" t="str">
        <f t="shared" si="77"/>
        <v>High</v>
      </c>
      <c r="AJ351" s="3" t="str" cm="1">
        <f t="array" ref="AJ351">_xlfn.IFS(S351&gt;=80000,"VIP",S351&gt;=40000,"Gold",S351&gt;=15000,"Silver",TRUE,"Bronze")</f>
        <v>VIP</v>
      </c>
    </row>
    <row r="352" spans="1:36" x14ac:dyDescent="0.3">
      <c r="A352" s="3" t="s">
        <v>969</v>
      </c>
      <c r="B352" s="15">
        <v>46275</v>
      </c>
      <c r="C352" s="15">
        <v>46281</v>
      </c>
      <c r="D352" s="3" t="s">
        <v>970</v>
      </c>
      <c r="E352" s="3" t="s">
        <v>87</v>
      </c>
      <c r="F352" s="3" t="s">
        <v>52</v>
      </c>
      <c r="G352" s="3">
        <v>35</v>
      </c>
      <c r="H352" s="3" t="s">
        <v>60</v>
      </c>
      <c r="I352" s="3" t="s">
        <v>61</v>
      </c>
      <c r="J352" s="3" t="s">
        <v>42</v>
      </c>
      <c r="K352" s="3" t="s">
        <v>105</v>
      </c>
      <c r="L352" s="3" t="s">
        <v>112</v>
      </c>
      <c r="M352" s="3" t="s">
        <v>113</v>
      </c>
      <c r="N352" s="3" t="s">
        <v>114</v>
      </c>
      <c r="O352" s="3" t="s">
        <v>115</v>
      </c>
      <c r="P352" s="3">
        <v>4</v>
      </c>
      <c r="Q352" s="9">
        <v>3500</v>
      </c>
      <c r="R352" s="6">
        <v>0.12</v>
      </c>
      <c r="S352" s="12">
        <f t="shared" si="65"/>
        <v>12320</v>
      </c>
      <c r="T352" s="12">
        <v>2500</v>
      </c>
      <c r="U352" s="9">
        <f t="shared" si="66"/>
        <v>2320</v>
      </c>
      <c r="V352" s="6">
        <f t="shared" si="67"/>
        <v>0.18831168831168832</v>
      </c>
      <c r="W352" s="3" t="s">
        <v>48</v>
      </c>
      <c r="X352" s="3" t="s">
        <v>49</v>
      </c>
      <c r="Y352" s="3">
        <f t="shared" si="68"/>
        <v>6</v>
      </c>
      <c r="Z352" s="3" t="str">
        <f t="shared" si="69"/>
        <v>Regular</v>
      </c>
      <c r="AA352" s="3">
        <v>2</v>
      </c>
      <c r="AB352" s="3" t="str">
        <f t="shared" si="70"/>
        <v>Average</v>
      </c>
      <c r="AC352" s="3" t="str">
        <f t="shared" si="71"/>
        <v>September</v>
      </c>
      <c r="AD352" s="3" t="str">
        <f t="shared" si="72"/>
        <v>Q3</v>
      </c>
      <c r="AE352" s="3">
        <f t="shared" si="73"/>
        <v>2026</v>
      </c>
      <c r="AF352" s="3" t="str">
        <f t="shared" si="74"/>
        <v>Thursday</v>
      </c>
      <c r="AG352" s="3" t="str">
        <f t="shared" si="75"/>
        <v>26-35</v>
      </c>
      <c r="AH352" s="3" t="str">
        <f t="shared" si="76"/>
        <v>Medium</v>
      </c>
      <c r="AI352" s="3" t="str">
        <f t="shared" si="77"/>
        <v>Medium</v>
      </c>
      <c r="AJ352" s="3" t="str" cm="1">
        <f t="array" ref="AJ352">_xlfn.IFS(S352&gt;=80000,"VIP",S352&gt;=40000,"Gold",S352&gt;=15000,"Silver",TRUE,"Bronze")</f>
        <v>Bronze</v>
      </c>
    </row>
    <row r="353" spans="1:36" x14ac:dyDescent="0.3">
      <c r="A353" s="3" t="s">
        <v>971</v>
      </c>
      <c r="B353" s="15">
        <v>46160</v>
      </c>
      <c r="C353" s="15">
        <v>46164</v>
      </c>
      <c r="D353" s="3" t="s">
        <v>972</v>
      </c>
      <c r="E353" s="3" t="s">
        <v>388</v>
      </c>
      <c r="F353" s="3" t="s">
        <v>52</v>
      </c>
      <c r="G353" s="3">
        <v>29</v>
      </c>
      <c r="H353" s="3" t="s">
        <v>40</v>
      </c>
      <c r="I353" s="3" t="s">
        <v>41</v>
      </c>
      <c r="J353" s="3" t="s">
        <v>42</v>
      </c>
      <c r="K353" s="3" t="s">
        <v>70</v>
      </c>
      <c r="L353" s="3" t="s">
        <v>71</v>
      </c>
      <c r="M353" s="3" t="s">
        <v>45</v>
      </c>
      <c r="N353" s="3" t="s">
        <v>63</v>
      </c>
      <c r="O353" s="3" t="s">
        <v>72</v>
      </c>
      <c r="P353" s="3">
        <v>5</v>
      </c>
      <c r="Q353" s="9">
        <v>58000</v>
      </c>
      <c r="R353" s="6">
        <v>0.15</v>
      </c>
      <c r="S353" s="12">
        <f t="shared" si="65"/>
        <v>246500</v>
      </c>
      <c r="T353" s="12">
        <v>49000</v>
      </c>
      <c r="U353" s="9">
        <f t="shared" si="66"/>
        <v>1500</v>
      </c>
      <c r="V353" s="6">
        <f t="shared" si="67"/>
        <v>6.0851926977687626E-3</v>
      </c>
      <c r="W353" s="3" t="s">
        <v>65</v>
      </c>
      <c r="X353" s="3" t="s">
        <v>49</v>
      </c>
      <c r="Y353" s="3">
        <f t="shared" si="68"/>
        <v>4</v>
      </c>
      <c r="Z353" s="3" t="str">
        <f t="shared" si="69"/>
        <v>Premium</v>
      </c>
      <c r="AA353" s="3">
        <v>2</v>
      </c>
      <c r="AB353" s="3" t="str">
        <f t="shared" si="70"/>
        <v>Average</v>
      </c>
      <c r="AC353" s="3" t="str">
        <f t="shared" si="71"/>
        <v>May</v>
      </c>
      <c r="AD353" s="3" t="str">
        <f t="shared" si="72"/>
        <v>Q2</v>
      </c>
      <c r="AE353" s="3">
        <f t="shared" si="73"/>
        <v>2026</v>
      </c>
      <c r="AF353" s="3" t="str">
        <f t="shared" si="74"/>
        <v>Monday</v>
      </c>
      <c r="AG353" s="3" t="str">
        <f t="shared" si="75"/>
        <v>26-35</v>
      </c>
      <c r="AH353" s="3" t="str">
        <f t="shared" si="76"/>
        <v>Large</v>
      </c>
      <c r="AI353" s="3" t="str">
        <f t="shared" si="77"/>
        <v>Medium</v>
      </c>
      <c r="AJ353" s="3" t="str" cm="1">
        <f t="array" ref="AJ353">_xlfn.IFS(S353&gt;=80000,"VIP",S353&gt;=40000,"Gold",S353&gt;=15000,"Silver",TRUE,"Bronze")</f>
        <v>VIP</v>
      </c>
    </row>
    <row r="354" spans="1:36" x14ac:dyDescent="0.3">
      <c r="A354" s="3" t="s">
        <v>973</v>
      </c>
      <c r="B354" s="15">
        <v>46387</v>
      </c>
      <c r="C354" s="15">
        <v>46389</v>
      </c>
      <c r="D354" s="3" t="s">
        <v>974</v>
      </c>
      <c r="E354" s="3" t="s">
        <v>509</v>
      </c>
      <c r="F354" s="3" t="s">
        <v>52</v>
      </c>
      <c r="G354" s="3">
        <v>29</v>
      </c>
      <c r="H354" s="3" t="s">
        <v>60</v>
      </c>
      <c r="I354" s="3" t="s">
        <v>61</v>
      </c>
      <c r="J354" s="3" t="s">
        <v>42</v>
      </c>
      <c r="K354" s="3" t="s">
        <v>54</v>
      </c>
      <c r="L354" s="3" t="s">
        <v>173</v>
      </c>
      <c r="M354" s="3" t="s">
        <v>45</v>
      </c>
      <c r="N354" s="3" t="s">
        <v>46</v>
      </c>
      <c r="O354" s="3" t="s">
        <v>55</v>
      </c>
      <c r="P354" s="3">
        <v>1</v>
      </c>
      <c r="Q354" s="9">
        <v>79900</v>
      </c>
      <c r="R354" s="6">
        <v>0.05</v>
      </c>
      <c r="S354" s="12">
        <f t="shared" si="65"/>
        <v>75905</v>
      </c>
      <c r="T354" s="12">
        <v>65000</v>
      </c>
      <c r="U354" s="9">
        <f t="shared" si="66"/>
        <v>10905</v>
      </c>
      <c r="V354" s="6">
        <f t="shared" si="67"/>
        <v>0.14366642513668401</v>
      </c>
      <c r="W354" s="3" t="s">
        <v>65</v>
      </c>
      <c r="X354" s="3" t="s">
        <v>101</v>
      </c>
      <c r="Y354" s="3">
        <f t="shared" si="68"/>
        <v>2</v>
      </c>
      <c r="Z354" s="3" t="str">
        <f t="shared" si="69"/>
        <v>Premium</v>
      </c>
      <c r="AA354" s="3">
        <v>5</v>
      </c>
      <c r="AB354" s="3" t="str">
        <f t="shared" si="70"/>
        <v>Excellent</v>
      </c>
      <c r="AC354" s="3" t="str">
        <f t="shared" si="71"/>
        <v>December</v>
      </c>
      <c r="AD354" s="3" t="str">
        <f t="shared" si="72"/>
        <v>Q4</v>
      </c>
      <c r="AE354" s="3">
        <f t="shared" si="73"/>
        <v>2026</v>
      </c>
      <c r="AF354" s="3" t="str">
        <f t="shared" si="74"/>
        <v>Thursday</v>
      </c>
      <c r="AG354" s="3" t="str">
        <f t="shared" si="75"/>
        <v>26-35</v>
      </c>
      <c r="AH354" s="3" t="str">
        <f t="shared" si="76"/>
        <v>Large</v>
      </c>
      <c r="AI354" s="3" t="str">
        <f t="shared" si="77"/>
        <v>Low</v>
      </c>
      <c r="AJ354" s="3" t="str" cm="1">
        <f t="array" ref="AJ354">_xlfn.IFS(S354&gt;=80000,"VIP",S354&gt;=40000,"Gold",S354&gt;=15000,"Silver",TRUE,"Bronze")</f>
        <v>Gold</v>
      </c>
    </row>
    <row r="355" spans="1:36" x14ac:dyDescent="0.3">
      <c r="A355" s="3" t="s">
        <v>975</v>
      </c>
      <c r="B355" s="15">
        <v>46069</v>
      </c>
      <c r="C355" s="15">
        <v>46071</v>
      </c>
      <c r="D355" s="3" t="s">
        <v>976</v>
      </c>
      <c r="E355" s="3" t="s">
        <v>977</v>
      </c>
      <c r="F355" s="3" t="s">
        <v>39</v>
      </c>
      <c r="G355" s="3">
        <v>29</v>
      </c>
      <c r="H355" s="3" t="s">
        <v>88</v>
      </c>
      <c r="I355" s="3" t="s">
        <v>89</v>
      </c>
      <c r="J355" s="3" t="s">
        <v>80</v>
      </c>
      <c r="K355" s="3" t="s">
        <v>81</v>
      </c>
      <c r="L355" s="3" t="s">
        <v>82</v>
      </c>
      <c r="M355" s="3" t="s">
        <v>45</v>
      </c>
      <c r="N355" s="3" t="s">
        <v>83</v>
      </c>
      <c r="O355" s="3" t="s">
        <v>84</v>
      </c>
      <c r="P355" s="3">
        <v>3</v>
      </c>
      <c r="Q355" s="9">
        <v>42000</v>
      </c>
      <c r="R355" s="6">
        <v>0.12</v>
      </c>
      <c r="S355" s="12">
        <f t="shared" si="65"/>
        <v>110880</v>
      </c>
      <c r="T355" s="12">
        <v>35000</v>
      </c>
      <c r="U355" s="9">
        <f t="shared" si="66"/>
        <v>5880</v>
      </c>
      <c r="V355" s="6">
        <f t="shared" si="67"/>
        <v>5.3030303030303032E-2</v>
      </c>
      <c r="W355" s="3" t="s">
        <v>73</v>
      </c>
      <c r="X355" s="3" t="s">
        <v>106</v>
      </c>
      <c r="Y355" s="3">
        <f t="shared" si="68"/>
        <v>2</v>
      </c>
      <c r="Z355" s="3" t="str">
        <f t="shared" si="69"/>
        <v>Premium</v>
      </c>
      <c r="AA355" s="3">
        <v>5</v>
      </c>
      <c r="AB355" s="3" t="str">
        <f t="shared" si="70"/>
        <v>Excellent</v>
      </c>
      <c r="AC355" s="3" t="str">
        <f t="shared" si="71"/>
        <v>February</v>
      </c>
      <c r="AD355" s="3" t="str">
        <f t="shared" si="72"/>
        <v>Q1</v>
      </c>
      <c r="AE355" s="3">
        <f t="shared" si="73"/>
        <v>2026</v>
      </c>
      <c r="AF355" s="3" t="str">
        <f t="shared" si="74"/>
        <v>Monday</v>
      </c>
      <c r="AG355" s="3" t="str">
        <f t="shared" si="75"/>
        <v>26-35</v>
      </c>
      <c r="AH355" s="3" t="str">
        <f t="shared" si="76"/>
        <v>Large</v>
      </c>
      <c r="AI355" s="3" t="str">
        <f t="shared" si="77"/>
        <v>Medium</v>
      </c>
      <c r="AJ355" s="3" t="str" cm="1">
        <f t="array" ref="AJ355">_xlfn.IFS(S355&gt;=80000,"VIP",S355&gt;=40000,"Gold",S355&gt;=15000,"Silver",TRUE,"Bronze")</f>
        <v>VIP</v>
      </c>
    </row>
    <row r="356" spans="1:36" x14ac:dyDescent="0.3">
      <c r="A356" s="3" t="s">
        <v>978</v>
      </c>
      <c r="B356" s="15">
        <v>46278</v>
      </c>
      <c r="C356" s="15">
        <v>46283</v>
      </c>
      <c r="D356" s="3" t="s">
        <v>979</v>
      </c>
      <c r="E356" s="3" t="s">
        <v>803</v>
      </c>
      <c r="F356" s="3" t="s">
        <v>39</v>
      </c>
      <c r="G356" s="3">
        <v>34</v>
      </c>
      <c r="H356" s="3" t="s">
        <v>60</v>
      </c>
      <c r="I356" s="3" t="s">
        <v>61</v>
      </c>
      <c r="J356" s="3" t="s">
        <v>42</v>
      </c>
      <c r="K356" s="3" t="s">
        <v>70</v>
      </c>
      <c r="L356" s="3" t="s">
        <v>71</v>
      </c>
      <c r="M356" s="3" t="s">
        <v>45</v>
      </c>
      <c r="N356" s="3" t="s">
        <v>63</v>
      </c>
      <c r="O356" s="3" t="s">
        <v>72</v>
      </c>
      <c r="P356" s="3">
        <v>4</v>
      </c>
      <c r="Q356" s="9">
        <v>58000</v>
      </c>
      <c r="R356" s="6">
        <v>0.15</v>
      </c>
      <c r="S356" s="12">
        <f t="shared" si="65"/>
        <v>197200</v>
      </c>
      <c r="T356" s="12">
        <v>49000</v>
      </c>
      <c r="U356" s="9">
        <f t="shared" si="66"/>
        <v>1200</v>
      </c>
      <c r="V356" s="6">
        <f t="shared" si="67"/>
        <v>6.0851926977687626E-3</v>
      </c>
      <c r="W356" s="3" t="s">
        <v>73</v>
      </c>
      <c r="X356" s="3" t="s">
        <v>49</v>
      </c>
      <c r="Y356" s="3">
        <f t="shared" si="68"/>
        <v>5</v>
      </c>
      <c r="Z356" s="3" t="str">
        <f t="shared" si="69"/>
        <v>Premium</v>
      </c>
      <c r="AA356" s="3">
        <v>4</v>
      </c>
      <c r="AB356" s="3" t="str">
        <f t="shared" si="70"/>
        <v>Excellent</v>
      </c>
      <c r="AC356" s="3" t="str">
        <f t="shared" si="71"/>
        <v>September</v>
      </c>
      <c r="AD356" s="3" t="str">
        <f t="shared" si="72"/>
        <v>Q3</v>
      </c>
      <c r="AE356" s="3">
        <f t="shared" si="73"/>
        <v>2026</v>
      </c>
      <c r="AF356" s="3" t="str">
        <f t="shared" si="74"/>
        <v>Sunday</v>
      </c>
      <c r="AG356" s="3" t="str">
        <f t="shared" si="75"/>
        <v>26-35</v>
      </c>
      <c r="AH356" s="3" t="str">
        <f t="shared" si="76"/>
        <v>Large</v>
      </c>
      <c r="AI356" s="3" t="str">
        <f t="shared" si="77"/>
        <v>Medium</v>
      </c>
      <c r="AJ356" s="3" t="str" cm="1">
        <f t="array" ref="AJ356">_xlfn.IFS(S356&gt;=80000,"VIP",S356&gt;=40000,"Gold",S356&gt;=15000,"Silver",TRUE,"Bronze")</f>
        <v>VIP</v>
      </c>
    </row>
    <row r="357" spans="1:36" x14ac:dyDescent="0.3">
      <c r="A357" s="3" t="s">
        <v>980</v>
      </c>
      <c r="B357" s="15">
        <v>46352</v>
      </c>
      <c r="C357" s="15">
        <v>46357</v>
      </c>
      <c r="D357" s="3" t="s">
        <v>981</v>
      </c>
      <c r="E357" s="3" t="s">
        <v>184</v>
      </c>
      <c r="F357" s="3" t="s">
        <v>39</v>
      </c>
      <c r="G357" s="3">
        <v>21</v>
      </c>
      <c r="H357" s="3" t="s">
        <v>68</v>
      </c>
      <c r="I357" s="3" t="s">
        <v>68</v>
      </c>
      <c r="J357" s="3" t="s">
        <v>69</v>
      </c>
      <c r="K357" s="3" t="s">
        <v>81</v>
      </c>
      <c r="L357" s="3" t="s">
        <v>82</v>
      </c>
      <c r="M357" s="3" t="s">
        <v>45</v>
      </c>
      <c r="N357" s="3" t="s">
        <v>83</v>
      </c>
      <c r="O357" s="3" t="s">
        <v>84</v>
      </c>
      <c r="P357" s="3">
        <v>4</v>
      </c>
      <c r="Q357" s="9">
        <v>42000</v>
      </c>
      <c r="R357" s="6">
        <v>0.05</v>
      </c>
      <c r="S357" s="12">
        <f t="shared" si="65"/>
        <v>159600</v>
      </c>
      <c r="T357" s="12">
        <v>35000</v>
      </c>
      <c r="U357" s="9">
        <f t="shared" si="66"/>
        <v>19600</v>
      </c>
      <c r="V357" s="6">
        <f t="shared" si="67"/>
        <v>0.12280701754385964</v>
      </c>
      <c r="W357" s="3" t="s">
        <v>92</v>
      </c>
      <c r="X357" s="3" t="s">
        <v>101</v>
      </c>
      <c r="Y357" s="3">
        <f t="shared" si="68"/>
        <v>5</v>
      </c>
      <c r="Z357" s="3" t="str">
        <f t="shared" si="69"/>
        <v>Premium</v>
      </c>
      <c r="AA357" s="3">
        <v>4</v>
      </c>
      <c r="AB357" s="3" t="str">
        <f t="shared" si="70"/>
        <v>Excellent</v>
      </c>
      <c r="AC357" s="3" t="str">
        <f t="shared" si="71"/>
        <v>November</v>
      </c>
      <c r="AD357" s="3" t="str">
        <f t="shared" si="72"/>
        <v>Q4</v>
      </c>
      <c r="AE357" s="3">
        <f t="shared" si="73"/>
        <v>2026</v>
      </c>
      <c r="AF357" s="3" t="str">
        <f t="shared" si="74"/>
        <v>Thursday</v>
      </c>
      <c r="AG357" s="3" t="str">
        <f t="shared" si="75"/>
        <v>18-25</v>
      </c>
      <c r="AH357" s="3" t="str">
        <f t="shared" si="76"/>
        <v>Large</v>
      </c>
      <c r="AI357" s="3" t="str">
        <f t="shared" si="77"/>
        <v>Low</v>
      </c>
      <c r="AJ357" s="3" t="str" cm="1">
        <f t="array" ref="AJ357">_xlfn.IFS(S357&gt;=80000,"VIP",S357&gt;=40000,"Gold",S357&gt;=15000,"Silver",TRUE,"Bronze")</f>
        <v>VIP</v>
      </c>
    </row>
    <row r="358" spans="1:36" x14ac:dyDescent="0.3">
      <c r="A358" s="3" t="s">
        <v>982</v>
      </c>
      <c r="B358" s="15">
        <v>46051</v>
      </c>
      <c r="C358" s="15">
        <v>46057</v>
      </c>
      <c r="D358" s="3" t="s">
        <v>983</v>
      </c>
      <c r="E358" s="3" t="s">
        <v>402</v>
      </c>
      <c r="F358" s="3" t="s">
        <v>39</v>
      </c>
      <c r="G358" s="3">
        <v>42</v>
      </c>
      <c r="H358" s="3" t="s">
        <v>78</v>
      </c>
      <c r="I358" s="3" t="s">
        <v>79</v>
      </c>
      <c r="J358" s="3" t="s">
        <v>80</v>
      </c>
      <c r="K358" s="3" t="s">
        <v>90</v>
      </c>
      <c r="L358" s="3" t="s">
        <v>122</v>
      </c>
      <c r="M358" s="3" t="s">
        <v>45</v>
      </c>
      <c r="N358" s="3" t="s">
        <v>91</v>
      </c>
      <c r="O358" s="3" t="s">
        <v>123</v>
      </c>
      <c r="P358" s="3">
        <v>5</v>
      </c>
      <c r="Q358" s="9">
        <v>2500</v>
      </c>
      <c r="R358" s="6">
        <v>0.05</v>
      </c>
      <c r="S358" s="12">
        <f t="shared" si="65"/>
        <v>11875</v>
      </c>
      <c r="T358" s="12">
        <v>1700</v>
      </c>
      <c r="U358" s="9">
        <f t="shared" si="66"/>
        <v>3375</v>
      </c>
      <c r="V358" s="6">
        <f t="shared" si="67"/>
        <v>0.28421052631578947</v>
      </c>
      <c r="W358" s="3" t="s">
        <v>100</v>
      </c>
      <c r="X358" s="3" t="s">
        <v>49</v>
      </c>
      <c r="Y358" s="3">
        <f t="shared" si="68"/>
        <v>6</v>
      </c>
      <c r="Z358" s="3" t="str">
        <f t="shared" si="69"/>
        <v>Regular</v>
      </c>
      <c r="AA358" s="3">
        <v>5</v>
      </c>
      <c r="AB358" s="3" t="str">
        <f t="shared" si="70"/>
        <v>Excellent</v>
      </c>
      <c r="AC358" s="3" t="str">
        <f t="shared" si="71"/>
        <v>January</v>
      </c>
      <c r="AD358" s="3" t="str">
        <f t="shared" si="72"/>
        <v>Q1</v>
      </c>
      <c r="AE358" s="3">
        <f t="shared" si="73"/>
        <v>2026</v>
      </c>
      <c r="AF358" s="3" t="str">
        <f t="shared" si="74"/>
        <v>Thursday</v>
      </c>
      <c r="AG358" s="3" t="str">
        <f t="shared" si="75"/>
        <v>36-45</v>
      </c>
      <c r="AH358" s="3" t="str">
        <f t="shared" si="76"/>
        <v>Medium</v>
      </c>
      <c r="AI358" s="3" t="str">
        <f t="shared" si="77"/>
        <v>Low</v>
      </c>
      <c r="AJ358" s="3" t="str" cm="1">
        <f t="array" ref="AJ358">_xlfn.IFS(S358&gt;=80000,"VIP",S358&gt;=40000,"Gold",S358&gt;=15000,"Silver",TRUE,"Bronze")</f>
        <v>Bronze</v>
      </c>
    </row>
    <row r="359" spans="1:36" x14ac:dyDescent="0.3">
      <c r="A359" s="3" t="s">
        <v>984</v>
      </c>
      <c r="B359" s="15">
        <v>46240</v>
      </c>
      <c r="C359" s="15">
        <v>46243</v>
      </c>
      <c r="D359" s="3" t="s">
        <v>985</v>
      </c>
      <c r="E359" s="3" t="s">
        <v>144</v>
      </c>
      <c r="F359" s="3" t="s">
        <v>52</v>
      </c>
      <c r="G359" s="3">
        <v>27</v>
      </c>
      <c r="H359" s="3" t="s">
        <v>40</v>
      </c>
      <c r="I359" s="3" t="s">
        <v>41</v>
      </c>
      <c r="J359" s="3" t="s">
        <v>42</v>
      </c>
      <c r="K359" s="3" t="s">
        <v>90</v>
      </c>
      <c r="L359" s="3" t="s">
        <v>122</v>
      </c>
      <c r="M359" s="3" t="s">
        <v>45</v>
      </c>
      <c r="N359" s="3" t="s">
        <v>91</v>
      </c>
      <c r="O359" s="3" t="s">
        <v>123</v>
      </c>
      <c r="P359" s="3">
        <v>3</v>
      </c>
      <c r="Q359" s="9">
        <v>2500</v>
      </c>
      <c r="R359" s="6">
        <v>0.1</v>
      </c>
      <c r="S359" s="12">
        <f t="shared" si="65"/>
        <v>6750</v>
      </c>
      <c r="T359" s="12">
        <v>1700</v>
      </c>
      <c r="U359" s="9">
        <f t="shared" si="66"/>
        <v>1650</v>
      </c>
      <c r="V359" s="6">
        <f t="shared" si="67"/>
        <v>0.24444444444444444</v>
      </c>
      <c r="W359" s="3" t="s">
        <v>65</v>
      </c>
      <c r="X359" s="3" t="s">
        <v>74</v>
      </c>
      <c r="Y359" s="3">
        <f t="shared" si="68"/>
        <v>3</v>
      </c>
      <c r="Z359" s="3" t="str">
        <f t="shared" si="69"/>
        <v>Regular</v>
      </c>
      <c r="AA359" s="3">
        <v>3</v>
      </c>
      <c r="AB359" s="3" t="str">
        <f t="shared" si="70"/>
        <v>Average</v>
      </c>
      <c r="AC359" s="3" t="str">
        <f t="shared" si="71"/>
        <v>August</v>
      </c>
      <c r="AD359" s="3" t="str">
        <f t="shared" si="72"/>
        <v>Q3</v>
      </c>
      <c r="AE359" s="3">
        <f t="shared" si="73"/>
        <v>2026</v>
      </c>
      <c r="AF359" s="3" t="str">
        <f t="shared" si="74"/>
        <v>Thursday</v>
      </c>
      <c r="AG359" s="3" t="str">
        <f t="shared" si="75"/>
        <v>26-35</v>
      </c>
      <c r="AH359" s="3" t="str">
        <f t="shared" si="76"/>
        <v>Small</v>
      </c>
      <c r="AI359" s="3" t="str">
        <f t="shared" si="77"/>
        <v>Medium</v>
      </c>
      <c r="AJ359" s="3" t="str" cm="1">
        <f t="array" ref="AJ359">_xlfn.IFS(S359&gt;=80000,"VIP",S359&gt;=40000,"Gold",S359&gt;=15000,"Silver",TRUE,"Bronze")</f>
        <v>Bronze</v>
      </c>
    </row>
    <row r="360" spans="1:36" x14ac:dyDescent="0.3">
      <c r="A360" s="3" t="s">
        <v>986</v>
      </c>
      <c r="B360" s="15">
        <v>46060</v>
      </c>
      <c r="C360" s="15">
        <v>46062</v>
      </c>
      <c r="D360" s="3" t="s">
        <v>987</v>
      </c>
      <c r="E360" s="3" t="s">
        <v>803</v>
      </c>
      <c r="F360" s="3" t="s">
        <v>39</v>
      </c>
      <c r="G360" s="3">
        <v>30</v>
      </c>
      <c r="H360" s="3" t="s">
        <v>110</v>
      </c>
      <c r="I360" s="3" t="s">
        <v>111</v>
      </c>
      <c r="J360" s="3" t="s">
        <v>80</v>
      </c>
      <c r="K360" s="3" t="s">
        <v>90</v>
      </c>
      <c r="L360" s="3" t="s">
        <v>122</v>
      </c>
      <c r="M360" s="3" t="s">
        <v>45</v>
      </c>
      <c r="N360" s="3" t="s">
        <v>91</v>
      </c>
      <c r="O360" s="3" t="s">
        <v>123</v>
      </c>
      <c r="P360" s="3">
        <v>3</v>
      </c>
      <c r="Q360" s="9">
        <v>2500</v>
      </c>
      <c r="R360" s="6">
        <v>0.15</v>
      </c>
      <c r="S360" s="12">
        <f t="shared" si="65"/>
        <v>6375</v>
      </c>
      <c r="T360" s="12">
        <v>1700</v>
      </c>
      <c r="U360" s="9">
        <f t="shared" si="66"/>
        <v>1275</v>
      </c>
      <c r="V360" s="6">
        <f t="shared" si="67"/>
        <v>0.2</v>
      </c>
      <c r="W360" s="3" t="s">
        <v>100</v>
      </c>
      <c r="X360" s="3" t="s">
        <v>101</v>
      </c>
      <c r="Y360" s="3">
        <f t="shared" si="68"/>
        <v>2</v>
      </c>
      <c r="Z360" s="3" t="str">
        <f t="shared" si="69"/>
        <v>Regular</v>
      </c>
      <c r="AA360" s="3">
        <v>2</v>
      </c>
      <c r="AB360" s="3" t="str">
        <f t="shared" si="70"/>
        <v>Average</v>
      </c>
      <c r="AC360" s="3" t="str">
        <f t="shared" si="71"/>
        <v>February</v>
      </c>
      <c r="AD360" s="3" t="str">
        <f t="shared" si="72"/>
        <v>Q1</v>
      </c>
      <c r="AE360" s="3">
        <f t="shared" si="73"/>
        <v>2026</v>
      </c>
      <c r="AF360" s="3" t="str">
        <f t="shared" si="74"/>
        <v>Saturday</v>
      </c>
      <c r="AG360" s="3" t="str">
        <f t="shared" si="75"/>
        <v>26-35</v>
      </c>
      <c r="AH360" s="3" t="str">
        <f t="shared" si="76"/>
        <v>Small</v>
      </c>
      <c r="AI360" s="3" t="str">
        <f t="shared" si="77"/>
        <v>Medium</v>
      </c>
      <c r="AJ360" s="3" t="str" cm="1">
        <f t="array" ref="AJ360">_xlfn.IFS(S360&gt;=80000,"VIP",S360&gt;=40000,"Gold",S360&gt;=15000,"Silver",TRUE,"Bronze")</f>
        <v>Bronze</v>
      </c>
    </row>
    <row r="361" spans="1:36" x14ac:dyDescent="0.3">
      <c r="A361" s="3" t="s">
        <v>988</v>
      </c>
      <c r="B361" s="15">
        <v>46292</v>
      </c>
      <c r="C361" s="15">
        <v>46296</v>
      </c>
      <c r="D361" s="3" t="s">
        <v>989</v>
      </c>
      <c r="E361" s="3" t="s">
        <v>224</v>
      </c>
      <c r="F361" s="3" t="s">
        <v>39</v>
      </c>
      <c r="G361" s="3">
        <v>23</v>
      </c>
      <c r="H361" s="3" t="s">
        <v>68</v>
      </c>
      <c r="I361" s="3" t="s">
        <v>68</v>
      </c>
      <c r="J361" s="3" t="s">
        <v>69</v>
      </c>
      <c r="K361" s="3" t="s">
        <v>105</v>
      </c>
      <c r="L361" s="3" t="s">
        <v>112</v>
      </c>
      <c r="M361" s="3" t="s">
        <v>113</v>
      </c>
      <c r="N361" s="3" t="s">
        <v>114</v>
      </c>
      <c r="O361" s="3" t="s">
        <v>115</v>
      </c>
      <c r="P361" s="3">
        <v>3</v>
      </c>
      <c r="Q361" s="9">
        <v>3500</v>
      </c>
      <c r="R361" s="6">
        <v>0.2</v>
      </c>
      <c r="S361" s="12">
        <f t="shared" si="65"/>
        <v>8400</v>
      </c>
      <c r="T361" s="12">
        <v>2500</v>
      </c>
      <c r="U361" s="9">
        <f t="shared" si="66"/>
        <v>900</v>
      </c>
      <c r="V361" s="6">
        <f t="shared" si="67"/>
        <v>0.10714285714285714</v>
      </c>
      <c r="W361" s="3" t="s">
        <v>100</v>
      </c>
      <c r="X361" s="3" t="s">
        <v>106</v>
      </c>
      <c r="Y361" s="3">
        <f t="shared" si="68"/>
        <v>4</v>
      </c>
      <c r="Z361" s="3" t="str">
        <f t="shared" si="69"/>
        <v>Regular</v>
      </c>
      <c r="AA361" s="3">
        <v>4</v>
      </c>
      <c r="AB361" s="3" t="str">
        <f t="shared" si="70"/>
        <v>Excellent</v>
      </c>
      <c r="AC361" s="3" t="str">
        <f t="shared" si="71"/>
        <v>September</v>
      </c>
      <c r="AD361" s="3" t="str">
        <f t="shared" si="72"/>
        <v>Q3</v>
      </c>
      <c r="AE361" s="3">
        <f t="shared" si="73"/>
        <v>2026</v>
      </c>
      <c r="AF361" s="3" t="str">
        <f t="shared" si="74"/>
        <v>Sunday</v>
      </c>
      <c r="AG361" s="3" t="str">
        <f t="shared" si="75"/>
        <v>18-25</v>
      </c>
      <c r="AH361" s="3" t="str">
        <f t="shared" si="76"/>
        <v>Small</v>
      </c>
      <c r="AI361" s="3" t="str">
        <f t="shared" si="77"/>
        <v>High</v>
      </c>
      <c r="AJ361" s="3" t="str" cm="1">
        <f t="array" ref="AJ361">_xlfn.IFS(S361&gt;=80000,"VIP",S361&gt;=40000,"Gold",S361&gt;=15000,"Silver",TRUE,"Bronze")</f>
        <v>Bronze</v>
      </c>
    </row>
    <row r="362" spans="1:36" x14ac:dyDescent="0.3">
      <c r="A362" s="3" t="s">
        <v>990</v>
      </c>
      <c r="B362" s="15">
        <v>46055</v>
      </c>
      <c r="C362" s="15">
        <v>46059</v>
      </c>
      <c r="D362" s="3" t="s">
        <v>991</v>
      </c>
      <c r="E362" s="3" t="s">
        <v>165</v>
      </c>
      <c r="F362" s="3" t="s">
        <v>52</v>
      </c>
      <c r="G362" s="3">
        <v>28</v>
      </c>
      <c r="H362" s="3" t="s">
        <v>110</v>
      </c>
      <c r="I362" s="3" t="s">
        <v>111</v>
      </c>
      <c r="J362" s="3" t="s">
        <v>80</v>
      </c>
      <c r="K362" s="3" t="s">
        <v>96</v>
      </c>
      <c r="L362" s="3" t="s">
        <v>166</v>
      </c>
      <c r="M362" s="3" t="s">
        <v>97</v>
      </c>
      <c r="N362" s="3" t="s">
        <v>98</v>
      </c>
      <c r="O362" s="3" t="s">
        <v>99</v>
      </c>
      <c r="P362" s="3">
        <v>5</v>
      </c>
      <c r="Q362" s="9">
        <v>4500</v>
      </c>
      <c r="R362" s="6">
        <v>0.08</v>
      </c>
      <c r="S362" s="12">
        <f t="shared" si="65"/>
        <v>20700</v>
      </c>
      <c r="T362" s="12">
        <v>3000</v>
      </c>
      <c r="U362" s="9">
        <f t="shared" si="66"/>
        <v>5700</v>
      </c>
      <c r="V362" s="6">
        <f t="shared" si="67"/>
        <v>0.27536231884057971</v>
      </c>
      <c r="W362" s="3" t="s">
        <v>73</v>
      </c>
      <c r="X362" s="3" t="s">
        <v>49</v>
      </c>
      <c r="Y362" s="3">
        <f t="shared" si="68"/>
        <v>4</v>
      </c>
      <c r="Z362" s="3" t="str">
        <f t="shared" si="69"/>
        <v>Regular</v>
      </c>
      <c r="AA362" s="3">
        <v>2</v>
      </c>
      <c r="AB362" s="3" t="str">
        <f t="shared" si="70"/>
        <v>Average</v>
      </c>
      <c r="AC362" s="3" t="str">
        <f t="shared" si="71"/>
        <v>February</v>
      </c>
      <c r="AD362" s="3" t="str">
        <f t="shared" si="72"/>
        <v>Q1</v>
      </c>
      <c r="AE362" s="3">
        <f t="shared" si="73"/>
        <v>2026</v>
      </c>
      <c r="AF362" s="3" t="str">
        <f t="shared" si="74"/>
        <v>Monday</v>
      </c>
      <c r="AG362" s="3" t="str">
        <f t="shared" si="75"/>
        <v>26-35</v>
      </c>
      <c r="AH362" s="3" t="str">
        <f t="shared" si="76"/>
        <v>Medium</v>
      </c>
      <c r="AI362" s="3" t="str">
        <f t="shared" si="77"/>
        <v>Medium</v>
      </c>
      <c r="AJ362" s="3" t="str" cm="1">
        <f t="array" ref="AJ362">_xlfn.IFS(S362&gt;=80000,"VIP",S362&gt;=40000,"Gold",S362&gt;=15000,"Silver",TRUE,"Bronze")</f>
        <v>Silver</v>
      </c>
    </row>
    <row r="363" spans="1:36" x14ac:dyDescent="0.3">
      <c r="A363" s="3" t="s">
        <v>992</v>
      </c>
      <c r="B363" s="15">
        <v>46353</v>
      </c>
      <c r="C363" s="15">
        <v>46356</v>
      </c>
      <c r="D363" s="3" t="s">
        <v>993</v>
      </c>
      <c r="E363" s="3" t="s">
        <v>653</v>
      </c>
      <c r="F363" s="3" t="s">
        <v>39</v>
      </c>
      <c r="G363" s="3">
        <v>46</v>
      </c>
      <c r="H363" s="3" t="s">
        <v>78</v>
      </c>
      <c r="I363" s="3" t="s">
        <v>79</v>
      </c>
      <c r="J363" s="3" t="s">
        <v>80</v>
      </c>
      <c r="K363" s="3" t="s">
        <v>96</v>
      </c>
      <c r="L363" s="3" t="s">
        <v>166</v>
      </c>
      <c r="M363" s="3" t="s">
        <v>97</v>
      </c>
      <c r="N363" s="3" t="s">
        <v>98</v>
      </c>
      <c r="O363" s="3" t="s">
        <v>99</v>
      </c>
      <c r="P363" s="3">
        <v>5</v>
      </c>
      <c r="Q363" s="9">
        <v>4500</v>
      </c>
      <c r="R363" s="6">
        <v>0.2</v>
      </c>
      <c r="S363" s="12">
        <f t="shared" si="65"/>
        <v>18000</v>
      </c>
      <c r="T363" s="12">
        <v>3000</v>
      </c>
      <c r="U363" s="9">
        <f t="shared" si="66"/>
        <v>3000</v>
      </c>
      <c r="V363" s="6">
        <f t="shared" si="67"/>
        <v>0.16666666666666666</v>
      </c>
      <c r="W363" s="3" t="s">
        <v>73</v>
      </c>
      <c r="X363" s="3" t="s">
        <v>101</v>
      </c>
      <c r="Y363" s="3">
        <f t="shared" si="68"/>
        <v>3</v>
      </c>
      <c r="Z363" s="3" t="str">
        <f t="shared" si="69"/>
        <v>Regular</v>
      </c>
      <c r="AA363" s="3">
        <v>4</v>
      </c>
      <c r="AB363" s="3" t="str">
        <f t="shared" si="70"/>
        <v>Excellent</v>
      </c>
      <c r="AC363" s="3" t="str">
        <f t="shared" si="71"/>
        <v>November</v>
      </c>
      <c r="AD363" s="3" t="str">
        <f t="shared" si="72"/>
        <v>Q4</v>
      </c>
      <c r="AE363" s="3">
        <f t="shared" si="73"/>
        <v>2026</v>
      </c>
      <c r="AF363" s="3" t="str">
        <f t="shared" si="74"/>
        <v>Friday</v>
      </c>
      <c r="AG363" s="3" t="str">
        <f t="shared" si="75"/>
        <v>46+</v>
      </c>
      <c r="AH363" s="3" t="str">
        <f t="shared" si="76"/>
        <v>Medium</v>
      </c>
      <c r="AI363" s="3" t="str">
        <f t="shared" si="77"/>
        <v>High</v>
      </c>
      <c r="AJ363" s="3" t="str" cm="1">
        <f t="array" ref="AJ363">_xlfn.IFS(S363&gt;=80000,"VIP",S363&gt;=40000,"Gold",S363&gt;=15000,"Silver",TRUE,"Bronze")</f>
        <v>Silver</v>
      </c>
    </row>
    <row r="364" spans="1:36" x14ac:dyDescent="0.3">
      <c r="A364" s="3" t="s">
        <v>994</v>
      </c>
      <c r="B364" s="15">
        <v>46023</v>
      </c>
      <c r="C364" s="15">
        <v>46028</v>
      </c>
      <c r="D364" s="3" t="s">
        <v>995</v>
      </c>
      <c r="E364" s="3" t="s">
        <v>897</v>
      </c>
      <c r="F364" s="3" t="s">
        <v>39</v>
      </c>
      <c r="G364" s="3">
        <v>38</v>
      </c>
      <c r="H364" s="3" t="s">
        <v>110</v>
      </c>
      <c r="I364" s="3" t="s">
        <v>111</v>
      </c>
      <c r="J364" s="3" t="s">
        <v>80</v>
      </c>
      <c r="K364" s="3" t="s">
        <v>70</v>
      </c>
      <c r="L364" s="3" t="s">
        <v>71</v>
      </c>
      <c r="M364" s="3" t="s">
        <v>45</v>
      </c>
      <c r="N364" s="3" t="s">
        <v>63</v>
      </c>
      <c r="O364" s="3" t="s">
        <v>72</v>
      </c>
      <c r="P364" s="3">
        <v>2</v>
      </c>
      <c r="Q364" s="9">
        <v>58000</v>
      </c>
      <c r="R364" s="6">
        <v>0.12</v>
      </c>
      <c r="S364" s="12">
        <f t="shared" si="65"/>
        <v>102080</v>
      </c>
      <c r="T364" s="12">
        <v>49000</v>
      </c>
      <c r="U364" s="9">
        <f t="shared" si="66"/>
        <v>4080</v>
      </c>
      <c r="V364" s="6">
        <f t="shared" si="67"/>
        <v>3.9968652037617555E-2</v>
      </c>
      <c r="W364" s="3" t="s">
        <v>73</v>
      </c>
      <c r="X364" s="3" t="s">
        <v>101</v>
      </c>
      <c r="Y364" s="3">
        <f t="shared" si="68"/>
        <v>5</v>
      </c>
      <c r="Z364" s="3" t="str">
        <f t="shared" si="69"/>
        <v>Premium</v>
      </c>
      <c r="AA364" s="3">
        <v>4</v>
      </c>
      <c r="AB364" s="3" t="str">
        <f t="shared" si="70"/>
        <v>Excellent</v>
      </c>
      <c r="AC364" s="3" t="str">
        <f t="shared" si="71"/>
        <v>January</v>
      </c>
      <c r="AD364" s="3" t="str">
        <f t="shared" si="72"/>
        <v>Q1</v>
      </c>
      <c r="AE364" s="3">
        <f t="shared" si="73"/>
        <v>2026</v>
      </c>
      <c r="AF364" s="3" t="str">
        <f t="shared" si="74"/>
        <v>Thursday</v>
      </c>
      <c r="AG364" s="3" t="str">
        <f t="shared" si="75"/>
        <v>36-45</v>
      </c>
      <c r="AH364" s="3" t="str">
        <f t="shared" si="76"/>
        <v>Large</v>
      </c>
      <c r="AI364" s="3" t="str">
        <f t="shared" si="77"/>
        <v>Medium</v>
      </c>
      <c r="AJ364" s="3" t="str" cm="1">
        <f t="array" ref="AJ364">_xlfn.IFS(S364&gt;=80000,"VIP",S364&gt;=40000,"Gold",S364&gt;=15000,"Silver",TRUE,"Bronze")</f>
        <v>VIP</v>
      </c>
    </row>
    <row r="365" spans="1:36" x14ac:dyDescent="0.3">
      <c r="A365" s="3" t="s">
        <v>996</v>
      </c>
      <c r="B365" s="15">
        <v>46199</v>
      </c>
      <c r="C365" s="15">
        <v>46201</v>
      </c>
      <c r="D365" s="3" t="s">
        <v>997</v>
      </c>
      <c r="E365" s="3" t="s">
        <v>998</v>
      </c>
      <c r="F365" s="3" t="s">
        <v>52</v>
      </c>
      <c r="G365" s="3">
        <v>45</v>
      </c>
      <c r="H365" s="3" t="s">
        <v>119</v>
      </c>
      <c r="I365" s="3" t="s">
        <v>120</v>
      </c>
      <c r="J365" s="3" t="s">
        <v>121</v>
      </c>
      <c r="K365" s="3" t="s">
        <v>81</v>
      </c>
      <c r="L365" s="3" t="s">
        <v>82</v>
      </c>
      <c r="M365" s="3" t="s">
        <v>45</v>
      </c>
      <c r="N365" s="3" t="s">
        <v>83</v>
      </c>
      <c r="O365" s="3" t="s">
        <v>84</v>
      </c>
      <c r="P365" s="3">
        <v>4</v>
      </c>
      <c r="Q365" s="9">
        <v>42000</v>
      </c>
      <c r="R365" s="6">
        <v>0.12</v>
      </c>
      <c r="S365" s="12">
        <f t="shared" si="65"/>
        <v>147840</v>
      </c>
      <c r="T365" s="12">
        <v>35000</v>
      </c>
      <c r="U365" s="9">
        <f t="shared" si="66"/>
        <v>7840</v>
      </c>
      <c r="V365" s="6">
        <f t="shared" si="67"/>
        <v>5.3030303030303032E-2</v>
      </c>
      <c r="W365" s="3" t="s">
        <v>56</v>
      </c>
      <c r="X365" s="3" t="s">
        <v>101</v>
      </c>
      <c r="Y365" s="3">
        <f t="shared" si="68"/>
        <v>2</v>
      </c>
      <c r="Z365" s="3" t="str">
        <f t="shared" si="69"/>
        <v>Premium</v>
      </c>
      <c r="AA365" s="3">
        <v>4</v>
      </c>
      <c r="AB365" s="3" t="str">
        <f t="shared" si="70"/>
        <v>Excellent</v>
      </c>
      <c r="AC365" s="3" t="str">
        <f t="shared" si="71"/>
        <v>June</v>
      </c>
      <c r="AD365" s="3" t="str">
        <f t="shared" si="72"/>
        <v>Q2</v>
      </c>
      <c r="AE365" s="3">
        <f t="shared" si="73"/>
        <v>2026</v>
      </c>
      <c r="AF365" s="3" t="str">
        <f t="shared" si="74"/>
        <v>Friday</v>
      </c>
      <c r="AG365" s="3" t="str">
        <f t="shared" si="75"/>
        <v>36-45</v>
      </c>
      <c r="AH365" s="3" t="str">
        <f t="shared" si="76"/>
        <v>Large</v>
      </c>
      <c r="AI365" s="3" t="str">
        <f t="shared" si="77"/>
        <v>Medium</v>
      </c>
      <c r="AJ365" s="3" t="str" cm="1">
        <f t="array" ref="AJ365">_xlfn.IFS(S365&gt;=80000,"VIP",S365&gt;=40000,"Gold",S365&gt;=15000,"Silver",TRUE,"Bronze")</f>
        <v>VIP</v>
      </c>
    </row>
    <row r="366" spans="1:36" x14ac:dyDescent="0.3">
      <c r="A366" s="3" t="s">
        <v>999</v>
      </c>
      <c r="B366" s="15">
        <v>46225</v>
      </c>
      <c r="C366" s="15">
        <v>46229</v>
      </c>
      <c r="D366" s="3" t="s">
        <v>1000</v>
      </c>
      <c r="E366" s="3" t="s">
        <v>584</v>
      </c>
      <c r="F366" s="3" t="s">
        <v>52</v>
      </c>
      <c r="G366" s="3">
        <v>38</v>
      </c>
      <c r="H366" s="3" t="s">
        <v>119</v>
      </c>
      <c r="I366" s="3" t="s">
        <v>120</v>
      </c>
      <c r="J366" s="3" t="s">
        <v>121</v>
      </c>
      <c r="K366" s="3" t="s">
        <v>54</v>
      </c>
      <c r="L366" s="3" t="s">
        <v>173</v>
      </c>
      <c r="M366" s="3" t="s">
        <v>45</v>
      </c>
      <c r="N366" s="3" t="s">
        <v>46</v>
      </c>
      <c r="O366" s="3" t="s">
        <v>55</v>
      </c>
      <c r="P366" s="3">
        <v>4</v>
      </c>
      <c r="Q366" s="9">
        <v>79900</v>
      </c>
      <c r="R366" s="6">
        <v>0.15</v>
      </c>
      <c r="S366" s="12">
        <f t="shared" si="65"/>
        <v>271660</v>
      </c>
      <c r="T366" s="12">
        <v>65000</v>
      </c>
      <c r="U366" s="9">
        <f t="shared" si="66"/>
        <v>11660</v>
      </c>
      <c r="V366" s="6">
        <f t="shared" si="67"/>
        <v>4.292129868217625E-2</v>
      </c>
      <c r="W366" s="3" t="s">
        <v>56</v>
      </c>
      <c r="X366" s="3" t="s">
        <v>101</v>
      </c>
      <c r="Y366" s="3">
        <f t="shared" si="68"/>
        <v>4</v>
      </c>
      <c r="Z366" s="3" t="str">
        <f t="shared" si="69"/>
        <v>Premium</v>
      </c>
      <c r="AA366" s="3">
        <v>4</v>
      </c>
      <c r="AB366" s="3" t="str">
        <f t="shared" si="70"/>
        <v>Excellent</v>
      </c>
      <c r="AC366" s="3" t="str">
        <f t="shared" si="71"/>
        <v>July</v>
      </c>
      <c r="AD366" s="3" t="str">
        <f t="shared" si="72"/>
        <v>Q3</v>
      </c>
      <c r="AE366" s="3">
        <f t="shared" si="73"/>
        <v>2026</v>
      </c>
      <c r="AF366" s="3" t="str">
        <f t="shared" si="74"/>
        <v>Wednesday</v>
      </c>
      <c r="AG366" s="3" t="str">
        <f t="shared" si="75"/>
        <v>36-45</v>
      </c>
      <c r="AH366" s="3" t="str">
        <f t="shared" si="76"/>
        <v>Large</v>
      </c>
      <c r="AI366" s="3" t="str">
        <f t="shared" si="77"/>
        <v>Medium</v>
      </c>
      <c r="AJ366" s="3" t="str" cm="1">
        <f t="array" ref="AJ366">_xlfn.IFS(S366&gt;=80000,"VIP",S366&gt;=40000,"Gold",S366&gt;=15000,"Silver",TRUE,"Bronze")</f>
        <v>VIP</v>
      </c>
    </row>
    <row r="367" spans="1:36" x14ac:dyDescent="0.3">
      <c r="A367" s="3" t="s">
        <v>1001</v>
      </c>
      <c r="B367" s="15">
        <v>46081</v>
      </c>
      <c r="C367" s="15">
        <v>46085</v>
      </c>
      <c r="D367" s="3" t="s">
        <v>1002</v>
      </c>
      <c r="E367" s="3" t="s">
        <v>257</v>
      </c>
      <c r="F367" s="3" t="s">
        <v>52</v>
      </c>
      <c r="G367" s="3">
        <v>20</v>
      </c>
      <c r="H367" s="3" t="s">
        <v>110</v>
      </c>
      <c r="I367" s="3" t="s">
        <v>111</v>
      </c>
      <c r="J367" s="3" t="s">
        <v>80</v>
      </c>
      <c r="K367" s="3" t="s">
        <v>90</v>
      </c>
      <c r="L367" s="3" t="s">
        <v>122</v>
      </c>
      <c r="M367" s="3" t="s">
        <v>45</v>
      </c>
      <c r="N367" s="3" t="s">
        <v>91</v>
      </c>
      <c r="O367" s="3" t="s">
        <v>123</v>
      </c>
      <c r="P367" s="3">
        <v>4</v>
      </c>
      <c r="Q367" s="9">
        <v>2500</v>
      </c>
      <c r="R367" s="6">
        <v>0.2</v>
      </c>
      <c r="S367" s="12">
        <f t="shared" si="65"/>
        <v>8000</v>
      </c>
      <c r="T367" s="12">
        <v>1700</v>
      </c>
      <c r="U367" s="9">
        <f t="shared" si="66"/>
        <v>1200</v>
      </c>
      <c r="V367" s="6">
        <f t="shared" si="67"/>
        <v>0.15</v>
      </c>
      <c r="W367" s="3" t="s">
        <v>48</v>
      </c>
      <c r="X367" s="3" t="s">
        <v>101</v>
      </c>
      <c r="Y367" s="3">
        <f t="shared" si="68"/>
        <v>4</v>
      </c>
      <c r="Z367" s="3" t="str">
        <f t="shared" si="69"/>
        <v>Regular</v>
      </c>
      <c r="AA367" s="3">
        <v>2</v>
      </c>
      <c r="AB367" s="3" t="str">
        <f t="shared" si="70"/>
        <v>Average</v>
      </c>
      <c r="AC367" s="3" t="str">
        <f t="shared" si="71"/>
        <v>February</v>
      </c>
      <c r="AD367" s="3" t="str">
        <f t="shared" si="72"/>
        <v>Q1</v>
      </c>
      <c r="AE367" s="3">
        <f t="shared" si="73"/>
        <v>2026</v>
      </c>
      <c r="AF367" s="3" t="str">
        <f t="shared" si="74"/>
        <v>Saturday</v>
      </c>
      <c r="AG367" s="3" t="str">
        <f t="shared" si="75"/>
        <v>18-25</v>
      </c>
      <c r="AH367" s="3" t="str">
        <f t="shared" si="76"/>
        <v>Small</v>
      </c>
      <c r="AI367" s="3" t="str">
        <f t="shared" si="77"/>
        <v>High</v>
      </c>
      <c r="AJ367" s="3" t="str" cm="1">
        <f t="array" ref="AJ367">_xlfn.IFS(S367&gt;=80000,"VIP",S367&gt;=40000,"Gold",S367&gt;=15000,"Silver",TRUE,"Bronze")</f>
        <v>Bronze</v>
      </c>
    </row>
    <row r="368" spans="1:36" x14ac:dyDescent="0.3">
      <c r="A368" s="3" t="s">
        <v>1003</v>
      </c>
      <c r="B368" s="15">
        <v>46235</v>
      </c>
      <c r="C368" s="15">
        <v>46240</v>
      </c>
      <c r="D368" s="3" t="s">
        <v>1004</v>
      </c>
      <c r="E368" s="3" t="s">
        <v>1005</v>
      </c>
      <c r="F368" s="3" t="s">
        <v>39</v>
      </c>
      <c r="G368" s="3">
        <v>25</v>
      </c>
      <c r="H368" s="3" t="s">
        <v>110</v>
      </c>
      <c r="I368" s="3" t="s">
        <v>111</v>
      </c>
      <c r="J368" s="3" t="s">
        <v>80</v>
      </c>
      <c r="K368" s="3" t="s">
        <v>54</v>
      </c>
      <c r="L368" s="3" t="s">
        <v>173</v>
      </c>
      <c r="M368" s="3" t="s">
        <v>45</v>
      </c>
      <c r="N368" s="3" t="s">
        <v>46</v>
      </c>
      <c r="O368" s="3" t="s">
        <v>55</v>
      </c>
      <c r="P368" s="3">
        <v>5</v>
      </c>
      <c r="Q368" s="9">
        <v>79900</v>
      </c>
      <c r="R368" s="6">
        <v>0.2</v>
      </c>
      <c r="S368" s="12">
        <f t="shared" si="65"/>
        <v>319600</v>
      </c>
      <c r="T368" s="12">
        <v>65000</v>
      </c>
      <c r="U368" s="9">
        <f t="shared" si="66"/>
        <v>-5400</v>
      </c>
      <c r="V368" s="6">
        <f t="shared" si="67"/>
        <v>-1.6896120150187734E-2</v>
      </c>
      <c r="W368" s="3" t="s">
        <v>92</v>
      </c>
      <c r="X368" s="3" t="s">
        <v>49</v>
      </c>
      <c r="Y368" s="3">
        <f t="shared" si="68"/>
        <v>5</v>
      </c>
      <c r="Z368" s="3" t="str">
        <f t="shared" si="69"/>
        <v>Premium</v>
      </c>
      <c r="AA368" s="3">
        <v>5</v>
      </c>
      <c r="AB368" s="3" t="str">
        <f t="shared" si="70"/>
        <v>Excellent</v>
      </c>
      <c r="AC368" s="3" t="str">
        <f t="shared" si="71"/>
        <v>August</v>
      </c>
      <c r="AD368" s="3" t="str">
        <f t="shared" si="72"/>
        <v>Q3</v>
      </c>
      <c r="AE368" s="3">
        <f t="shared" si="73"/>
        <v>2026</v>
      </c>
      <c r="AF368" s="3" t="str">
        <f t="shared" si="74"/>
        <v>Saturday</v>
      </c>
      <c r="AG368" s="3" t="str">
        <f t="shared" si="75"/>
        <v>18-25</v>
      </c>
      <c r="AH368" s="3" t="str">
        <f t="shared" si="76"/>
        <v>Large</v>
      </c>
      <c r="AI368" s="3" t="str">
        <f t="shared" si="77"/>
        <v>High</v>
      </c>
      <c r="AJ368" s="3" t="str" cm="1">
        <f t="array" ref="AJ368">_xlfn.IFS(S368&gt;=80000,"VIP",S368&gt;=40000,"Gold",S368&gt;=15000,"Silver",TRUE,"Bronze")</f>
        <v>VIP</v>
      </c>
    </row>
    <row r="369" spans="1:36" x14ac:dyDescent="0.3">
      <c r="A369" s="3" t="s">
        <v>1006</v>
      </c>
      <c r="B369" s="15">
        <v>46281</v>
      </c>
      <c r="C369" s="15">
        <v>46287</v>
      </c>
      <c r="D369" s="3" t="s">
        <v>1007</v>
      </c>
      <c r="E369" s="3" t="s">
        <v>260</v>
      </c>
      <c r="F369" s="3" t="s">
        <v>39</v>
      </c>
      <c r="G369" s="3">
        <v>29</v>
      </c>
      <c r="H369" s="3" t="s">
        <v>60</v>
      </c>
      <c r="I369" s="3" t="s">
        <v>61</v>
      </c>
      <c r="J369" s="3" t="s">
        <v>42</v>
      </c>
      <c r="K369" s="3" t="s">
        <v>62</v>
      </c>
      <c r="L369" s="3" t="s">
        <v>163</v>
      </c>
      <c r="M369" s="3" t="s">
        <v>45</v>
      </c>
      <c r="N369" s="3" t="s">
        <v>63</v>
      </c>
      <c r="O369" s="3" t="s">
        <v>64</v>
      </c>
      <c r="P369" s="3">
        <v>5</v>
      </c>
      <c r="Q369" s="9">
        <v>62000</v>
      </c>
      <c r="R369" s="6">
        <v>0.2</v>
      </c>
      <c r="S369" s="12">
        <f t="shared" si="65"/>
        <v>248000</v>
      </c>
      <c r="T369" s="12">
        <v>52000</v>
      </c>
      <c r="U369" s="9">
        <f t="shared" si="66"/>
        <v>-12000</v>
      </c>
      <c r="V369" s="6">
        <f t="shared" si="67"/>
        <v>-4.8387096774193547E-2</v>
      </c>
      <c r="W369" s="3" t="s">
        <v>92</v>
      </c>
      <c r="X369" s="3" t="s">
        <v>101</v>
      </c>
      <c r="Y369" s="3">
        <f t="shared" si="68"/>
        <v>6</v>
      </c>
      <c r="Z369" s="3" t="str">
        <f t="shared" si="69"/>
        <v>Premium</v>
      </c>
      <c r="AA369" s="3">
        <v>2</v>
      </c>
      <c r="AB369" s="3" t="str">
        <f t="shared" si="70"/>
        <v>Average</v>
      </c>
      <c r="AC369" s="3" t="str">
        <f t="shared" si="71"/>
        <v>September</v>
      </c>
      <c r="AD369" s="3" t="str">
        <f t="shared" si="72"/>
        <v>Q3</v>
      </c>
      <c r="AE369" s="3">
        <f t="shared" si="73"/>
        <v>2026</v>
      </c>
      <c r="AF369" s="3" t="str">
        <f t="shared" si="74"/>
        <v>Wednesday</v>
      </c>
      <c r="AG369" s="3" t="str">
        <f t="shared" si="75"/>
        <v>26-35</v>
      </c>
      <c r="AH369" s="3" t="str">
        <f t="shared" si="76"/>
        <v>Large</v>
      </c>
      <c r="AI369" s="3" t="str">
        <f t="shared" si="77"/>
        <v>High</v>
      </c>
      <c r="AJ369" s="3" t="str" cm="1">
        <f t="array" ref="AJ369">_xlfn.IFS(S369&gt;=80000,"VIP",S369&gt;=40000,"Gold",S369&gt;=15000,"Silver",TRUE,"Bronze")</f>
        <v>VIP</v>
      </c>
    </row>
    <row r="370" spans="1:36" x14ac:dyDescent="0.3">
      <c r="A370" s="3" t="s">
        <v>1008</v>
      </c>
      <c r="B370" s="15">
        <v>46267</v>
      </c>
      <c r="C370" s="15">
        <v>46269</v>
      </c>
      <c r="D370" s="3" t="s">
        <v>1009</v>
      </c>
      <c r="E370" s="3" t="s">
        <v>520</v>
      </c>
      <c r="F370" s="3" t="s">
        <v>39</v>
      </c>
      <c r="G370" s="3">
        <v>30</v>
      </c>
      <c r="H370" s="3" t="s">
        <v>88</v>
      </c>
      <c r="I370" s="3" t="s">
        <v>89</v>
      </c>
      <c r="J370" s="3" t="s">
        <v>80</v>
      </c>
      <c r="K370" s="3" t="s">
        <v>62</v>
      </c>
      <c r="L370" s="3" t="s">
        <v>163</v>
      </c>
      <c r="M370" s="3" t="s">
        <v>45</v>
      </c>
      <c r="N370" s="3" t="s">
        <v>63</v>
      </c>
      <c r="O370" s="3" t="s">
        <v>64</v>
      </c>
      <c r="P370" s="3">
        <v>2</v>
      </c>
      <c r="Q370" s="9">
        <v>62000</v>
      </c>
      <c r="R370" s="6">
        <v>0.15</v>
      </c>
      <c r="S370" s="12">
        <f t="shared" si="65"/>
        <v>105400</v>
      </c>
      <c r="T370" s="12">
        <v>52000</v>
      </c>
      <c r="U370" s="9">
        <f t="shared" si="66"/>
        <v>1400</v>
      </c>
      <c r="V370" s="6">
        <f t="shared" si="67"/>
        <v>1.3282732447817837E-2</v>
      </c>
      <c r="W370" s="3" t="s">
        <v>56</v>
      </c>
      <c r="X370" s="3" t="s">
        <v>74</v>
      </c>
      <c r="Y370" s="3">
        <f t="shared" si="68"/>
        <v>2</v>
      </c>
      <c r="Z370" s="3" t="str">
        <f t="shared" si="69"/>
        <v>Premium</v>
      </c>
      <c r="AA370" s="3">
        <v>3</v>
      </c>
      <c r="AB370" s="3" t="str">
        <f t="shared" si="70"/>
        <v>Average</v>
      </c>
      <c r="AC370" s="3" t="str">
        <f t="shared" si="71"/>
        <v>September</v>
      </c>
      <c r="AD370" s="3" t="str">
        <f t="shared" si="72"/>
        <v>Q3</v>
      </c>
      <c r="AE370" s="3">
        <f t="shared" si="73"/>
        <v>2026</v>
      </c>
      <c r="AF370" s="3" t="str">
        <f t="shared" si="74"/>
        <v>Wednesday</v>
      </c>
      <c r="AG370" s="3" t="str">
        <f t="shared" si="75"/>
        <v>26-35</v>
      </c>
      <c r="AH370" s="3" t="str">
        <f t="shared" si="76"/>
        <v>Large</v>
      </c>
      <c r="AI370" s="3" t="str">
        <f t="shared" si="77"/>
        <v>Medium</v>
      </c>
      <c r="AJ370" s="3" t="str" cm="1">
        <f t="array" ref="AJ370">_xlfn.IFS(S370&gt;=80000,"VIP",S370&gt;=40000,"Gold",S370&gt;=15000,"Silver",TRUE,"Bronze")</f>
        <v>VIP</v>
      </c>
    </row>
    <row r="371" spans="1:36" x14ac:dyDescent="0.3">
      <c r="A371" s="3" t="s">
        <v>1010</v>
      </c>
      <c r="B371" s="15">
        <v>46049</v>
      </c>
      <c r="C371" s="15">
        <v>46053</v>
      </c>
      <c r="D371" s="3" t="s">
        <v>1011</v>
      </c>
      <c r="E371" s="3" t="s">
        <v>306</v>
      </c>
      <c r="F371" s="3" t="s">
        <v>39</v>
      </c>
      <c r="G371" s="3">
        <v>43</v>
      </c>
      <c r="H371" s="3" t="s">
        <v>40</v>
      </c>
      <c r="I371" s="3" t="s">
        <v>41</v>
      </c>
      <c r="J371" s="3" t="s">
        <v>42</v>
      </c>
      <c r="K371" s="3" t="s">
        <v>81</v>
      </c>
      <c r="L371" s="3" t="s">
        <v>82</v>
      </c>
      <c r="M371" s="3" t="s">
        <v>45</v>
      </c>
      <c r="N371" s="3" t="s">
        <v>83</v>
      </c>
      <c r="O371" s="3" t="s">
        <v>84</v>
      </c>
      <c r="P371" s="3">
        <v>1</v>
      </c>
      <c r="Q371" s="9">
        <v>42000</v>
      </c>
      <c r="R371" s="6">
        <v>0.1</v>
      </c>
      <c r="S371" s="12">
        <f t="shared" si="65"/>
        <v>37800</v>
      </c>
      <c r="T371" s="12">
        <v>35000</v>
      </c>
      <c r="U371" s="9">
        <f t="shared" si="66"/>
        <v>2800</v>
      </c>
      <c r="V371" s="6">
        <f t="shared" si="67"/>
        <v>7.407407407407407E-2</v>
      </c>
      <c r="W371" s="3" t="s">
        <v>100</v>
      </c>
      <c r="X371" s="3" t="s">
        <v>74</v>
      </c>
      <c r="Y371" s="3">
        <f t="shared" si="68"/>
        <v>4</v>
      </c>
      <c r="Z371" s="3" t="str">
        <f t="shared" si="69"/>
        <v>Regular</v>
      </c>
      <c r="AA371" s="3">
        <v>3</v>
      </c>
      <c r="AB371" s="3" t="str">
        <f t="shared" si="70"/>
        <v>Average</v>
      </c>
      <c r="AC371" s="3" t="str">
        <f t="shared" si="71"/>
        <v>January</v>
      </c>
      <c r="AD371" s="3" t="str">
        <f t="shared" si="72"/>
        <v>Q1</v>
      </c>
      <c r="AE371" s="3">
        <f t="shared" si="73"/>
        <v>2026</v>
      </c>
      <c r="AF371" s="3" t="str">
        <f t="shared" si="74"/>
        <v>Tuesday</v>
      </c>
      <c r="AG371" s="3" t="str">
        <f t="shared" si="75"/>
        <v>36-45</v>
      </c>
      <c r="AH371" s="3" t="str">
        <f t="shared" si="76"/>
        <v>Large</v>
      </c>
      <c r="AI371" s="3" t="str">
        <f t="shared" si="77"/>
        <v>Medium</v>
      </c>
      <c r="AJ371" s="3" t="str" cm="1">
        <f t="array" ref="AJ371">_xlfn.IFS(S371&gt;=80000,"VIP",S371&gt;=40000,"Gold",S371&gt;=15000,"Silver",TRUE,"Bronze")</f>
        <v>Silver</v>
      </c>
    </row>
    <row r="372" spans="1:36" x14ac:dyDescent="0.3">
      <c r="A372" s="3" t="s">
        <v>1012</v>
      </c>
      <c r="B372" s="15">
        <v>46052</v>
      </c>
      <c r="C372" s="15">
        <v>46055</v>
      </c>
      <c r="D372" s="3" t="s">
        <v>1013</v>
      </c>
      <c r="E372" s="3" t="s">
        <v>278</v>
      </c>
      <c r="F372" s="3" t="s">
        <v>52</v>
      </c>
      <c r="G372" s="3">
        <v>36</v>
      </c>
      <c r="H372" s="3" t="s">
        <v>60</v>
      </c>
      <c r="I372" s="3" t="s">
        <v>61</v>
      </c>
      <c r="J372" s="3" t="s">
        <v>42</v>
      </c>
      <c r="K372" s="3" t="s">
        <v>43</v>
      </c>
      <c r="L372" s="3" t="s">
        <v>44</v>
      </c>
      <c r="M372" s="3" t="s">
        <v>45</v>
      </c>
      <c r="N372" s="3" t="s">
        <v>46</v>
      </c>
      <c r="O372" s="3" t="s">
        <v>47</v>
      </c>
      <c r="P372" s="3">
        <v>4</v>
      </c>
      <c r="Q372" s="9">
        <v>28500</v>
      </c>
      <c r="R372" s="6">
        <v>0.08</v>
      </c>
      <c r="S372" s="12">
        <f t="shared" si="65"/>
        <v>104880</v>
      </c>
      <c r="T372" s="12">
        <v>22000</v>
      </c>
      <c r="U372" s="9">
        <f t="shared" si="66"/>
        <v>16880</v>
      </c>
      <c r="V372" s="6">
        <f t="shared" si="67"/>
        <v>0.16094584286803967</v>
      </c>
      <c r="W372" s="3" t="s">
        <v>100</v>
      </c>
      <c r="X372" s="3" t="s">
        <v>49</v>
      </c>
      <c r="Y372" s="3">
        <f t="shared" si="68"/>
        <v>3</v>
      </c>
      <c r="Z372" s="3" t="str">
        <f t="shared" si="69"/>
        <v>Premium</v>
      </c>
      <c r="AA372" s="3">
        <v>3</v>
      </c>
      <c r="AB372" s="3" t="str">
        <f t="shared" si="70"/>
        <v>Average</v>
      </c>
      <c r="AC372" s="3" t="str">
        <f t="shared" si="71"/>
        <v>January</v>
      </c>
      <c r="AD372" s="3" t="str">
        <f t="shared" si="72"/>
        <v>Q1</v>
      </c>
      <c r="AE372" s="3">
        <f t="shared" si="73"/>
        <v>2026</v>
      </c>
      <c r="AF372" s="3" t="str">
        <f t="shared" si="74"/>
        <v>Friday</v>
      </c>
      <c r="AG372" s="3" t="str">
        <f t="shared" si="75"/>
        <v>36-45</v>
      </c>
      <c r="AH372" s="3" t="str">
        <f t="shared" si="76"/>
        <v>Large</v>
      </c>
      <c r="AI372" s="3" t="str">
        <f t="shared" si="77"/>
        <v>Medium</v>
      </c>
      <c r="AJ372" s="3" t="str" cm="1">
        <f t="array" ref="AJ372">_xlfn.IFS(S372&gt;=80000,"VIP",S372&gt;=40000,"Gold",S372&gt;=15000,"Silver",TRUE,"Bronze")</f>
        <v>VIP</v>
      </c>
    </row>
    <row r="373" spans="1:36" x14ac:dyDescent="0.3">
      <c r="A373" s="3" t="s">
        <v>1014</v>
      </c>
      <c r="B373" s="15">
        <v>46293</v>
      </c>
      <c r="C373" s="15">
        <v>46296</v>
      </c>
      <c r="D373" s="3" t="s">
        <v>1015</v>
      </c>
      <c r="E373" s="3" t="s">
        <v>1016</v>
      </c>
      <c r="F373" s="3" t="s">
        <v>39</v>
      </c>
      <c r="G373" s="3">
        <v>39</v>
      </c>
      <c r="H373" s="3" t="s">
        <v>119</v>
      </c>
      <c r="I373" s="3" t="s">
        <v>120</v>
      </c>
      <c r="J373" s="3" t="s">
        <v>121</v>
      </c>
      <c r="K373" s="3" t="s">
        <v>54</v>
      </c>
      <c r="L373" s="3" t="s">
        <v>173</v>
      </c>
      <c r="M373" s="3" t="s">
        <v>45</v>
      </c>
      <c r="N373" s="3" t="s">
        <v>46</v>
      </c>
      <c r="O373" s="3" t="s">
        <v>55</v>
      </c>
      <c r="P373" s="3">
        <v>5</v>
      </c>
      <c r="Q373" s="9">
        <v>79900</v>
      </c>
      <c r="R373" s="6">
        <v>0.15</v>
      </c>
      <c r="S373" s="12">
        <f t="shared" si="65"/>
        <v>339575</v>
      </c>
      <c r="T373" s="12">
        <v>65000</v>
      </c>
      <c r="U373" s="9">
        <f t="shared" si="66"/>
        <v>14575</v>
      </c>
      <c r="V373" s="6">
        <f t="shared" si="67"/>
        <v>4.292129868217625E-2</v>
      </c>
      <c r="W373" s="3" t="s">
        <v>100</v>
      </c>
      <c r="X373" s="3" t="s">
        <v>106</v>
      </c>
      <c r="Y373" s="3">
        <f t="shared" si="68"/>
        <v>3</v>
      </c>
      <c r="Z373" s="3" t="str">
        <f t="shared" si="69"/>
        <v>Premium</v>
      </c>
      <c r="AA373" s="3">
        <v>4</v>
      </c>
      <c r="AB373" s="3" t="str">
        <f t="shared" si="70"/>
        <v>Excellent</v>
      </c>
      <c r="AC373" s="3" t="str">
        <f t="shared" si="71"/>
        <v>September</v>
      </c>
      <c r="AD373" s="3" t="str">
        <f t="shared" si="72"/>
        <v>Q3</v>
      </c>
      <c r="AE373" s="3">
        <f t="shared" si="73"/>
        <v>2026</v>
      </c>
      <c r="AF373" s="3" t="str">
        <f t="shared" si="74"/>
        <v>Monday</v>
      </c>
      <c r="AG373" s="3" t="str">
        <f t="shared" si="75"/>
        <v>36-45</v>
      </c>
      <c r="AH373" s="3" t="str">
        <f t="shared" si="76"/>
        <v>Large</v>
      </c>
      <c r="AI373" s="3" t="str">
        <f t="shared" si="77"/>
        <v>Medium</v>
      </c>
      <c r="AJ373" s="3" t="str" cm="1">
        <f t="array" ref="AJ373">_xlfn.IFS(S373&gt;=80000,"VIP",S373&gt;=40000,"Gold",S373&gt;=15000,"Silver",TRUE,"Bronze")</f>
        <v>VIP</v>
      </c>
    </row>
    <row r="374" spans="1:36" x14ac:dyDescent="0.3">
      <c r="A374" s="3" t="s">
        <v>1017</v>
      </c>
      <c r="B374" s="15">
        <v>46165</v>
      </c>
      <c r="C374" s="15">
        <v>46171</v>
      </c>
      <c r="D374" s="3" t="s">
        <v>1018</v>
      </c>
      <c r="E374" s="3" t="s">
        <v>317</v>
      </c>
      <c r="F374" s="3" t="s">
        <v>39</v>
      </c>
      <c r="G374" s="3">
        <v>32</v>
      </c>
      <c r="H374" s="3" t="s">
        <v>88</v>
      </c>
      <c r="I374" s="3" t="s">
        <v>89</v>
      </c>
      <c r="J374" s="3" t="s">
        <v>80</v>
      </c>
      <c r="K374" s="3" t="s">
        <v>54</v>
      </c>
      <c r="L374" s="3" t="s">
        <v>173</v>
      </c>
      <c r="M374" s="3" t="s">
        <v>45</v>
      </c>
      <c r="N374" s="3" t="s">
        <v>46</v>
      </c>
      <c r="O374" s="3" t="s">
        <v>55</v>
      </c>
      <c r="P374" s="3">
        <v>1</v>
      </c>
      <c r="Q374" s="9">
        <v>79900</v>
      </c>
      <c r="R374" s="6">
        <v>0.1</v>
      </c>
      <c r="S374" s="12">
        <f t="shared" si="65"/>
        <v>71910</v>
      </c>
      <c r="T374" s="12">
        <v>65000</v>
      </c>
      <c r="U374" s="9">
        <f t="shared" si="66"/>
        <v>6910</v>
      </c>
      <c r="V374" s="6">
        <f t="shared" si="67"/>
        <v>9.6092337644277576E-2</v>
      </c>
      <c r="W374" s="3" t="s">
        <v>56</v>
      </c>
      <c r="X374" s="3" t="s">
        <v>49</v>
      </c>
      <c r="Y374" s="3">
        <f t="shared" si="68"/>
        <v>6</v>
      </c>
      <c r="Z374" s="3" t="str">
        <f t="shared" si="69"/>
        <v>Premium</v>
      </c>
      <c r="AA374" s="3">
        <v>2</v>
      </c>
      <c r="AB374" s="3" t="str">
        <f t="shared" si="70"/>
        <v>Average</v>
      </c>
      <c r="AC374" s="3" t="str">
        <f t="shared" si="71"/>
        <v>May</v>
      </c>
      <c r="AD374" s="3" t="str">
        <f t="shared" si="72"/>
        <v>Q2</v>
      </c>
      <c r="AE374" s="3">
        <f t="shared" si="73"/>
        <v>2026</v>
      </c>
      <c r="AF374" s="3" t="str">
        <f t="shared" si="74"/>
        <v>Saturday</v>
      </c>
      <c r="AG374" s="3" t="str">
        <f t="shared" si="75"/>
        <v>26-35</v>
      </c>
      <c r="AH374" s="3" t="str">
        <f t="shared" si="76"/>
        <v>Large</v>
      </c>
      <c r="AI374" s="3" t="str">
        <f t="shared" si="77"/>
        <v>Medium</v>
      </c>
      <c r="AJ374" s="3" t="str" cm="1">
        <f t="array" ref="AJ374">_xlfn.IFS(S374&gt;=80000,"VIP",S374&gt;=40000,"Gold",S374&gt;=15000,"Silver",TRUE,"Bronze")</f>
        <v>Gold</v>
      </c>
    </row>
    <row r="375" spans="1:36" x14ac:dyDescent="0.3">
      <c r="A375" s="3" t="s">
        <v>1019</v>
      </c>
      <c r="B375" s="15">
        <v>46337</v>
      </c>
      <c r="C375" s="15">
        <v>46341</v>
      </c>
      <c r="D375" s="3" t="s">
        <v>1020</v>
      </c>
      <c r="E375" s="3" t="s">
        <v>311</v>
      </c>
      <c r="F375" s="3" t="s">
        <v>52</v>
      </c>
      <c r="G375" s="3">
        <v>45</v>
      </c>
      <c r="H375" s="3" t="s">
        <v>119</v>
      </c>
      <c r="I375" s="3" t="s">
        <v>120</v>
      </c>
      <c r="J375" s="3" t="s">
        <v>121</v>
      </c>
      <c r="K375" s="3" t="s">
        <v>70</v>
      </c>
      <c r="L375" s="3" t="s">
        <v>71</v>
      </c>
      <c r="M375" s="3" t="s">
        <v>45</v>
      </c>
      <c r="N375" s="3" t="s">
        <v>63</v>
      </c>
      <c r="O375" s="3" t="s">
        <v>72</v>
      </c>
      <c r="P375" s="3">
        <v>3</v>
      </c>
      <c r="Q375" s="9">
        <v>58000</v>
      </c>
      <c r="R375" s="6">
        <v>0.2</v>
      </c>
      <c r="S375" s="12">
        <f t="shared" si="65"/>
        <v>139200</v>
      </c>
      <c r="T375" s="12">
        <v>49000</v>
      </c>
      <c r="U375" s="9">
        <f t="shared" si="66"/>
        <v>-7800</v>
      </c>
      <c r="V375" s="6">
        <f t="shared" si="67"/>
        <v>-5.6034482758620691E-2</v>
      </c>
      <c r="W375" s="3" t="s">
        <v>73</v>
      </c>
      <c r="X375" s="3" t="s">
        <v>106</v>
      </c>
      <c r="Y375" s="3">
        <f t="shared" si="68"/>
        <v>4</v>
      </c>
      <c r="Z375" s="3" t="str">
        <f t="shared" si="69"/>
        <v>Premium</v>
      </c>
      <c r="AA375" s="3">
        <v>3</v>
      </c>
      <c r="AB375" s="3" t="str">
        <f t="shared" si="70"/>
        <v>Average</v>
      </c>
      <c r="AC375" s="3" t="str">
        <f t="shared" si="71"/>
        <v>November</v>
      </c>
      <c r="AD375" s="3" t="str">
        <f t="shared" si="72"/>
        <v>Q4</v>
      </c>
      <c r="AE375" s="3">
        <f t="shared" si="73"/>
        <v>2026</v>
      </c>
      <c r="AF375" s="3" t="str">
        <f t="shared" si="74"/>
        <v>Wednesday</v>
      </c>
      <c r="AG375" s="3" t="str">
        <f t="shared" si="75"/>
        <v>36-45</v>
      </c>
      <c r="AH375" s="3" t="str">
        <f t="shared" si="76"/>
        <v>Large</v>
      </c>
      <c r="AI375" s="3" t="str">
        <f t="shared" si="77"/>
        <v>High</v>
      </c>
      <c r="AJ375" s="3" t="str" cm="1">
        <f t="array" ref="AJ375">_xlfn.IFS(S375&gt;=80000,"VIP",S375&gt;=40000,"Gold",S375&gt;=15000,"Silver",TRUE,"Bronze")</f>
        <v>VIP</v>
      </c>
    </row>
    <row r="376" spans="1:36" x14ac:dyDescent="0.3">
      <c r="A376" s="3" t="s">
        <v>1021</v>
      </c>
      <c r="B376" s="15">
        <v>46360</v>
      </c>
      <c r="C376" s="15">
        <v>46363</v>
      </c>
      <c r="D376" s="3" t="s">
        <v>1022</v>
      </c>
      <c r="E376" s="3" t="s">
        <v>875</v>
      </c>
      <c r="F376" s="3" t="s">
        <v>52</v>
      </c>
      <c r="G376" s="3">
        <v>26</v>
      </c>
      <c r="H376" s="3" t="s">
        <v>53</v>
      </c>
      <c r="I376" s="3" t="s">
        <v>41</v>
      </c>
      <c r="J376" s="3" t="s">
        <v>42</v>
      </c>
      <c r="K376" s="3" t="s">
        <v>62</v>
      </c>
      <c r="L376" s="3" t="s">
        <v>163</v>
      </c>
      <c r="M376" s="3" t="s">
        <v>45</v>
      </c>
      <c r="N376" s="3" t="s">
        <v>63</v>
      </c>
      <c r="O376" s="3" t="s">
        <v>64</v>
      </c>
      <c r="P376" s="3">
        <v>3</v>
      </c>
      <c r="Q376" s="9">
        <v>62000</v>
      </c>
      <c r="R376" s="6">
        <v>0.1</v>
      </c>
      <c r="S376" s="12">
        <f t="shared" si="65"/>
        <v>167400</v>
      </c>
      <c r="T376" s="12">
        <v>52000</v>
      </c>
      <c r="U376" s="9">
        <f t="shared" si="66"/>
        <v>11400</v>
      </c>
      <c r="V376" s="6">
        <f t="shared" si="67"/>
        <v>6.8100358422939072E-2</v>
      </c>
      <c r="W376" s="3" t="s">
        <v>100</v>
      </c>
      <c r="X376" s="3" t="s">
        <v>49</v>
      </c>
      <c r="Y376" s="3">
        <f t="shared" si="68"/>
        <v>3</v>
      </c>
      <c r="Z376" s="3" t="str">
        <f t="shared" si="69"/>
        <v>Premium</v>
      </c>
      <c r="AA376" s="3">
        <v>3</v>
      </c>
      <c r="AB376" s="3" t="str">
        <f t="shared" si="70"/>
        <v>Average</v>
      </c>
      <c r="AC376" s="3" t="str">
        <f t="shared" si="71"/>
        <v>December</v>
      </c>
      <c r="AD376" s="3" t="str">
        <f t="shared" si="72"/>
        <v>Q4</v>
      </c>
      <c r="AE376" s="3">
        <f t="shared" si="73"/>
        <v>2026</v>
      </c>
      <c r="AF376" s="3" t="str">
        <f t="shared" si="74"/>
        <v>Friday</v>
      </c>
      <c r="AG376" s="3" t="str">
        <f t="shared" si="75"/>
        <v>26-35</v>
      </c>
      <c r="AH376" s="3" t="str">
        <f t="shared" si="76"/>
        <v>Large</v>
      </c>
      <c r="AI376" s="3" t="str">
        <f t="shared" si="77"/>
        <v>Medium</v>
      </c>
      <c r="AJ376" s="3" t="str" cm="1">
        <f t="array" ref="AJ376">_xlfn.IFS(S376&gt;=80000,"VIP",S376&gt;=40000,"Gold",S376&gt;=15000,"Silver",TRUE,"Bronze")</f>
        <v>VIP</v>
      </c>
    </row>
    <row r="377" spans="1:36" x14ac:dyDescent="0.3">
      <c r="A377" s="3" t="s">
        <v>1023</v>
      </c>
      <c r="B377" s="15">
        <v>46234</v>
      </c>
      <c r="C377" s="15">
        <v>46238</v>
      </c>
      <c r="D377" s="3" t="s">
        <v>1024</v>
      </c>
      <c r="E377" s="3" t="s">
        <v>356</v>
      </c>
      <c r="F377" s="3" t="s">
        <v>52</v>
      </c>
      <c r="G377" s="3">
        <v>28</v>
      </c>
      <c r="H377" s="3" t="s">
        <v>68</v>
      </c>
      <c r="I377" s="3" t="s">
        <v>68</v>
      </c>
      <c r="J377" s="3" t="s">
        <v>69</v>
      </c>
      <c r="K377" s="3" t="s">
        <v>70</v>
      </c>
      <c r="L377" s="3" t="s">
        <v>71</v>
      </c>
      <c r="M377" s="3" t="s">
        <v>45</v>
      </c>
      <c r="N377" s="3" t="s">
        <v>63</v>
      </c>
      <c r="O377" s="3" t="s">
        <v>72</v>
      </c>
      <c r="P377" s="3">
        <v>5</v>
      </c>
      <c r="Q377" s="9">
        <v>58000</v>
      </c>
      <c r="R377" s="6">
        <v>0.2</v>
      </c>
      <c r="S377" s="12">
        <f t="shared" si="65"/>
        <v>232000</v>
      </c>
      <c r="T377" s="12">
        <v>49000</v>
      </c>
      <c r="U377" s="9">
        <f t="shared" si="66"/>
        <v>-13000</v>
      </c>
      <c r="V377" s="6">
        <f t="shared" si="67"/>
        <v>-5.6034482758620691E-2</v>
      </c>
      <c r="W377" s="3" t="s">
        <v>100</v>
      </c>
      <c r="X377" s="3" t="s">
        <v>49</v>
      </c>
      <c r="Y377" s="3">
        <f t="shared" si="68"/>
        <v>4</v>
      </c>
      <c r="Z377" s="3" t="str">
        <f t="shared" si="69"/>
        <v>Premium</v>
      </c>
      <c r="AA377" s="3">
        <v>4</v>
      </c>
      <c r="AB377" s="3" t="str">
        <f t="shared" si="70"/>
        <v>Excellent</v>
      </c>
      <c r="AC377" s="3" t="str">
        <f t="shared" si="71"/>
        <v>July</v>
      </c>
      <c r="AD377" s="3" t="str">
        <f t="shared" si="72"/>
        <v>Q3</v>
      </c>
      <c r="AE377" s="3">
        <f t="shared" si="73"/>
        <v>2026</v>
      </c>
      <c r="AF377" s="3" t="str">
        <f t="shared" si="74"/>
        <v>Friday</v>
      </c>
      <c r="AG377" s="3" t="str">
        <f t="shared" si="75"/>
        <v>26-35</v>
      </c>
      <c r="AH377" s="3" t="str">
        <f t="shared" si="76"/>
        <v>Large</v>
      </c>
      <c r="AI377" s="3" t="str">
        <f t="shared" si="77"/>
        <v>High</v>
      </c>
      <c r="AJ377" s="3" t="str" cm="1">
        <f t="array" ref="AJ377">_xlfn.IFS(S377&gt;=80000,"VIP",S377&gt;=40000,"Gold",S377&gt;=15000,"Silver",TRUE,"Bronze")</f>
        <v>VIP</v>
      </c>
    </row>
    <row r="378" spans="1:36" x14ac:dyDescent="0.3">
      <c r="A378" s="3" t="s">
        <v>1025</v>
      </c>
      <c r="B378" s="15">
        <v>46099</v>
      </c>
      <c r="C378" s="15">
        <v>46104</v>
      </c>
      <c r="D378" s="3" t="s">
        <v>1026</v>
      </c>
      <c r="E378" s="3" t="s">
        <v>356</v>
      </c>
      <c r="F378" s="3" t="s">
        <v>52</v>
      </c>
      <c r="G378" s="3">
        <v>34</v>
      </c>
      <c r="H378" s="3" t="s">
        <v>110</v>
      </c>
      <c r="I378" s="3" t="s">
        <v>111</v>
      </c>
      <c r="J378" s="3" t="s">
        <v>80</v>
      </c>
      <c r="K378" s="3" t="s">
        <v>62</v>
      </c>
      <c r="L378" s="3" t="s">
        <v>163</v>
      </c>
      <c r="M378" s="3" t="s">
        <v>45</v>
      </c>
      <c r="N378" s="3" t="s">
        <v>63</v>
      </c>
      <c r="O378" s="3" t="s">
        <v>64</v>
      </c>
      <c r="P378" s="3">
        <v>2</v>
      </c>
      <c r="Q378" s="9">
        <v>62000</v>
      </c>
      <c r="R378" s="6">
        <v>0.05</v>
      </c>
      <c r="S378" s="12">
        <f t="shared" si="65"/>
        <v>117800</v>
      </c>
      <c r="T378" s="12">
        <v>52000</v>
      </c>
      <c r="U378" s="9">
        <f t="shared" si="66"/>
        <v>13800</v>
      </c>
      <c r="V378" s="6">
        <f t="shared" si="67"/>
        <v>0.11714770797962648</v>
      </c>
      <c r="W378" s="3" t="s">
        <v>56</v>
      </c>
      <c r="X378" s="3" t="s">
        <v>106</v>
      </c>
      <c r="Y378" s="3">
        <f t="shared" si="68"/>
        <v>5</v>
      </c>
      <c r="Z378" s="3" t="str">
        <f t="shared" si="69"/>
        <v>Premium</v>
      </c>
      <c r="AA378" s="3">
        <v>5</v>
      </c>
      <c r="AB378" s="3" t="str">
        <f t="shared" si="70"/>
        <v>Excellent</v>
      </c>
      <c r="AC378" s="3" t="str">
        <f t="shared" si="71"/>
        <v>March</v>
      </c>
      <c r="AD378" s="3" t="str">
        <f t="shared" si="72"/>
        <v>Q1</v>
      </c>
      <c r="AE378" s="3">
        <f t="shared" si="73"/>
        <v>2026</v>
      </c>
      <c r="AF378" s="3" t="str">
        <f t="shared" si="74"/>
        <v>Wednesday</v>
      </c>
      <c r="AG378" s="3" t="str">
        <f t="shared" si="75"/>
        <v>26-35</v>
      </c>
      <c r="AH378" s="3" t="str">
        <f t="shared" si="76"/>
        <v>Large</v>
      </c>
      <c r="AI378" s="3" t="str">
        <f t="shared" si="77"/>
        <v>Low</v>
      </c>
      <c r="AJ378" s="3" t="str" cm="1">
        <f t="array" ref="AJ378">_xlfn.IFS(S378&gt;=80000,"VIP",S378&gt;=40000,"Gold",S378&gt;=15000,"Silver",TRUE,"Bronze")</f>
        <v>VIP</v>
      </c>
    </row>
    <row r="379" spans="1:36" x14ac:dyDescent="0.3">
      <c r="A379" s="3" t="s">
        <v>1027</v>
      </c>
      <c r="B379" s="15">
        <v>46185</v>
      </c>
      <c r="C379" s="15">
        <v>46190</v>
      </c>
      <c r="D379" s="3" t="s">
        <v>1028</v>
      </c>
      <c r="E379" s="3" t="s">
        <v>175</v>
      </c>
      <c r="F379" s="3" t="s">
        <v>52</v>
      </c>
      <c r="G379" s="3">
        <v>47</v>
      </c>
      <c r="H379" s="3" t="s">
        <v>53</v>
      </c>
      <c r="I379" s="3" t="s">
        <v>41</v>
      </c>
      <c r="J379" s="3" t="s">
        <v>42</v>
      </c>
      <c r="K379" s="3" t="s">
        <v>43</v>
      </c>
      <c r="L379" s="3" t="s">
        <v>44</v>
      </c>
      <c r="M379" s="3" t="s">
        <v>45</v>
      </c>
      <c r="N379" s="3" t="s">
        <v>46</v>
      </c>
      <c r="O379" s="3" t="s">
        <v>47</v>
      </c>
      <c r="P379" s="3">
        <v>2</v>
      </c>
      <c r="Q379" s="9">
        <v>28500</v>
      </c>
      <c r="R379" s="6">
        <v>0.1</v>
      </c>
      <c r="S379" s="12">
        <f t="shared" si="65"/>
        <v>51300</v>
      </c>
      <c r="T379" s="12">
        <v>22000</v>
      </c>
      <c r="U379" s="9">
        <f t="shared" si="66"/>
        <v>7300</v>
      </c>
      <c r="V379" s="6">
        <f t="shared" si="67"/>
        <v>0.14230019493177387</v>
      </c>
      <c r="W379" s="3" t="s">
        <v>65</v>
      </c>
      <c r="X379" s="3" t="s">
        <v>101</v>
      </c>
      <c r="Y379" s="3">
        <f t="shared" si="68"/>
        <v>5</v>
      </c>
      <c r="Z379" s="3" t="str">
        <f t="shared" si="69"/>
        <v>Premium</v>
      </c>
      <c r="AA379" s="3">
        <v>2</v>
      </c>
      <c r="AB379" s="3" t="str">
        <f t="shared" si="70"/>
        <v>Average</v>
      </c>
      <c r="AC379" s="3" t="str">
        <f t="shared" si="71"/>
        <v>June</v>
      </c>
      <c r="AD379" s="3" t="str">
        <f t="shared" si="72"/>
        <v>Q2</v>
      </c>
      <c r="AE379" s="3">
        <f t="shared" si="73"/>
        <v>2026</v>
      </c>
      <c r="AF379" s="3" t="str">
        <f t="shared" si="74"/>
        <v>Friday</v>
      </c>
      <c r="AG379" s="3" t="str">
        <f t="shared" si="75"/>
        <v>46+</v>
      </c>
      <c r="AH379" s="3" t="str">
        <f t="shared" si="76"/>
        <v>Large</v>
      </c>
      <c r="AI379" s="3" t="str">
        <f t="shared" si="77"/>
        <v>Medium</v>
      </c>
      <c r="AJ379" s="3" t="str" cm="1">
        <f t="array" ref="AJ379">_xlfn.IFS(S379&gt;=80000,"VIP",S379&gt;=40000,"Gold",S379&gt;=15000,"Silver",TRUE,"Bronze")</f>
        <v>Gold</v>
      </c>
    </row>
    <row r="380" spans="1:36" x14ac:dyDescent="0.3">
      <c r="A380" s="3" t="s">
        <v>1029</v>
      </c>
      <c r="B380" s="15">
        <v>46295</v>
      </c>
      <c r="C380" s="15">
        <v>46301</v>
      </c>
      <c r="D380" s="3" t="s">
        <v>1030</v>
      </c>
      <c r="E380" s="3" t="s">
        <v>172</v>
      </c>
      <c r="F380" s="3" t="s">
        <v>39</v>
      </c>
      <c r="G380" s="3">
        <v>26</v>
      </c>
      <c r="H380" s="3" t="s">
        <v>110</v>
      </c>
      <c r="I380" s="3" t="s">
        <v>111</v>
      </c>
      <c r="J380" s="3" t="s">
        <v>80</v>
      </c>
      <c r="K380" s="3" t="s">
        <v>105</v>
      </c>
      <c r="L380" s="3" t="s">
        <v>112</v>
      </c>
      <c r="M380" s="3" t="s">
        <v>113</v>
      </c>
      <c r="N380" s="3" t="s">
        <v>114</v>
      </c>
      <c r="O380" s="3" t="s">
        <v>115</v>
      </c>
      <c r="P380" s="3">
        <v>2</v>
      </c>
      <c r="Q380" s="9">
        <v>3500</v>
      </c>
      <c r="R380" s="6">
        <v>0.08</v>
      </c>
      <c r="S380" s="12">
        <f t="shared" si="65"/>
        <v>6440</v>
      </c>
      <c r="T380" s="12">
        <v>2500</v>
      </c>
      <c r="U380" s="9">
        <f t="shared" si="66"/>
        <v>1440</v>
      </c>
      <c r="V380" s="6">
        <f t="shared" si="67"/>
        <v>0.2236024844720497</v>
      </c>
      <c r="W380" s="3" t="s">
        <v>48</v>
      </c>
      <c r="X380" s="3" t="s">
        <v>106</v>
      </c>
      <c r="Y380" s="3">
        <f t="shared" si="68"/>
        <v>6</v>
      </c>
      <c r="Z380" s="3" t="str">
        <f t="shared" si="69"/>
        <v>Regular</v>
      </c>
      <c r="AA380" s="3">
        <v>5</v>
      </c>
      <c r="AB380" s="3" t="str">
        <f t="shared" si="70"/>
        <v>Excellent</v>
      </c>
      <c r="AC380" s="3" t="str">
        <f t="shared" si="71"/>
        <v>September</v>
      </c>
      <c r="AD380" s="3" t="str">
        <f t="shared" si="72"/>
        <v>Q3</v>
      </c>
      <c r="AE380" s="3">
        <f t="shared" si="73"/>
        <v>2026</v>
      </c>
      <c r="AF380" s="3" t="str">
        <f t="shared" si="74"/>
        <v>Wednesday</v>
      </c>
      <c r="AG380" s="3" t="str">
        <f t="shared" si="75"/>
        <v>26-35</v>
      </c>
      <c r="AH380" s="3" t="str">
        <f t="shared" si="76"/>
        <v>Small</v>
      </c>
      <c r="AI380" s="3" t="str">
        <f t="shared" si="77"/>
        <v>Medium</v>
      </c>
      <c r="AJ380" s="3" t="str" cm="1">
        <f t="array" ref="AJ380">_xlfn.IFS(S380&gt;=80000,"VIP",S380&gt;=40000,"Gold",S380&gt;=15000,"Silver",TRUE,"Bronze")</f>
        <v>Bronze</v>
      </c>
    </row>
    <row r="381" spans="1:36" x14ac:dyDescent="0.3">
      <c r="A381" s="3" t="s">
        <v>1031</v>
      </c>
      <c r="B381" s="15">
        <v>46354</v>
      </c>
      <c r="C381" s="15">
        <v>46356</v>
      </c>
      <c r="D381" s="3" t="s">
        <v>1032</v>
      </c>
      <c r="E381" s="3" t="s">
        <v>177</v>
      </c>
      <c r="F381" s="3" t="s">
        <v>39</v>
      </c>
      <c r="G381" s="3">
        <v>41</v>
      </c>
      <c r="H381" s="3" t="s">
        <v>40</v>
      </c>
      <c r="I381" s="3" t="s">
        <v>41</v>
      </c>
      <c r="J381" s="3" t="s">
        <v>42</v>
      </c>
      <c r="K381" s="3" t="s">
        <v>96</v>
      </c>
      <c r="L381" s="3" t="s">
        <v>166</v>
      </c>
      <c r="M381" s="3" t="s">
        <v>97</v>
      </c>
      <c r="N381" s="3" t="s">
        <v>98</v>
      </c>
      <c r="O381" s="3" t="s">
        <v>99</v>
      </c>
      <c r="P381" s="3">
        <v>1</v>
      </c>
      <c r="Q381" s="9">
        <v>4500</v>
      </c>
      <c r="R381" s="6">
        <v>0.2</v>
      </c>
      <c r="S381" s="12">
        <f t="shared" si="65"/>
        <v>3600</v>
      </c>
      <c r="T381" s="12">
        <v>3000</v>
      </c>
      <c r="U381" s="9">
        <f t="shared" si="66"/>
        <v>600</v>
      </c>
      <c r="V381" s="6">
        <f t="shared" si="67"/>
        <v>0.16666666666666666</v>
      </c>
      <c r="W381" s="3" t="s">
        <v>48</v>
      </c>
      <c r="X381" s="3" t="s">
        <v>106</v>
      </c>
      <c r="Y381" s="3">
        <f t="shared" si="68"/>
        <v>2</v>
      </c>
      <c r="Z381" s="3" t="str">
        <f t="shared" si="69"/>
        <v>Regular</v>
      </c>
      <c r="AA381" s="3">
        <v>5</v>
      </c>
      <c r="AB381" s="3" t="str">
        <f t="shared" si="70"/>
        <v>Excellent</v>
      </c>
      <c r="AC381" s="3" t="str">
        <f t="shared" si="71"/>
        <v>November</v>
      </c>
      <c r="AD381" s="3" t="str">
        <f t="shared" si="72"/>
        <v>Q4</v>
      </c>
      <c r="AE381" s="3">
        <f t="shared" si="73"/>
        <v>2026</v>
      </c>
      <c r="AF381" s="3" t="str">
        <f t="shared" si="74"/>
        <v>Saturday</v>
      </c>
      <c r="AG381" s="3" t="str">
        <f t="shared" si="75"/>
        <v>36-45</v>
      </c>
      <c r="AH381" s="3" t="str">
        <f t="shared" si="76"/>
        <v>Small</v>
      </c>
      <c r="AI381" s="3" t="str">
        <f t="shared" si="77"/>
        <v>High</v>
      </c>
      <c r="AJ381" s="3" t="str" cm="1">
        <f t="array" ref="AJ381">_xlfn.IFS(S381&gt;=80000,"VIP",S381&gt;=40000,"Gold",S381&gt;=15000,"Silver",TRUE,"Bronze")</f>
        <v>Bronze</v>
      </c>
    </row>
    <row r="382" spans="1:36" x14ac:dyDescent="0.3">
      <c r="A382" s="3" t="s">
        <v>1033</v>
      </c>
      <c r="B382" s="15">
        <v>46117</v>
      </c>
      <c r="C382" s="15">
        <v>46119</v>
      </c>
      <c r="D382" s="3" t="s">
        <v>1034</v>
      </c>
      <c r="E382" s="3" t="s">
        <v>104</v>
      </c>
      <c r="F382" s="3" t="s">
        <v>52</v>
      </c>
      <c r="G382" s="3">
        <v>38</v>
      </c>
      <c r="H382" s="3" t="s">
        <v>78</v>
      </c>
      <c r="I382" s="3" t="s">
        <v>79</v>
      </c>
      <c r="J382" s="3" t="s">
        <v>80</v>
      </c>
      <c r="K382" s="3" t="s">
        <v>81</v>
      </c>
      <c r="L382" s="3" t="s">
        <v>82</v>
      </c>
      <c r="M382" s="3" t="s">
        <v>45</v>
      </c>
      <c r="N382" s="3" t="s">
        <v>83</v>
      </c>
      <c r="O382" s="3" t="s">
        <v>84</v>
      </c>
      <c r="P382" s="3">
        <v>4</v>
      </c>
      <c r="Q382" s="9">
        <v>42000</v>
      </c>
      <c r="R382" s="6">
        <v>0.12</v>
      </c>
      <c r="S382" s="12">
        <f t="shared" si="65"/>
        <v>147840</v>
      </c>
      <c r="T382" s="12">
        <v>35000</v>
      </c>
      <c r="U382" s="9">
        <f t="shared" si="66"/>
        <v>7840</v>
      </c>
      <c r="V382" s="6">
        <f t="shared" si="67"/>
        <v>5.3030303030303032E-2</v>
      </c>
      <c r="W382" s="3" t="s">
        <v>92</v>
      </c>
      <c r="X382" s="3" t="s">
        <v>101</v>
      </c>
      <c r="Y382" s="3">
        <f t="shared" si="68"/>
        <v>2</v>
      </c>
      <c r="Z382" s="3" t="str">
        <f t="shared" si="69"/>
        <v>Premium</v>
      </c>
      <c r="AA382" s="3">
        <v>2</v>
      </c>
      <c r="AB382" s="3" t="str">
        <f t="shared" si="70"/>
        <v>Average</v>
      </c>
      <c r="AC382" s="3" t="str">
        <f t="shared" si="71"/>
        <v>April</v>
      </c>
      <c r="AD382" s="3" t="str">
        <f t="shared" si="72"/>
        <v>Q2</v>
      </c>
      <c r="AE382" s="3">
        <f t="shared" si="73"/>
        <v>2026</v>
      </c>
      <c r="AF382" s="3" t="str">
        <f t="shared" si="74"/>
        <v>Sunday</v>
      </c>
      <c r="AG382" s="3" t="str">
        <f t="shared" si="75"/>
        <v>36-45</v>
      </c>
      <c r="AH382" s="3" t="str">
        <f t="shared" si="76"/>
        <v>Large</v>
      </c>
      <c r="AI382" s="3" t="str">
        <f t="shared" si="77"/>
        <v>Medium</v>
      </c>
      <c r="AJ382" s="3" t="str" cm="1">
        <f t="array" ref="AJ382">_xlfn.IFS(S382&gt;=80000,"VIP",S382&gt;=40000,"Gold",S382&gt;=15000,"Silver",TRUE,"Bronze")</f>
        <v>VIP</v>
      </c>
    </row>
    <row r="383" spans="1:36" x14ac:dyDescent="0.3">
      <c r="A383" s="3" t="s">
        <v>1035</v>
      </c>
      <c r="B383" s="15">
        <v>46058</v>
      </c>
      <c r="C383" s="15">
        <v>46064</v>
      </c>
      <c r="D383" s="3" t="s">
        <v>1036</v>
      </c>
      <c r="E383" s="3" t="s">
        <v>448</v>
      </c>
      <c r="F383" s="3" t="s">
        <v>52</v>
      </c>
      <c r="G383" s="3">
        <v>38</v>
      </c>
      <c r="H383" s="3" t="s">
        <v>60</v>
      </c>
      <c r="I383" s="3" t="s">
        <v>61</v>
      </c>
      <c r="J383" s="3" t="s">
        <v>42</v>
      </c>
      <c r="K383" s="3" t="s">
        <v>43</v>
      </c>
      <c r="L383" s="3" t="s">
        <v>44</v>
      </c>
      <c r="M383" s="3" t="s">
        <v>45</v>
      </c>
      <c r="N383" s="3" t="s">
        <v>46</v>
      </c>
      <c r="O383" s="3" t="s">
        <v>47</v>
      </c>
      <c r="P383" s="3">
        <v>2</v>
      </c>
      <c r="Q383" s="9">
        <v>28500</v>
      </c>
      <c r="R383" s="6">
        <v>0.1</v>
      </c>
      <c r="S383" s="12">
        <f t="shared" si="65"/>
        <v>51300</v>
      </c>
      <c r="T383" s="12">
        <v>22000</v>
      </c>
      <c r="U383" s="9">
        <f t="shared" si="66"/>
        <v>7300</v>
      </c>
      <c r="V383" s="6">
        <f t="shared" si="67"/>
        <v>0.14230019493177387</v>
      </c>
      <c r="W383" s="3" t="s">
        <v>73</v>
      </c>
      <c r="X383" s="3" t="s">
        <v>106</v>
      </c>
      <c r="Y383" s="3">
        <f t="shared" si="68"/>
        <v>6</v>
      </c>
      <c r="Z383" s="3" t="str">
        <f t="shared" si="69"/>
        <v>Premium</v>
      </c>
      <c r="AA383" s="3">
        <v>4</v>
      </c>
      <c r="AB383" s="3" t="str">
        <f t="shared" si="70"/>
        <v>Excellent</v>
      </c>
      <c r="AC383" s="3" t="str">
        <f t="shared" si="71"/>
        <v>February</v>
      </c>
      <c r="AD383" s="3" t="str">
        <f t="shared" si="72"/>
        <v>Q1</v>
      </c>
      <c r="AE383" s="3">
        <f t="shared" si="73"/>
        <v>2026</v>
      </c>
      <c r="AF383" s="3" t="str">
        <f t="shared" si="74"/>
        <v>Thursday</v>
      </c>
      <c r="AG383" s="3" t="str">
        <f t="shared" si="75"/>
        <v>36-45</v>
      </c>
      <c r="AH383" s="3" t="str">
        <f t="shared" si="76"/>
        <v>Large</v>
      </c>
      <c r="AI383" s="3" t="str">
        <f t="shared" si="77"/>
        <v>Medium</v>
      </c>
      <c r="AJ383" s="3" t="str" cm="1">
        <f t="array" ref="AJ383">_xlfn.IFS(S383&gt;=80000,"VIP",S383&gt;=40000,"Gold",S383&gt;=15000,"Silver",TRUE,"Bronze")</f>
        <v>Gold</v>
      </c>
    </row>
    <row r="384" spans="1:36" x14ac:dyDescent="0.3">
      <c r="A384" s="3" t="s">
        <v>1037</v>
      </c>
      <c r="B384" s="15">
        <v>46352</v>
      </c>
      <c r="C384" s="15">
        <v>46355</v>
      </c>
      <c r="D384" s="3" t="s">
        <v>1038</v>
      </c>
      <c r="E384" s="3" t="s">
        <v>998</v>
      </c>
      <c r="F384" s="3" t="s">
        <v>39</v>
      </c>
      <c r="G384" s="3">
        <v>37</v>
      </c>
      <c r="H384" s="3" t="s">
        <v>60</v>
      </c>
      <c r="I384" s="3" t="s">
        <v>61</v>
      </c>
      <c r="J384" s="3" t="s">
        <v>42</v>
      </c>
      <c r="K384" s="3" t="s">
        <v>105</v>
      </c>
      <c r="L384" s="3" t="s">
        <v>112</v>
      </c>
      <c r="M384" s="3" t="s">
        <v>113</v>
      </c>
      <c r="N384" s="3" t="s">
        <v>114</v>
      </c>
      <c r="O384" s="3" t="s">
        <v>115</v>
      </c>
      <c r="P384" s="3">
        <v>4</v>
      </c>
      <c r="Q384" s="9">
        <v>3500</v>
      </c>
      <c r="R384" s="6">
        <v>0.15</v>
      </c>
      <c r="S384" s="12">
        <f t="shared" si="65"/>
        <v>11900</v>
      </c>
      <c r="T384" s="12">
        <v>2500</v>
      </c>
      <c r="U384" s="9">
        <f t="shared" si="66"/>
        <v>1900</v>
      </c>
      <c r="V384" s="6">
        <f t="shared" si="67"/>
        <v>0.15966386554621848</v>
      </c>
      <c r="W384" s="3" t="s">
        <v>65</v>
      </c>
      <c r="X384" s="3" t="s">
        <v>106</v>
      </c>
      <c r="Y384" s="3">
        <f t="shared" si="68"/>
        <v>3</v>
      </c>
      <c r="Z384" s="3" t="str">
        <f t="shared" si="69"/>
        <v>Regular</v>
      </c>
      <c r="AA384" s="3">
        <v>4</v>
      </c>
      <c r="AB384" s="3" t="str">
        <f t="shared" si="70"/>
        <v>Excellent</v>
      </c>
      <c r="AC384" s="3" t="str">
        <f t="shared" si="71"/>
        <v>November</v>
      </c>
      <c r="AD384" s="3" t="str">
        <f t="shared" si="72"/>
        <v>Q4</v>
      </c>
      <c r="AE384" s="3">
        <f t="shared" si="73"/>
        <v>2026</v>
      </c>
      <c r="AF384" s="3" t="str">
        <f t="shared" si="74"/>
        <v>Thursday</v>
      </c>
      <c r="AG384" s="3" t="str">
        <f t="shared" si="75"/>
        <v>36-45</v>
      </c>
      <c r="AH384" s="3" t="str">
        <f t="shared" si="76"/>
        <v>Medium</v>
      </c>
      <c r="AI384" s="3" t="str">
        <f t="shared" si="77"/>
        <v>Medium</v>
      </c>
      <c r="AJ384" s="3" t="str" cm="1">
        <f t="array" ref="AJ384">_xlfn.IFS(S384&gt;=80000,"VIP",S384&gt;=40000,"Gold",S384&gt;=15000,"Silver",TRUE,"Bronze")</f>
        <v>Bronze</v>
      </c>
    </row>
    <row r="385" spans="1:36" x14ac:dyDescent="0.3">
      <c r="A385" s="3" t="s">
        <v>1039</v>
      </c>
      <c r="B385" s="15">
        <v>46206</v>
      </c>
      <c r="C385" s="15">
        <v>46208</v>
      </c>
      <c r="D385" s="3" t="s">
        <v>1040</v>
      </c>
      <c r="E385" s="3" t="s">
        <v>359</v>
      </c>
      <c r="F385" s="3" t="s">
        <v>52</v>
      </c>
      <c r="G385" s="3">
        <v>21</v>
      </c>
      <c r="H385" s="3" t="s">
        <v>53</v>
      </c>
      <c r="I385" s="3" t="s">
        <v>41</v>
      </c>
      <c r="J385" s="3" t="s">
        <v>42</v>
      </c>
      <c r="K385" s="3" t="s">
        <v>105</v>
      </c>
      <c r="L385" s="3" t="s">
        <v>112</v>
      </c>
      <c r="M385" s="3" t="s">
        <v>113</v>
      </c>
      <c r="N385" s="3" t="s">
        <v>114</v>
      </c>
      <c r="O385" s="3" t="s">
        <v>115</v>
      </c>
      <c r="P385" s="3">
        <v>4</v>
      </c>
      <c r="Q385" s="9">
        <v>3500</v>
      </c>
      <c r="R385" s="6">
        <v>0.05</v>
      </c>
      <c r="S385" s="12">
        <f t="shared" si="65"/>
        <v>13300</v>
      </c>
      <c r="T385" s="12">
        <v>2500</v>
      </c>
      <c r="U385" s="9">
        <f t="shared" si="66"/>
        <v>3300</v>
      </c>
      <c r="V385" s="6">
        <f t="shared" si="67"/>
        <v>0.24812030075187969</v>
      </c>
      <c r="W385" s="3" t="s">
        <v>100</v>
      </c>
      <c r="X385" s="3" t="s">
        <v>49</v>
      </c>
      <c r="Y385" s="3">
        <f t="shared" si="68"/>
        <v>2</v>
      </c>
      <c r="Z385" s="3" t="str">
        <f t="shared" si="69"/>
        <v>Regular</v>
      </c>
      <c r="AA385" s="3">
        <v>2</v>
      </c>
      <c r="AB385" s="3" t="str">
        <f t="shared" si="70"/>
        <v>Average</v>
      </c>
      <c r="AC385" s="3" t="str">
        <f t="shared" si="71"/>
        <v>July</v>
      </c>
      <c r="AD385" s="3" t="str">
        <f t="shared" si="72"/>
        <v>Q3</v>
      </c>
      <c r="AE385" s="3">
        <f t="shared" si="73"/>
        <v>2026</v>
      </c>
      <c r="AF385" s="3" t="str">
        <f t="shared" si="74"/>
        <v>Friday</v>
      </c>
      <c r="AG385" s="3" t="str">
        <f t="shared" si="75"/>
        <v>18-25</v>
      </c>
      <c r="AH385" s="3" t="str">
        <f t="shared" si="76"/>
        <v>Medium</v>
      </c>
      <c r="AI385" s="3" t="str">
        <f t="shared" si="77"/>
        <v>Low</v>
      </c>
      <c r="AJ385" s="3" t="str" cm="1">
        <f t="array" ref="AJ385">_xlfn.IFS(S385&gt;=80000,"VIP",S385&gt;=40000,"Gold",S385&gt;=15000,"Silver",TRUE,"Bronze")</f>
        <v>Bronze</v>
      </c>
    </row>
    <row r="386" spans="1:36" x14ac:dyDescent="0.3">
      <c r="A386" s="3" t="s">
        <v>1041</v>
      </c>
      <c r="B386" s="15">
        <v>46135</v>
      </c>
      <c r="C386" s="15">
        <v>46137</v>
      </c>
      <c r="D386" s="3" t="s">
        <v>1042</v>
      </c>
      <c r="E386" s="3" t="s">
        <v>1043</v>
      </c>
      <c r="F386" s="3" t="s">
        <v>39</v>
      </c>
      <c r="G386" s="3">
        <v>20</v>
      </c>
      <c r="H386" s="3" t="s">
        <v>110</v>
      </c>
      <c r="I386" s="3" t="s">
        <v>111</v>
      </c>
      <c r="J386" s="3" t="s">
        <v>80</v>
      </c>
      <c r="K386" s="3" t="s">
        <v>43</v>
      </c>
      <c r="L386" s="3" t="s">
        <v>44</v>
      </c>
      <c r="M386" s="3" t="s">
        <v>45</v>
      </c>
      <c r="N386" s="3" t="s">
        <v>46</v>
      </c>
      <c r="O386" s="3" t="s">
        <v>47</v>
      </c>
      <c r="P386" s="3">
        <v>2</v>
      </c>
      <c r="Q386" s="9">
        <v>28500</v>
      </c>
      <c r="R386" s="6">
        <v>0.15</v>
      </c>
      <c r="S386" s="12">
        <f t="shared" ref="S386:S449" si="78">P386*Q386*(1-R386)</f>
        <v>48450</v>
      </c>
      <c r="T386" s="12">
        <v>22000</v>
      </c>
      <c r="U386" s="9">
        <f t="shared" ref="U386:U449" si="79">S386-(T386*P386)</f>
        <v>4450</v>
      </c>
      <c r="V386" s="6">
        <f t="shared" ref="V386:V449" si="80">U386/S386</f>
        <v>9.1847265221878222E-2</v>
      </c>
      <c r="W386" s="3" t="s">
        <v>48</v>
      </c>
      <c r="X386" s="3" t="s">
        <v>74</v>
      </c>
      <c r="Y386" s="3">
        <f t="shared" ref="Y386:Y449" si="81">C386-B386</f>
        <v>2</v>
      </c>
      <c r="Z386" s="3" t="str">
        <f t="shared" ref="Z386:Z449" si="82">IF(S386&gt;=50000,"Premium","Regular")</f>
        <v>Regular</v>
      </c>
      <c r="AA386" s="3">
        <v>3</v>
      </c>
      <c r="AB386" s="3" t="str">
        <f t="shared" ref="AB386:AB449" si="83">IF(AA386&gt;=4,"Excellent","Average")</f>
        <v>Average</v>
      </c>
      <c r="AC386" s="3" t="str">
        <f t="shared" ref="AC386:AC449" si="84">TEXT(B386,"mmmm")</f>
        <v>April</v>
      </c>
      <c r="AD386" s="3" t="str">
        <f t="shared" ref="AD386:AD449" si="85">"Q"&amp;ROUNDUP(MONTH(B386)/3,0)</f>
        <v>Q2</v>
      </c>
      <c r="AE386" s="3">
        <f t="shared" ref="AE386:AE449" si="86">YEAR(B386)</f>
        <v>2026</v>
      </c>
      <c r="AF386" s="3" t="str">
        <f t="shared" ref="AF386:AF449" si="87">TEXT(B386,"dddd")</f>
        <v>Thursday</v>
      </c>
      <c r="AG386" s="3" t="str">
        <f t="shared" ref="AG386:AG449" si="88">IF(G386&lt;=25,"18-25",IF(G386&lt;=35,"26-35",IF(G386&lt;=45,"36-45","46+")))</f>
        <v>18-25</v>
      </c>
      <c r="AH386" s="3" t="str">
        <f t="shared" ref="AH386:AH449" si="89">IF(S386&lt;10000,"Small",IF(S386&lt;30000,"Medium","Large"))</f>
        <v>Large</v>
      </c>
      <c r="AI386" s="3" t="str">
        <f t="shared" ref="AI386:AI449" si="90">IF(R386&lt;=5%,"Low",IF(R386&lt;=15%,"Medium","High"))</f>
        <v>Medium</v>
      </c>
      <c r="AJ386" s="3" t="str" cm="1">
        <f t="array" ref="AJ386">_xlfn.IFS(S386&gt;=80000,"VIP",S386&gt;=40000,"Gold",S386&gt;=15000,"Silver",TRUE,"Bronze")</f>
        <v>Gold</v>
      </c>
    </row>
    <row r="387" spans="1:36" x14ac:dyDescent="0.3">
      <c r="A387" s="3" t="s">
        <v>1044</v>
      </c>
      <c r="B387" s="15">
        <v>46349</v>
      </c>
      <c r="C387" s="15">
        <v>46352</v>
      </c>
      <c r="D387" s="3" t="s">
        <v>1045</v>
      </c>
      <c r="E387" s="3" t="s">
        <v>463</v>
      </c>
      <c r="F387" s="3" t="s">
        <v>52</v>
      </c>
      <c r="G387" s="3">
        <v>36</v>
      </c>
      <c r="H387" s="3" t="s">
        <v>119</v>
      </c>
      <c r="I387" s="3" t="s">
        <v>120</v>
      </c>
      <c r="J387" s="3" t="s">
        <v>121</v>
      </c>
      <c r="K387" s="3" t="s">
        <v>54</v>
      </c>
      <c r="L387" s="3" t="s">
        <v>173</v>
      </c>
      <c r="M387" s="3" t="s">
        <v>45</v>
      </c>
      <c r="N387" s="3" t="s">
        <v>46</v>
      </c>
      <c r="O387" s="3" t="s">
        <v>55</v>
      </c>
      <c r="P387" s="3">
        <v>3</v>
      </c>
      <c r="Q387" s="9">
        <v>79900</v>
      </c>
      <c r="R387" s="6">
        <v>0.12</v>
      </c>
      <c r="S387" s="12">
        <f t="shared" si="78"/>
        <v>210936</v>
      </c>
      <c r="T387" s="12">
        <v>65000</v>
      </c>
      <c r="U387" s="9">
        <f t="shared" si="79"/>
        <v>15936</v>
      </c>
      <c r="V387" s="6">
        <f t="shared" si="80"/>
        <v>7.5548981681647517E-2</v>
      </c>
      <c r="W387" s="3" t="s">
        <v>100</v>
      </c>
      <c r="X387" s="3" t="s">
        <v>74</v>
      </c>
      <c r="Y387" s="3">
        <f t="shared" si="81"/>
        <v>3</v>
      </c>
      <c r="Z387" s="3" t="str">
        <f t="shared" si="82"/>
        <v>Premium</v>
      </c>
      <c r="AA387" s="3">
        <v>2</v>
      </c>
      <c r="AB387" s="3" t="str">
        <f t="shared" si="83"/>
        <v>Average</v>
      </c>
      <c r="AC387" s="3" t="str">
        <f t="shared" si="84"/>
        <v>November</v>
      </c>
      <c r="AD387" s="3" t="str">
        <f t="shared" si="85"/>
        <v>Q4</v>
      </c>
      <c r="AE387" s="3">
        <f t="shared" si="86"/>
        <v>2026</v>
      </c>
      <c r="AF387" s="3" t="str">
        <f t="shared" si="87"/>
        <v>Monday</v>
      </c>
      <c r="AG387" s="3" t="str">
        <f t="shared" si="88"/>
        <v>36-45</v>
      </c>
      <c r="AH387" s="3" t="str">
        <f t="shared" si="89"/>
        <v>Large</v>
      </c>
      <c r="AI387" s="3" t="str">
        <f t="shared" si="90"/>
        <v>Medium</v>
      </c>
      <c r="AJ387" s="3" t="str" cm="1">
        <f t="array" ref="AJ387">_xlfn.IFS(S387&gt;=80000,"VIP",S387&gt;=40000,"Gold",S387&gt;=15000,"Silver",TRUE,"Bronze")</f>
        <v>VIP</v>
      </c>
    </row>
    <row r="388" spans="1:36" x14ac:dyDescent="0.3">
      <c r="A388" s="3" t="s">
        <v>1046</v>
      </c>
      <c r="B388" s="15">
        <v>46178</v>
      </c>
      <c r="C388" s="15">
        <v>46184</v>
      </c>
      <c r="D388" s="3" t="s">
        <v>1047</v>
      </c>
      <c r="E388" s="3" t="s">
        <v>254</v>
      </c>
      <c r="F388" s="3" t="s">
        <v>39</v>
      </c>
      <c r="G388" s="3">
        <v>43</v>
      </c>
      <c r="H388" s="3" t="s">
        <v>60</v>
      </c>
      <c r="I388" s="3" t="s">
        <v>61</v>
      </c>
      <c r="J388" s="3" t="s">
        <v>42</v>
      </c>
      <c r="K388" s="3" t="s">
        <v>96</v>
      </c>
      <c r="L388" s="3" t="s">
        <v>166</v>
      </c>
      <c r="M388" s="3" t="s">
        <v>97</v>
      </c>
      <c r="N388" s="3" t="s">
        <v>98</v>
      </c>
      <c r="O388" s="3" t="s">
        <v>99</v>
      </c>
      <c r="P388" s="3">
        <v>1</v>
      </c>
      <c r="Q388" s="9">
        <v>4500</v>
      </c>
      <c r="R388" s="6">
        <v>0.12</v>
      </c>
      <c r="S388" s="12">
        <f t="shared" si="78"/>
        <v>3960</v>
      </c>
      <c r="T388" s="12">
        <v>3000</v>
      </c>
      <c r="U388" s="9">
        <f t="shared" si="79"/>
        <v>960</v>
      </c>
      <c r="V388" s="6">
        <f t="shared" si="80"/>
        <v>0.24242424242424243</v>
      </c>
      <c r="W388" s="3" t="s">
        <v>100</v>
      </c>
      <c r="X388" s="3" t="s">
        <v>49</v>
      </c>
      <c r="Y388" s="3">
        <f t="shared" si="81"/>
        <v>6</v>
      </c>
      <c r="Z388" s="3" t="str">
        <f t="shared" si="82"/>
        <v>Regular</v>
      </c>
      <c r="AA388" s="3">
        <v>2</v>
      </c>
      <c r="AB388" s="3" t="str">
        <f t="shared" si="83"/>
        <v>Average</v>
      </c>
      <c r="AC388" s="3" t="str">
        <f t="shared" si="84"/>
        <v>June</v>
      </c>
      <c r="AD388" s="3" t="str">
        <f t="shared" si="85"/>
        <v>Q2</v>
      </c>
      <c r="AE388" s="3">
        <f t="shared" si="86"/>
        <v>2026</v>
      </c>
      <c r="AF388" s="3" t="str">
        <f t="shared" si="87"/>
        <v>Friday</v>
      </c>
      <c r="AG388" s="3" t="str">
        <f t="shared" si="88"/>
        <v>36-45</v>
      </c>
      <c r="AH388" s="3" t="str">
        <f t="shared" si="89"/>
        <v>Small</v>
      </c>
      <c r="AI388" s="3" t="str">
        <f t="shared" si="90"/>
        <v>Medium</v>
      </c>
      <c r="AJ388" s="3" t="str" cm="1">
        <f t="array" ref="AJ388">_xlfn.IFS(S388&gt;=80000,"VIP",S388&gt;=40000,"Gold",S388&gt;=15000,"Silver",TRUE,"Bronze")</f>
        <v>Bronze</v>
      </c>
    </row>
    <row r="389" spans="1:36" x14ac:dyDescent="0.3">
      <c r="A389" s="3" t="s">
        <v>1048</v>
      </c>
      <c r="B389" s="15">
        <v>46305</v>
      </c>
      <c r="C389" s="15">
        <v>46310</v>
      </c>
      <c r="D389" s="3" t="s">
        <v>1049</v>
      </c>
      <c r="E389" s="3" t="s">
        <v>215</v>
      </c>
      <c r="F389" s="3" t="s">
        <v>52</v>
      </c>
      <c r="G389" s="3">
        <v>25</v>
      </c>
      <c r="H389" s="3" t="s">
        <v>60</v>
      </c>
      <c r="I389" s="3" t="s">
        <v>61</v>
      </c>
      <c r="J389" s="3" t="s">
        <v>42</v>
      </c>
      <c r="K389" s="3" t="s">
        <v>105</v>
      </c>
      <c r="L389" s="3" t="s">
        <v>112</v>
      </c>
      <c r="M389" s="3" t="s">
        <v>113</v>
      </c>
      <c r="N389" s="3" t="s">
        <v>114</v>
      </c>
      <c r="O389" s="3" t="s">
        <v>115</v>
      </c>
      <c r="P389" s="3">
        <v>5</v>
      </c>
      <c r="Q389" s="9">
        <v>3500</v>
      </c>
      <c r="R389" s="6">
        <v>0.12</v>
      </c>
      <c r="S389" s="12">
        <f t="shared" si="78"/>
        <v>15400</v>
      </c>
      <c r="T389" s="12">
        <v>2500</v>
      </c>
      <c r="U389" s="9">
        <f t="shared" si="79"/>
        <v>2900</v>
      </c>
      <c r="V389" s="6">
        <f t="shared" si="80"/>
        <v>0.18831168831168832</v>
      </c>
      <c r="W389" s="3" t="s">
        <v>48</v>
      </c>
      <c r="X389" s="3" t="s">
        <v>49</v>
      </c>
      <c r="Y389" s="3">
        <f t="shared" si="81"/>
        <v>5</v>
      </c>
      <c r="Z389" s="3" t="str">
        <f t="shared" si="82"/>
        <v>Regular</v>
      </c>
      <c r="AA389" s="3">
        <v>4</v>
      </c>
      <c r="AB389" s="3" t="str">
        <f t="shared" si="83"/>
        <v>Excellent</v>
      </c>
      <c r="AC389" s="3" t="str">
        <f t="shared" si="84"/>
        <v>October</v>
      </c>
      <c r="AD389" s="3" t="str">
        <f t="shared" si="85"/>
        <v>Q4</v>
      </c>
      <c r="AE389" s="3">
        <f t="shared" si="86"/>
        <v>2026</v>
      </c>
      <c r="AF389" s="3" t="str">
        <f t="shared" si="87"/>
        <v>Saturday</v>
      </c>
      <c r="AG389" s="3" t="str">
        <f t="shared" si="88"/>
        <v>18-25</v>
      </c>
      <c r="AH389" s="3" t="str">
        <f t="shared" si="89"/>
        <v>Medium</v>
      </c>
      <c r="AI389" s="3" t="str">
        <f t="shared" si="90"/>
        <v>Medium</v>
      </c>
      <c r="AJ389" s="3" t="str" cm="1">
        <f t="array" ref="AJ389">_xlfn.IFS(S389&gt;=80000,"VIP",S389&gt;=40000,"Gold",S389&gt;=15000,"Silver",TRUE,"Bronze")</f>
        <v>Silver</v>
      </c>
    </row>
    <row r="390" spans="1:36" x14ac:dyDescent="0.3">
      <c r="A390" s="3" t="s">
        <v>1050</v>
      </c>
      <c r="B390" s="15">
        <v>46342</v>
      </c>
      <c r="C390" s="15">
        <v>46344</v>
      </c>
      <c r="D390" s="3" t="s">
        <v>1051</v>
      </c>
      <c r="E390" s="3" t="s">
        <v>848</v>
      </c>
      <c r="F390" s="3" t="s">
        <v>52</v>
      </c>
      <c r="G390" s="3">
        <v>25</v>
      </c>
      <c r="H390" s="3" t="s">
        <v>119</v>
      </c>
      <c r="I390" s="3" t="s">
        <v>120</v>
      </c>
      <c r="J390" s="3" t="s">
        <v>121</v>
      </c>
      <c r="K390" s="3" t="s">
        <v>81</v>
      </c>
      <c r="L390" s="3" t="s">
        <v>82</v>
      </c>
      <c r="M390" s="3" t="s">
        <v>45</v>
      </c>
      <c r="N390" s="3" t="s">
        <v>83</v>
      </c>
      <c r="O390" s="3" t="s">
        <v>84</v>
      </c>
      <c r="P390" s="3">
        <v>4</v>
      </c>
      <c r="Q390" s="9">
        <v>42000</v>
      </c>
      <c r="R390" s="6">
        <v>0.12</v>
      </c>
      <c r="S390" s="12">
        <f t="shared" si="78"/>
        <v>147840</v>
      </c>
      <c r="T390" s="12">
        <v>35000</v>
      </c>
      <c r="U390" s="9">
        <f t="shared" si="79"/>
        <v>7840</v>
      </c>
      <c r="V390" s="6">
        <f t="shared" si="80"/>
        <v>5.3030303030303032E-2</v>
      </c>
      <c r="W390" s="3" t="s">
        <v>100</v>
      </c>
      <c r="X390" s="3" t="s">
        <v>74</v>
      </c>
      <c r="Y390" s="3">
        <f t="shared" si="81"/>
        <v>2</v>
      </c>
      <c r="Z390" s="3" t="str">
        <f t="shared" si="82"/>
        <v>Premium</v>
      </c>
      <c r="AA390" s="3">
        <v>3</v>
      </c>
      <c r="AB390" s="3" t="str">
        <f t="shared" si="83"/>
        <v>Average</v>
      </c>
      <c r="AC390" s="3" t="str">
        <f t="shared" si="84"/>
        <v>November</v>
      </c>
      <c r="AD390" s="3" t="str">
        <f t="shared" si="85"/>
        <v>Q4</v>
      </c>
      <c r="AE390" s="3">
        <f t="shared" si="86"/>
        <v>2026</v>
      </c>
      <c r="AF390" s="3" t="str">
        <f t="shared" si="87"/>
        <v>Monday</v>
      </c>
      <c r="AG390" s="3" t="str">
        <f t="shared" si="88"/>
        <v>18-25</v>
      </c>
      <c r="AH390" s="3" t="str">
        <f t="shared" si="89"/>
        <v>Large</v>
      </c>
      <c r="AI390" s="3" t="str">
        <f t="shared" si="90"/>
        <v>Medium</v>
      </c>
      <c r="AJ390" s="3" t="str" cm="1">
        <f t="array" ref="AJ390">_xlfn.IFS(S390&gt;=80000,"VIP",S390&gt;=40000,"Gold",S390&gt;=15000,"Silver",TRUE,"Bronze")</f>
        <v>VIP</v>
      </c>
    </row>
    <row r="391" spans="1:36" x14ac:dyDescent="0.3">
      <c r="A391" s="3" t="s">
        <v>1052</v>
      </c>
      <c r="B391" s="15">
        <v>46273</v>
      </c>
      <c r="C391" s="15">
        <v>46275</v>
      </c>
      <c r="D391" s="3" t="s">
        <v>1053</v>
      </c>
      <c r="E391" s="3" t="s">
        <v>368</v>
      </c>
      <c r="F391" s="3" t="s">
        <v>39</v>
      </c>
      <c r="G391" s="3">
        <v>20</v>
      </c>
      <c r="H391" s="3" t="s">
        <v>53</v>
      </c>
      <c r="I391" s="3" t="s">
        <v>41</v>
      </c>
      <c r="J391" s="3" t="s">
        <v>42</v>
      </c>
      <c r="K391" s="3" t="s">
        <v>54</v>
      </c>
      <c r="L391" s="3" t="s">
        <v>173</v>
      </c>
      <c r="M391" s="3" t="s">
        <v>45</v>
      </c>
      <c r="N391" s="3" t="s">
        <v>46</v>
      </c>
      <c r="O391" s="3" t="s">
        <v>55</v>
      </c>
      <c r="P391" s="3">
        <v>5</v>
      </c>
      <c r="Q391" s="9">
        <v>79900</v>
      </c>
      <c r="R391" s="6">
        <v>0.08</v>
      </c>
      <c r="S391" s="12">
        <f t="shared" si="78"/>
        <v>367540</v>
      </c>
      <c r="T391" s="12">
        <v>65000</v>
      </c>
      <c r="U391" s="9">
        <f t="shared" si="79"/>
        <v>42540</v>
      </c>
      <c r="V391" s="6">
        <f t="shared" si="80"/>
        <v>0.11574250421722805</v>
      </c>
      <c r="W391" s="3" t="s">
        <v>65</v>
      </c>
      <c r="X391" s="3" t="s">
        <v>101</v>
      </c>
      <c r="Y391" s="3">
        <f t="shared" si="81"/>
        <v>2</v>
      </c>
      <c r="Z391" s="3" t="str">
        <f t="shared" si="82"/>
        <v>Premium</v>
      </c>
      <c r="AA391" s="3">
        <v>5</v>
      </c>
      <c r="AB391" s="3" t="str">
        <f t="shared" si="83"/>
        <v>Excellent</v>
      </c>
      <c r="AC391" s="3" t="str">
        <f t="shared" si="84"/>
        <v>September</v>
      </c>
      <c r="AD391" s="3" t="str">
        <f t="shared" si="85"/>
        <v>Q3</v>
      </c>
      <c r="AE391" s="3">
        <f t="shared" si="86"/>
        <v>2026</v>
      </c>
      <c r="AF391" s="3" t="str">
        <f t="shared" si="87"/>
        <v>Tuesday</v>
      </c>
      <c r="AG391" s="3" t="str">
        <f t="shared" si="88"/>
        <v>18-25</v>
      </c>
      <c r="AH391" s="3" t="str">
        <f t="shared" si="89"/>
        <v>Large</v>
      </c>
      <c r="AI391" s="3" t="str">
        <f t="shared" si="90"/>
        <v>Medium</v>
      </c>
      <c r="AJ391" s="3" t="str" cm="1">
        <f t="array" ref="AJ391">_xlfn.IFS(S391&gt;=80000,"VIP",S391&gt;=40000,"Gold",S391&gt;=15000,"Silver",TRUE,"Bronze")</f>
        <v>VIP</v>
      </c>
    </row>
    <row r="392" spans="1:36" x14ac:dyDescent="0.3">
      <c r="A392" s="3" t="s">
        <v>1054</v>
      </c>
      <c r="B392" s="15">
        <v>46220</v>
      </c>
      <c r="C392" s="15">
        <v>46224</v>
      </c>
      <c r="D392" s="3" t="s">
        <v>1055</v>
      </c>
      <c r="E392" s="3" t="s">
        <v>565</v>
      </c>
      <c r="F392" s="3" t="s">
        <v>52</v>
      </c>
      <c r="G392" s="3">
        <v>43</v>
      </c>
      <c r="H392" s="3" t="s">
        <v>60</v>
      </c>
      <c r="I392" s="3" t="s">
        <v>61</v>
      </c>
      <c r="J392" s="3" t="s">
        <v>42</v>
      </c>
      <c r="K392" s="3" t="s">
        <v>81</v>
      </c>
      <c r="L392" s="3" t="s">
        <v>82</v>
      </c>
      <c r="M392" s="3" t="s">
        <v>45</v>
      </c>
      <c r="N392" s="3" t="s">
        <v>83</v>
      </c>
      <c r="O392" s="3" t="s">
        <v>84</v>
      </c>
      <c r="P392" s="3">
        <v>4</v>
      </c>
      <c r="Q392" s="9">
        <v>42000</v>
      </c>
      <c r="R392" s="6">
        <v>0.15</v>
      </c>
      <c r="S392" s="12">
        <f t="shared" si="78"/>
        <v>142800</v>
      </c>
      <c r="T392" s="12">
        <v>35000</v>
      </c>
      <c r="U392" s="9">
        <f t="shared" si="79"/>
        <v>2800</v>
      </c>
      <c r="V392" s="6">
        <f t="shared" si="80"/>
        <v>1.9607843137254902E-2</v>
      </c>
      <c r="W392" s="3" t="s">
        <v>92</v>
      </c>
      <c r="X392" s="3" t="s">
        <v>49</v>
      </c>
      <c r="Y392" s="3">
        <f t="shared" si="81"/>
        <v>4</v>
      </c>
      <c r="Z392" s="3" t="str">
        <f t="shared" si="82"/>
        <v>Premium</v>
      </c>
      <c r="AA392" s="3">
        <v>2</v>
      </c>
      <c r="AB392" s="3" t="str">
        <f t="shared" si="83"/>
        <v>Average</v>
      </c>
      <c r="AC392" s="3" t="str">
        <f t="shared" si="84"/>
        <v>July</v>
      </c>
      <c r="AD392" s="3" t="str">
        <f t="shared" si="85"/>
        <v>Q3</v>
      </c>
      <c r="AE392" s="3">
        <f t="shared" si="86"/>
        <v>2026</v>
      </c>
      <c r="AF392" s="3" t="str">
        <f t="shared" si="87"/>
        <v>Friday</v>
      </c>
      <c r="AG392" s="3" t="str">
        <f t="shared" si="88"/>
        <v>36-45</v>
      </c>
      <c r="AH392" s="3" t="str">
        <f t="shared" si="89"/>
        <v>Large</v>
      </c>
      <c r="AI392" s="3" t="str">
        <f t="shared" si="90"/>
        <v>Medium</v>
      </c>
      <c r="AJ392" s="3" t="str" cm="1">
        <f t="array" ref="AJ392">_xlfn.IFS(S392&gt;=80000,"VIP",S392&gt;=40000,"Gold",S392&gt;=15000,"Silver",TRUE,"Bronze")</f>
        <v>VIP</v>
      </c>
    </row>
    <row r="393" spans="1:36" x14ac:dyDescent="0.3">
      <c r="A393" s="3" t="s">
        <v>1056</v>
      </c>
      <c r="B393" s="15">
        <v>46225</v>
      </c>
      <c r="C393" s="15">
        <v>46228</v>
      </c>
      <c r="D393" s="3" t="s">
        <v>1057</v>
      </c>
      <c r="E393" s="3" t="s">
        <v>1058</v>
      </c>
      <c r="F393" s="3" t="s">
        <v>52</v>
      </c>
      <c r="G393" s="3">
        <v>27</v>
      </c>
      <c r="H393" s="3" t="s">
        <v>110</v>
      </c>
      <c r="I393" s="3" t="s">
        <v>111</v>
      </c>
      <c r="J393" s="3" t="s">
        <v>80</v>
      </c>
      <c r="K393" s="3" t="s">
        <v>43</v>
      </c>
      <c r="L393" s="3" t="s">
        <v>44</v>
      </c>
      <c r="M393" s="3" t="s">
        <v>45</v>
      </c>
      <c r="N393" s="3" t="s">
        <v>46</v>
      </c>
      <c r="O393" s="3" t="s">
        <v>47</v>
      </c>
      <c r="P393" s="3">
        <v>4</v>
      </c>
      <c r="Q393" s="9">
        <v>28500</v>
      </c>
      <c r="R393" s="6">
        <v>0.08</v>
      </c>
      <c r="S393" s="12">
        <f t="shared" si="78"/>
        <v>104880</v>
      </c>
      <c r="T393" s="12">
        <v>22000</v>
      </c>
      <c r="U393" s="9">
        <f t="shared" si="79"/>
        <v>16880</v>
      </c>
      <c r="V393" s="6">
        <f t="shared" si="80"/>
        <v>0.16094584286803967</v>
      </c>
      <c r="W393" s="3" t="s">
        <v>100</v>
      </c>
      <c r="X393" s="3" t="s">
        <v>106</v>
      </c>
      <c r="Y393" s="3">
        <f t="shared" si="81"/>
        <v>3</v>
      </c>
      <c r="Z393" s="3" t="str">
        <f t="shared" si="82"/>
        <v>Premium</v>
      </c>
      <c r="AA393" s="3">
        <v>5</v>
      </c>
      <c r="AB393" s="3" t="str">
        <f t="shared" si="83"/>
        <v>Excellent</v>
      </c>
      <c r="AC393" s="3" t="str">
        <f t="shared" si="84"/>
        <v>July</v>
      </c>
      <c r="AD393" s="3" t="str">
        <f t="shared" si="85"/>
        <v>Q3</v>
      </c>
      <c r="AE393" s="3">
        <f t="shared" si="86"/>
        <v>2026</v>
      </c>
      <c r="AF393" s="3" t="str">
        <f t="shared" si="87"/>
        <v>Wednesday</v>
      </c>
      <c r="AG393" s="3" t="str">
        <f t="shared" si="88"/>
        <v>26-35</v>
      </c>
      <c r="AH393" s="3" t="str">
        <f t="shared" si="89"/>
        <v>Large</v>
      </c>
      <c r="AI393" s="3" t="str">
        <f t="shared" si="90"/>
        <v>Medium</v>
      </c>
      <c r="AJ393" s="3" t="str" cm="1">
        <f t="array" ref="AJ393">_xlfn.IFS(S393&gt;=80000,"VIP",S393&gt;=40000,"Gold",S393&gt;=15000,"Silver",TRUE,"Bronze")</f>
        <v>VIP</v>
      </c>
    </row>
    <row r="394" spans="1:36" x14ac:dyDescent="0.3">
      <c r="A394" s="3" t="s">
        <v>1059</v>
      </c>
      <c r="B394" s="15">
        <v>46367</v>
      </c>
      <c r="C394" s="15">
        <v>46370</v>
      </c>
      <c r="D394" s="3" t="s">
        <v>1060</v>
      </c>
      <c r="E394" s="3" t="s">
        <v>998</v>
      </c>
      <c r="F394" s="3" t="s">
        <v>52</v>
      </c>
      <c r="G394" s="3">
        <v>47</v>
      </c>
      <c r="H394" s="3" t="s">
        <v>110</v>
      </c>
      <c r="I394" s="3" t="s">
        <v>111</v>
      </c>
      <c r="J394" s="3" t="s">
        <v>80</v>
      </c>
      <c r="K394" s="3" t="s">
        <v>96</v>
      </c>
      <c r="L394" s="3" t="s">
        <v>166</v>
      </c>
      <c r="M394" s="3" t="s">
        <v>97</v>
      </c>
      <c r="N394" s="3" t="s">
        <v>98</v>
      </c>
      <c r="O394" s="3" t="s">
        <v>99</v>
      </c>
      <c r="P394" s="3">
        <v>1</v>
      </c>
      <c r="Q394" s="9">
        <v>4500</v>
      </c>
      <c r="R394" s="6">
        <v>0.15</v>
      </c>
      <c r="S394" s="12">
        <f t="shared" si="78"/>
        <v>3825</v>
      </c>
      <c r="T394" s="12">
        <v>3000</v>
      </c>
      <c r="U394" s="9">
        <f t="shared" si="79"/>
        <v>825</v>
      </c>
      <c r="V394" s="6">
        <f t="shared" si="80"/>
        <v>0.21568627450980393</v>
      </c>
      <c r="W394" s="3" t="s">
        <v>100</v>
      </c>
      <c r="X394" s="3" t="s">
        <v>49</v>
      </c>
      <c r="Y394" s="3">
        <f t="shared" si="81"/>
        <v>3</v>
      </c>
      <c r="Z394" s="3" t="str">
        <f t="shared" si="82"/>
        <v>Regular</v>
      </c>
      <c r="AA394" s="3">
        <v>4</v>
      </c>
      <c r="AB394" s="3" t="str">
        <f t="shared" si="83"/>
        <v>Excellent</v>
      </c>
      <c r="AC394" s="3" t="str">
        <f t="shared" si="84"/>
        <v>December</v>
      </c>
      <c r="AD394" s="3" t="str">
        <f t="shared" si="85"/>
        <v>Q4</v>
      </c>
      <c r="AE394" s="3">
        <f t="shared" si="86"/>
        <v>2026</v>
      </c>
      <c r="AF394" s="3" t="str">
        <f t="shared" si="87"/>
        <v>Friday</v>
      </c>
      <c r="AG394" s="3" t="str">
        <f t="shared" si="88"/>
        <v>46+</v>
      </c>
      <c r="AH394" s="3" t="str">
        <f t="shared" si="89"/>
        <v>Small</v>
      </c>
      <c r="AI394" s="3" t="str">
        <f t="shared" si="90"/>
        <v>Medium</v>
      </c>
      <c r="AJ394" s="3" t="str" cm="1">
        <f t="array" ref="AJ394">_xlfn.IFS(S394&gt;=80000,"VIP",S394&gt;=40000,"Gold",S394&gt;=15000,"Silver",TRUE,"Bronze")</f>
        <v>Bronze</v>
      </c>
    </row>
    <row r="395" spans="1:36" x14ac:dyDescent="0.3">
      <c r="A395" s="3" t="s">
        <v>1061</v>
      </c>
      <c r="B395" s="15">
        <v>46249</v>
      </c>
      <c r="C395" s="15">
        <v>46255</v>
      </c>
      <c r="D395" s="3" t="s">
        <v>1062</v>
      </c>
      <c r="E395" s="3" t="s">
        <v>257</v>
      </c>
      <c r="F395" s="3" t="s">
        <v>52</v>
      </c>
      <c r="G395" s="3">
        <v>31</v>
      </c>
      <c r="H395" s="3" t="s">
        <v>53</v>
      </c>
      <c r="I395" s="3" t="s">
        <v>41</v>
      </c>
      <c r="J395" s="3" t="s">
        <v>42</v>
      </c>
      <c r="K395" s="3" t="s">
        <v>81</v>
      </c>
      <c r="L395" s="3" t="s">
        <v>82</v>
      </c>
      <c r="M395" s="3" t="s">
        <v>45</v>
      </c>
      <c r="N395" s="3" t="s">
        <v>83</v>
      </c>
      <c r="O395" s="3" t="s">
        <v>84</v>
      </c>
      <c r="P395" s="3">
        <v>2</v>
      </c>
      <c r="Q395" s="9">
        <v>42000</v>
      </c>
      <c r="R395" s="6">
        <v>0.1</v>
      </c>
      <c r="S395" s="12">
        <f t="shared" si="78"/>
        <v>75600</v>
      </c>
      <c r="T395" s="12">
        <v>35000</v>
      </c>
      <c r="U395" s="9">
        <f t="shared" si="79"/>
        <v>5600</v>
      </c>
      <c r="V395" s="6">
        <f t="shared" si="80"/>
        <v>7.407407407407407E-2</v>
      </c>
      <c r="W395" s="3" t="s">
        <v>65</v>
      </c>
      <c r="X395" s="3" t="s">
        <v>74</v>
      </c>
      <c r="Y395" s="3">
        <f t="shared" si="81"/>
        <v>6</v>
      </c>
      <c r="Z395" s="3" t="str">
        <f t="shared" si="82"/>
        <v>Premium</v>
      </c>
      <c r="AA395" s="3">
        <v>4</v>
      </c>
      <c r="AB395" s="3" t="str">
        <f t="shared" si="83"/>
        <v>Excellent</v>
      </c>
      <c r="AC395" s="3" t="str">
        <f t="shared" si="84"/>
        <v>August</v>
      </c>
      <c r="AD395" s="3" t="str">
        <f t="shared" si="85"/>
        <v>Q3</v>
      </c>
      <c r="AE395" s="3">
        <f t="shared" si="86"/>
        <v>2026</v>
      </c>
      <c r="AF395" s="3" t="str">
        <f t="shared" si="87"/>
        <v>Saturday</v>
      </c>
      <c r="AG395" s="3" t="str">
        <f t="shared" si="88"/>
        <v>26-35</v>
      </c>
      <c r="AH395" s="3" t="str">
        <f t="shared" si="89"/>
        <v>Large</v>
      </c>
      <c r="AI395" s="3" t="str">
        <f t="shared" si="90"/>
        <v>Medium</v>
      </c>
      <c r="AJ395" s="3" t="str" cm="1">
        <f t="array" ref="AJ395">_xlfn.IFS(S395&gt;=80000,"VIP",S395&gt;=40000,"Gold",S395&gt;=15000,"Silver",TRUE,"Bronze")</f>
        <v>Gold</v>
      </c>
    </row>
    <row r="396" spans="1:36" x14ac:dyDescent="0.3">
      <c r="A396" s="3" t="s">
        <v>1063</v>
      </c>
      <c r="B396" s="15">
        <v>46345</v>
      </c>
      <c r="C396" s="15">
        <v>46347</v>
      </c>
      <c r="D396" s="3" t="s">
        <v>1064</v>
      </c>
      <c r="E396" s="3" t="s">
        <v>570</v>
      </c>
      <c r="F396" s="3" t="s">
        <v>39</v>
      </c>
      <c r="G396" s="3">
        <v>41</v>
      </c>
      <c r="H396" s="3" t="s">
        <v>110</v>
      </c>
      <c r="I396" s="3" t="s">
        <v>111</v>
      </c>
      <c r="J396" s="3" t="s">
        <v>80</v>
      </c>
      <c r="K396" s="3" t="s">
        <v>62</v>
      </c>
      <c r="L396" s="3" t="s">
        <v>163</v>
      </c>
      <c r="M396" s="3" t="s">
        <v>45</v>
      </c>
      <c r="N396" s="3" t="s">
        <v>63</v>
      </c>
      <c r="O396" s="3" t="s">
        <v>64</v>
      </c>
      <c r="P396" s="3">
        <v>4</v>
      </c>
      <c r="Q396" s="9">
        <v>62000</v>
      </c>
      <c r="R396" s="6">
        <v>0.12</v>
      </c>
      <c r="S396" s="12">
        <f t="shared" si="78"/>
        <v>218240</v>
      </c>
      <c r="T396" s="12">
        <v>52000</v>
      </c>
      <c r="U396" s="9">
        <f t="shared" si="79"/>
        <v>10240</v>
      </c>
      <c r="V396" s="6">
        <f t="shared" si="80"/>
        <v>4.6920821114369501E-2</v>
      </c>
      <c r="W396" s="3" t="s">
        <v>73</v>
      </c>
      <c r="X396" s="3" t="s">
        <v>74</v>
      </c>
      <c r="Y396" s="3">
        <f t="shared" si="81"/>
        <v>2</v>
      </c>
      <c r="Z396" s="3" t="str">
        <f t="shared" si="82"/>
        <v>Premium</v>
      </c>
      <c r="AA396" s="3">
        <v>4</v>
      </c>
      <c r="AB396" s="3" t="str">
        <f t="shared" si="83"/>
        <v>Excellent</v>
      </c>
      <c r="AC396" s="3" t="str">
        <f t="shared" si="84"/>
        <v>November</v>
      </c>
      <c r="AD396" s="3" t="str">
        <f t="shared" si="85"/>
        <v>Q4</v>
      </c>
      <c r="AE396" s="3">
        <f t="shared" si="86"/>
        <v>2026</v>
      </c>
      <c r="AF396" s="3" t="str">
        <f t="shared" si="87"/>
        <v>Thursday</v>
      </c>
      <c r="AG396" s="3" t="str">
        <f t="shared" si="88"/>
        <v>36-45</v>
      </c>
      <c r="AH396" s="3" t="str">
        <f t="shared" si="89"/>
        <v>Large</v>
      </c>
      <c r="AI396" s="3" t="str">
        <f t="shared" si="90"/>
        <v>Medium</v>
      </c>
      <c r="AJ396" s="3" t="str" cm="1">
        <f t="array" ref="AJ396">_xlfn.IFS(S396&gt;=80000,"VIP",S396&gt;=40000,"Gold",S396&gt;=15000,"Silver",TRUE,"Bronze")</f>
        <v>VIP</v>
      </c>
    </row>
    <row r="397" spans="1:36" x14ac:dyDescent="0.3">
      <c r="A397" s="3" t="s">
        <v>1065</v>
      </c>
      <c r="B397" s="15">
        <v>46332</v>
      </c>
      <c r="C397" s="15">
        <v>46335</v>
      </c>
      <c r="D397" s="3" t="s">
        <v>1066</v>
      </c>
      <c r="E397" s="3" t="s">
        <v>533</v>
      </c>
      <c r="F397" s="3" t="s">
        <v>52</v>
      </c>
      <c r="G397" s="3">
        <v>43</v>
      </c>
      <c r="H397" s="3" t="s">
        <v>53</v>
      </c>
      <c r="I397" s="3" t="s">
        <v>41</v>
      </c>
      <c r="J397" s="3" t="s">
        <v>42</v>
      </c>
      <c r="K397" s="3" t="s">
        <v>70</v>
      </c>
      <c r="L397" s="3" t="s">
        <v>71</v>
      </c>
      <c r="M397" s="3" t="s">
        <v>45</v>
      </c>
      <c r="N397" s="3" t="s">
        <v>63</v>
      </c>
      <c r="O397" s="3" t="s">
        <v>72</v>
      </c>
      <c r="P397" s="3">
        <v>3</v>
      </c>
      <c r="Q397" s="9">
        <v>58000</v>
      </c>
      <c r="R397" s="6">
        <v>0.05</v>
      </c>
      <c r="S397" s="12">
        <f t="shared" si="78"/>
        <v>165300</v>
      </c>
      <c r="T397" s="12">
        <v>49000</v>
      </c>
      <c r="U397" s="9">
        <f t="shared" si="79"/>
        <v>18300</v>
      </c>
      <c r="V397" s="6">
        <f t="shared" si="80"/>
        <v>0.11070780399274047</v>
      </c>
      <c r="W397" s="3" t="s">
        <v>73</v>
      </c>
      <c r="X397" s="3" t="s">
        <v>106</v>
      </c>
      <c r="Y397" s="3">
        <f t="shared" si="81"/>
        <v>3</v>
      </c>
      <c r="Z397" s="3" t="str">
        <f t="shared" si="82"/>
        <v>Premium</v>
      </c>
      <c r="AA397" s="3">
        <v>3</v>
      </c>
      <c r="AB397" s="3" t="str">
        <f t="shared" si="83"/>
        <v>Average</v>
      </c>
      <c r="AC397" s="3" t="str">
        <f t="shared" si="84"/>
        <v>November</v>
      </c>
      <c r="AD397" s="3" t="str">
        <f t="shared" si="85"/>
        <v>Q4</v>
      </c>
      <c r="AE397" s="3">
        <f t="shared" si="86"/>
        <v>2026</v>
      </c>
      <c r="AF397" s="3" t="str">
        <f t="shared" si="87"/>
        <v>Friday</v>
      </c>
      <c r="AG397" s="3" t="str">
        <f t="shared" si="88"/>
        <v>36-45</v>
      </c>
      <c r="AH397" s="3" t="str">
        <f t="shared" si="89"/>
        <v>Large</v>
      </c>
      <c r="AI397" s="3" t="str">
        <f t="shared" si="90"/>
        <v>Low</v>
      </c>
      <c r="AJ397" s="3" t="str" cm="1">
        <f t="array" ref="AJ397">_xlfn.IFS(S397&gt;=80000,"VIP",S397&gt;=40000,"Gold",S397&gt;=15000,"Silver",TRUE,"Bronze")</f>
        <v>VIP</v>
      </c>
    </row>
    <row r="398" spans="1:36" x14ac:dyDescent="0.3">
      <c r="A398" s="3" t="s">
        <v>1067</v>
      </c>
      <c r="B398" s="15">
        <v>46134</v>
      </c>
      <c r="C398" s="15">
        <v>46136</v>
      </c>
      <c r="D398" s="3" t="s">
        <v>1068</v>
      </c>
      <c r="E398" s="3" t="s">
        <v>451</v>
      </c>
      <c r="F398" s="3" t="s">
        <v>39</v>
      </c>
      <c r="G398" s="3">
        <v>49</v>
      </c>
      <c r="H398" s="3" t="s">
        <v>78</v>
      </c>
      <c r="I398" s="3" t="s">
        <v>79</v>
      </c>
      <c r="J398" s="3" t="s">
        <v>80</v>
      </c>
      <c r="K398" s="3" t="s">
        <v>96</v>
      </c>
      <c r="L398" s="3" t="s">
        <v>166</v>
      </c>
      <c r="M398" s="3" t="s">
        <v>97</v>
      </c>
      <c r="N398" s="3" t="s">
        <v>98</v>
      </c>
      <c r="O398" s="3" t="s">
        <v>99</v>
      </c>
      <c r="P398" s="3">
        <v>1</v>
      </c>
      <c r="Q398" s="9">
        <v>4500</v>
      </c>
      <c r="R398" s="6">
        <v>0.2</v>
      </c>
      <c r="S398" s="12">
        <f t="shared" si="78"/>
        <v>3600</v>
      </c>
      <c r="T398" s="12">
        <v>3000</v>
      </c>
      <c r="U398" s="9">
        <f t="shared" si="79"/>
        <v>600</v>
      </c>
      <c r="V398" s="6">
        <f t="shared" si="80"/>
        <v>0.16666666666666666</v>
      </c>
      <c r="W398" s="3" t="s">
        <v>73</v>
      </c>
      <c r="X398" s="3" t="s">
        <v>49</v>
      </c>
      <c r="Y398" s="3">
        <f t="shared" si="81"/>
        <v>2</v>
      </c>
      <c r="Z398" s="3" t="str">
        <f t="shared" si="82"/>
        <v>Regular</v>
      </c>
      <c r="AA398" s="3">
        <v>3</v>
      </c>
      <c r="AB398" s="3" t="str">
        <f t="shared" si="83"/>
        <v>Average</v>
      </c>
      <c r="AC398" s="3" t="str">
        <f t="shared" si="84"/>
        <v>April</v>
      </c>
      <c r="AD398" s="3" t="str">
        <f t="shared" si="85"/>
        <v>Q2</v>
      </c>
      <c r="AE398" s="3">
        <f t="shared" si="86"/>
        <v>2026</v>
      </c>
      <c r="AF398" s="3" t="str">
        <f t="shared" si="87"/>
        <v>Wednesday</v>
      </c>
      <c r="AG398" s="3" t="str">
        <f t="shared" si="88"/>
        <v>46+</v>
      </c>
      <c r="AH398" s="3" t="str">
        <f t="shared" si="89"/>
        <v>Small</v>
      </c>
      <c r="AI398" s="3" t="str">
        <f t="shared" si="90"/>
        <v>High</v>
      </c>
      <c r="AJ398" s="3" t="str" cm="1">
        <f t="array" ref="AJ398">_xlfn.IFS(S398&gt;=80000,"VIP",S398&gt;=40000,"Gold",S398&gt;=15000,"Silver",TRUE,"Bronze")</f>
        <v>Bronze</v>
      </c>
    </row>
    <row r="399" spans="1:36" x14ac:dyDescent="0.3">
      <c r="A399" s="3" t="s">
        <v>1069</v>
      </c>
      <c r="B399" s="15">
        <v>46241</v>
      </c>
      <c r="C399" s="15">
        <v>46247</v>
      </c>
      <c r="D399" s="3" t="s">
        <v>1070</v>
      </c>
      <c r="E399" s="3" t="s">
        <v>784</v>
      </c>
      <c r="F399" s="3" t="s">
        <v>52</v>
      </c>
      <c r="G399" s="3">
        <v>46</v>
      </c>
      <c r="H399" s="3" t="s">
        <v>110</v>
      </c>
      <c r="I399" s="3" t="s">
        <v>111</v>
      </c>
      <c r="J399" s="3" t="s">
        <v>80</v>
      </c>
      <c r="K399" s="3" t="s">
        <v>90</v>
      </c>
      <c r="L399" s="3" t="s">
        <v>122</v>
      </c>
      <c r="M399" s="3" t="s">
        <v>45</v>
      </c>
      <c r="N399" s="3" t="s">
        <v>91</v>
      </c>
      <c r="O399" s="3" t="s">
        <v>123</v>
      </c>
      <c r="P399" s="3">
        <v>2</v>
      </c>
      <c r="Q399" s="9">
        <v>2500</v>
      </c>
      <c r="R399" s="6">
        <v>0.2</v>
      </c>
      <c r="S399" s="12">
        <f t="shared" si="78"/>
        <v>4000</v>
      </c>
      <c r="T399" s="12">
        <v>1700</v>
      </c>
      <c r="U399" s="9">
        <f t="shared" si="79"/>
        <v>600</v>
      </c>
      <c r="V399" s="6">
        <f t="shared" si="80"/>
        <v>0.15</v>
      </c>
      <c r="W399" s="3" t="s">
        <v>100</v>
      </c>
      <c r="X399" s="3" t="s">
        <v>74</v>
      </c>
      <c r="Y399" s="3">
        <f t="shared" si="81"/>
        <v>6</v>
      </c>
      <c r="Z399" s="3" t="str">
        <f t="shared" si="82"/>
        <v>Regular</v>
      </c>
      <c r="AA399" s="3">
        <v>4</v>
      </c>
      <c r="AB399" s="3" t="str">
        <f t="shared" si="83"/>
        <v>Excellent</v>
      </c>
      <c r="AC399" s="3" t="str">
        <f t="shared" si="84"/>
        <v>August</v>
      </c>
      <c r="AD399" s="3" t="str">
        <f t="shared" si="85"/>
        <v>Q3</v>
      </c>
      <c r="AE399" s="3">
        <f t="shared" si="86"/>
        <v>2026</v>
      </c>
      <c r="AF399" s="3" t="str">
        <f t="shared" si="87"/>
        <v>Friday</v>
      </c>
      <c r="AG399" s="3" t="str">
        <f t="shared" si="88"/>
        <v>46+</v>
      </c>
      <c r="AH399" s="3" t="str">
        <f t="shared" si="89"/>
        <v>Small</v>
      </c>
      <c r="AI399" s="3" t="str">
        <f t="shared" si="90"/>
        <v>High</v>
      </c>
      <c r="AJ399" s="3" t="str" cm="1">
        <f t="array" ref="AJ399">_xlfn.IFS(S399&gt;=80000,"VIP",S399&gt;=40000,"Gold",S399&gt;=15000,"Silver",TRUE,"Bronze")</f>
        <v>Bronze</v>
      </c>
    </row>
    <row r="400" spans="1:36" x14ac:dyDescent="0.3">
      <c r="A400" s="3" t="s">
        <v>1071</v>
      </c>
      <c r="B400" s="15">
        <v>46156</v>
      </c>
      <c r="C400" s="15">
        <v>46161</v>
      </c>
      <c r="D400" s="3" t="s">
        <v>1072</v>
      </c>
      <c r="E400" s="3" t="s">
        <v>855</v>
      </c>
      <c r="F400" s="3" t="s">
        <v>39</v>
      </c>
      <c r="G400" s="3">
        <v>29</v>
      </c>
      <c r="H400" s="3" t="s">
        <v>88</v>
      </c>
      <c r="I400" s="3" t="s">
        <v>89</v>
      </c>
      <c r="J400" s="3" t="s">
        <v>80</v>
      </c>
      <c r="K400" s="3" t="s">
        <v>90</v>
      </c>
      <c r="L400" s="3" t="s">
        <v>122</v>
      </c>
      <c r="M400" s="3" t="s">
        <v>45</v>
      </c>
      <c r="N400" s="3" t="s">
        <v>91</v>
      </c>
      <c r="O400" s="3" t="s">
        <v>123</v>
      </c>
      <c r="P400" s="3">
        <v>2</v>
      </c>
      <c r="Q400" s="9">
        <v>2500</v>
      </c>
      <c r="R400" s="6">
        <v>0.15</v>
      </c>
      <c r="S400" s="12">
        <f t="shared" si="78"/>
        <v>4250</v>
      </c>
      <c r="T400" s="12">
        <v>1700</v>
      </c>
      <c r="U400" s="9">
        <f t="shared" si="79"/>
        <v>850</v>
      </c>
      <c r="V400" s="6">
        <f t="shared" si="80"/>
        <v>0.2</v>
      </c>
      <c r="W400" s="3" t="s">
        <v>56</v>
      </c>
      <c r="X400" s="3" t="s">
        <v>49</v>
      </c>
      <c r="Y400" s="3">
        <f t="shared" si="81"/>
        <v>5</v>
      </c>
      <c r="Z400" s="3" t="str">
        <f t="shared" si="82"/>
        <v>Regular</v>
      </c>
      <c r="AA400" s="3">
        <v>5</v>
      </c>
      <c r="AB400" s="3" t="str">
        <f t="shared" si="83"/>
        <v>Excellent</v>
      </c>
      <c r="AC400" s="3" t="str">
        <f t="shared" si="84"/>
        <v>May</v>
      </c>
      <c r="AD400" s="3" t="str">
        <f t="shared" si="85"/>
        <v>Q2</v>
      </c>
      <c r="AE400" s="3">
        <f t="shared" si="86"/>
        <v>2026</v>
      </c>
      <c r="AF400" s="3" t="str">
        <f t="shared" si="87"/>
        <v>Thursday</v>
      </c>
      <c r="AG400" s="3" t="str">
        <f t="shared" si="88"/>
        <v>26-35</v>
      </c>
      <c r="AH400" s="3" t="str">
        <f t="shared" si="89"/>
        <v>Small</v>
      </c>
      <c r="AI400" s="3" t="str">
        <f t="shared" si="90"/>
        <v>Medium</v>
      </c>
      <c r="AJ400" s="3" t="str" cm="1">
        <f t="array" ref="AJ400">_xlfn.IFS(S400&gt;=80000,"VIP",S400&gt;=40000,"Gold",S400&gt;=15000,"Silver",TRUE,"Bronze")</f>
        <v>Bronze</v>
      </c>
    </row>
    <row r="401" spans="1:36" x14ac:dyDescent="0.3">
      <c r="A401" s="3" t="s">
        <v>1073</v>
      </c>
      <c r="B401" s="15">
        <v>46023</v>
      </c>
      <c r="C401" s="15">
        <v>46025</v>
      </c>
      <c r="D401" s="3" t="s">
        <v>1074</v>
      </c>
      <c r="E401" s="3" t="s">
        <v>139</v>
      </c>
      <c r="F401" s="3" t="s">
        <v>52</v>
      </c>
      <c r="G401" s="3">
        <v>20</v>
      </c>
      <c r="H401" s="3" t="s">
        <v>53</v>
      </c>
      <c r="I401" s="3" t="s">
        <v>41</v>
      </c>
      <c r="J401" s="3" t="s">
        <v>42</v>
      </c>
      <c r="K401" s="3" t="s">
        <v>54</v>
      </c>
      <c r="L401" s="3" t="s">
        <v>173</v>
      </c>
      <c r="M401" s="3" t="s">
        <v>45</v>
      </c>
      <c r="N401" s="3" t="s">
        <v>46</v>
      </c>
      <c r="O401" s="3" t="s">
        <v>55</v>
      </c>
      <c r="P401" s="3">
        <v>4</v>
      </c>
      <c r="Q401" s="9">
        <v>79900</v>
      </c>
      <c r="R401" s="6">
        <v>0.12</v>
      </c>
      <c r="S401" s="12">
        <f t="shared" si="78"/>
        <v>281248</v>
      </c>
      <c r="T401" s="12">
        <v>65000</v>
      </c>
      <c r="U401" s="9">
        <f t="shared" si="79"/>
        <v>21248</v>
      </c>
      <c r="V401" s="6">
        <f t="shared" si="80"/>
        <v>7.5548981681647517E-2</v>
      </c>
      <c r="W401" s="3" t="s">
        <v>92</v>
      </c>
      <c r="X401" s="3" t="s">
        <v>101</v>
      </c>
      <c r="Y401" s="3">
        <f t="shared" si="81"/>
        <v>2</v>
      </c>
      <c r="Z401" s="3" t="str">
        <f t="shared" si="82"/>
        <v>Premium</v>
      </c>
      <c r="AA401" s="3">
        <v>5</v>
      </c>
      <c r="AB401" s="3" t="str">
        <f t="shared" si="83"/>
        <v>Excellent</v>
      </c>
      <c r="AC401" s="3" t="str">
        <f t="shared" si="84"/>
        <v>January</v>
      </c>
      <c r="AD401" s="3" t="str">
        <f t="shared" si="85"/>
        <v>Q1</v>
      </c>
      <c r="AE401" s="3">
        <f t="shared" si="86"/>
        <v>2026</v>
      </c>
      <c r="AF401" s="3" t="str">
        <f t="shared" si="87"/>
        <v>Thursday</v>
      </c>
      <c r="AG401" s="3" t="str">
        <f t="shared" si="88"/>
        <v>18-25</v>
      </c>
      <c r="AH401" s="3" t="str">
        <f t="shared" si="89"/>
        <v>Large</v>
      </c>
      <c r="AI401" s="3" t="str">
        <f t="shared" si="90"/>
        <v>Medium</v>
      </c>
      <c r="AJ401" s="3" t="str" cm="1">
        <f t="array" ref="AJ401">_xlfn.IFS(S401&gt;=80000,"VIP",S401&gt;=40000,"Gold",S401&gt;=15000,"Silver",TRUE,"Bronze")</f>
        <v>VIP</v>
      </c>
    </row>
    <row r="402" spans="1:36" x14ac:dyDescent="0.3">
      <c r="A402" s="3" t="s">
        <v>1075</v>
      </c>
      <c r="B402" s="15">
        <v>46318</v>
      </c>
      <c r="C402" s="15">
        <v>46320</v>
      </c>
      <c r="D402" s="3" t="s">
        <v>1076</v>
      </c>
      <c r="E402" s="3" t="s">
        <v>144</v>
      </c>
      <c r="F402" s="3" t="s">
        <v>39</v>
      </c>
      <c r="G402" s="3">
        <v>49</v>
      </c>
      <c r="H402" s="3" t="s">
        <v>88</v>
      </c>
      <c r="I402" s="3" t="s">
        <v>89</v>
      </c>
      <c r="J402" s="3" t="s">
        <v>80</v>
      </c>
      <c r="K402" s="3" t="s">
        <v>43</v>
      </c>
      <c r="L402" s="3" t="s">
        <v>44</v>
      </c>
      <c r="M402" s="3" t="s">
        <v>45</v>
      </c>
      <c r="N402" s="3" t="s">
        <v>46</v>
      </c>
      <c r="O402" s="3" t="s">
        <v>47</v>
      </c>
      <c r="P402" s="3">
        <v>1</v>
      </c>
      <c r="Q402" s="9">
        <v>28500</v>
      </c>
      <c r="R402" s="6">
        <v>0.15</v>
      </c>
      <c r="S402" s="12">
        <f t="shared" si="78"/>
        <v>24225</v>
      </c>
      <c r="T402" s="12">
        <v>22000</v>
      </c>
      <c r="U402" s="9">
        <f t="shared" si="79"/>
        <v>2225</v>
      </c>
      <c r="V402" s="6">
        <f t="shared" si="80"/>
        <v>9.1847265221878222E-2</v>
      </c>
      <c r="W402" s="3" t="s">
        <v>100</v>
      </c>
      <c r="X402" s="3" t="s">
        <v>101</v>
      </c>
      <c r="Y402" s="3">
        <f t="shared" si="81"/>
        <v>2</v>
      </c>
      <c r="Z402" s="3" t="str">
        <f t="shared" si="82"/>
        <v>Regular</v>
      </c>
      <c r="AA402" s="3">
        <v>3</v>
      </c>
      <c r="AB402" s="3" t="str">
        <f t="shared" si="83"/>
        <v>Average</v>
      </c>
      <c r="AC402" s="3" t="str">
        <f t="shared" si="84"/>
        <v>October</v>
      </c>
      <c r="AD402" s="3" t="str">
        <f t="shared" si="85"/>
        <v>Q4</v>
      </c>
      <c r="AE402" s="3">
        <f t="shared" si="86"/>
        <v>2026</v>
      </c>
      <c r="AF402" s="3" t="str">
        <f t="shared" si="87"/>
        <v>Friday</v>
      </c>
      <c r="AG402" s="3" t="str">
        <f t="shared" si="88"/>
        <v>46+</v>
      </c>
      <c r="AH402" s="3" t="str">
        <f t="shared" si="89"/>
        <v>Medium</v>
      </c>
      <c r="AI402" s="3" t="str">
        <f t="shared" si="90"/>
        <v>Medium</v>
      </c>
      <c r="AJ402" s="3" t="str" cm="1">
        <f t="array" ref="AJ402">_xlfn.IFS(S402&gt;=80000,"VIP",S402&gt;=40000,"Gold",S402&gt;=15000,"Silver",TRUE,"Bronze")</f>
        <v>Silver</v>
      </c>
    </row>
    <row r="403" spans="1:36" x14ac:dyDescent="0.3">
      <c r="A403" s="3" t="s">
        <v>1077</v>
      </c>
      <c r="B403" s="15">
        <v>46101</v>
      </c>
      <c r="C403" s="15">
        <v>46106</v>
      </c>
      <c r="D403" s="3" t="s">
        <v>1078</v>
      </c>
      <c r="E403" s="3" t="s">
        <v>432</v>
      </c>
      <c r="F403" s="3" t="s">
        <v>52</v>
      </c>
      <c r="G403" s="3">
        <v>37</v>
      </c>
      <c r="H403" s="3" t="s">
        <v>119</v>
      </c>
      <c r="I403" s="3" t="s">
        <v>120</v>
      </c>
      <c r="J403" s="3" t="s">
        <v>121</v>
      </c>
      <c r="K403" s="3" t="s">
        <v>90</v>
      </c>
      <c r="L403" s="3" t="s">
        <v>122</v>
      </c>
      <c r="M403" s="3" t="s">
        <v>45</v>
      </c>
      <c r="N403" s="3" t="s">
        <v>91</v>
      </c>
      <c r="O403" s="3" t="s">
        <v>123</v>
      </c>
      <c r="P403" s="3">
        <v>4</v>
      </c>
      <c r="Q403" s="9">
        <v>2500</v>
      </c>
      <c r="R403" s="6">
        <v>0.2</v>
      </c>
      <c r="S403" s="12">
        <f t="shared" si="78"/>
        <v>8000</v>
      </c>
      <c r="T403" s="12">
        <v>1700</v>
      </c>
      <c r="U403" s="9">
        <f t="shared" si="79"/>
        <v>1200</v>
      </c>
      <c r="V403" s="6">
        <f t="shared" si="80"/>
        <v>0.15</v>
      </c>
      <c r="W403" s="3" t="s">
        <v>65</v>
      </c>
      <c r="X403" s="3" t="s">
        <v>101</v>
      </c>
      <c r="Y403" s="3">
        <f t="shared" si="81"/>
        <v>5</v>
      </c>
      <c r="Z403" s="3" t="str">
        <f t="shared" si="82"/>
        <v>Regular</v>
      </c>
      <c r="AA403" s="3">
        <v>3</v>
      </c>
      <c r="AB403" s="3" t="str">
        <f t="shared" si="83"/>
        <v>Average</v>
      </c>
      <c r="AC403" s="3" t="str">
        <f t="shared" si="84"/>
        <v>March</v>
      </c>
      <c r="AD403" s="3" t="str">
        <f t="shared" si="85"/>
        <v>Q1</v>
      </c>
      <c r="AE403" s="3">
        <f t="shared" si="86"/>
        <v>2026</v>
      </c>
      <c r="AF403" s="3" t="str">
        <f t="shared" si="87"/>
        <v>Friday</v>
      </c>
      <c r="AG403" s="3" t="str">
        <f t="shared" si="88"/>
        <v>36-45</v>
      </c>
      <c r="AH403" s="3" t="str">
        <f t="shared" si="89"/>
        <v>Small</v>
      </c>
      <c r="AI403" s="3" t="str">
        <f t="shared" si="90"/>
        <v>High</v>
      </c>
      <c r="AJ403" s="3" t="str" cm="1">
        <f t="array" ref="AJ403">_xlfn.IFS(S403&gt;=80000,"VIP",S403&gt;=40000,"Gold",S403&gt;=15000,"Silver",TRUE,"Bronze")</f>
        <v>Bronze</v>
      </c>
    </row>
    <row r="404" spans="1:36" x14ac:dyDescent="0.3">
      <c r="A404" s="3" t="s">
        <v>1079</v>
      </c>
      <c r="B404" s="15">
        <v>46366</v>
      </c>
      <c r="C404" s="15">
        <v>46368</v>
      </c>
      <c r="D404" s="3" t="s">
        <v>1080</v>
      </c>
      <c r="E404" s="3" t="s">
        <v>183</v>
      </c>
      <c r="F404" s="3" t="s">
        <v>52</v>
      </c>
      <c r="G404" s="3">
        <v>43</v>
      </c>
      <c r="H404" s="3" t="s">
        <v>78</v>
      </c>
      <c r="I404" s="3" t="s">
        <v>79</v>
      </c>
      <c r="J404" s="3" t="s">
        <v>80</v>
      </c>
      <c r="K404" s="3" t="s">
        <v>90</v>
      </c>
      <c r="L404" s="3" t="s">
        <v>122</v>
      </c>
      <c r="M404" s="3" t="s">
        <v>45</v>
      </c>
      <c r="N404" s="3" t="s">
        <v>91</v>
      </c>
      <c r="O404" s="3" t="s">
        <v>123</v>
      </c>
      <c r="P404" s="3">
        <v>4</v>
      </c>
      <c r="Q404" s="9">
        <v>2500</v>
      </c>
      <c r="R404" s="6">
        <v>0.08</v>
      </c>
      <c r="S404" s="12">
        <f t="shared" si="78"/>
        <v>9200</v>
      </c>
      <c r="T404" s="12">
        <v>1700</v>
      </c>
      <c r="U404" s="9">
        <f t="shared" si="79"/>
        <v>2400</v>
      </c>
      <c r="V404" s="6">
        <f t="shared" si="80"/>
        <v>0.2608695652173913</v>
      </c>
      <c r="W404" s="3" t="s">
        <v>65</v>
      </c>
      <c r="X404" s="3" t="s">
        <v>106</v>
      </c>
      <c r="Y404" s="3">
        <f t="shared" si="81"/>
        <v>2</v>
      </c>
      <c r="Z404" s="3" t="str">
        <f t="shared" si="82"/>
        <v>Regular</v>
      </c>
      <c r="AA404" s="3">
        <v>5</v>
      </c>
      <c r="AB404" s="3" t="str">
        <f t="shared" si="83"/>
        <v>Excellent</v>
      </c>
      <c r="AC404" s="3" t="str">
        <f t="shared" si="84"/>
        <v>December</v>
      </c>
      <c r="AD404" s="3" t="str">
        <f t="shared" si="85"/>
        <v>Q4</v>
      </c>
      <c r="AE404" s="3">
        <f t="shared" si="86"/>
        <v>2026</v>
      </c>
      <c r="AF404" s="3" t="str">
        <f t="shared" si="87"/>
        <v>Thursday</v>
      </c>
      <c r="AG404" s="3" t="str">
        <f t="shared" si="88"/>
        <v>36-45</v>
      </c>
      <c r="AH404" s="3" t="str">
        <f t="shared" si="89"/>
        <v>Small</v>
      </c>
      <c r="AI404" s="3" t="str">
        <f t="shared" si="90"/>
        <v>Medium</v>
      </c>
      <c r="AJ404" s="3" t="str" cm="1">
        <f t="array" ref="AJ404">_xlfn.IFS(S404&gt;=80000,"VIP",S404&gt;=40000,"Gold",S404&gt;=15000,"Silver",TRUE,"Bronze")</f>
        <v>Bronze</v>
      </c>
    </row>
    <row r="405" spans="1:36" x14ac:dyDescent="0.3">
      <c r="A405" s="3" t="s">
        <v>1081</v>
      </c>
      <c r="B405" s="15">
        <v>46288</v>
      </c>
      <c r="C405" s="15">
        <v>46292</v>
      </c>
      <c r="D405" s="3" t="s">
        <v>1082</v>
      </c>
      <c r="E405" s="3" t="s">
        <v>977</v>
      </c>
      <c r="F405" s="3" t="s">
        <v>52</v>
      </c>
      <c r="G405" s="3">
        <v>36</v>
      </c>
      <c r="H405" s="3" t="s">
        <v>60</v>
      </c>
      <c r="I405" s="3" t="s">
        <v>61</v>
      </c>
      <c r="J405" s="3" t="s">
        <v>42</v>
      </c>
      <c r="K405" s="3" t="s">
        <v>81</v>
      </c>
      <c r="L405" s="3" t="s">
        <v>82</v>
      </c>
      <c r="M405" s="3" t="s">
        <v>45</v>
      </c>
      <c r="N405" s="3" t="s">
        <v>83</v>
      </c>
      <c r="O405" s="3" t="s">
        <v>84</v>
      </c>
      <c r="P405" s="3">
        <v>3</v>
      </c>
      <c r="Q405" s="9">
        <v>42000</v>
      </c>
      <c r="R405" s="6">
        <v>0.08</v>
      </c>
      <c r="S405" s="12">
        <f t="shared" si="78"/>
        <v>115920</v>
      </c>
      <c r="T405" s="12">
        <v>35000</v>
      </c>
      <c r="U405" s="9">
        <f t="shared" si="79"/>
        <v>10920</v>
      </c>
      <c r="V405" s="6">
        <f t="shared" si="80"/>
        <v>9.420289855072464E-2</v>
      </c>
      <c r="W405" s="3" t="s">
        <v>65</v>
      </c>
      <c r="X405" s="3" t="s">
        <v>74</v>
      </c>
      <c r="Y405" s="3">
        <f t="shared" si="81"/>
        <v>4</v>
      </c>
      <c r="Z405" s="3" t="str">
        <f t="shared" si="82"/>
        <v>Premium</v>
      </c>
      <c r="AA405" s="3">
        <v>3</v>
      </c>
      <c r="AB405" s="3" t="str">
        <f t="shared" si="83"/>
        <v>Average</v>
      </c>
      <c r="AC405" s="3" t="str">
        <f t="shared" si="84"/>
        <v>September</v>
      </c>
      <c r="AD405" s="3" t="str">
        <f t="shared" si="85"/>
        <v>Q3</v>
      </c>
      <c r="AE405" s="3">
        <f t="shared" si="86"/>
        <v>2026</v>
      </c>
      <c r="AF405" s="3" t="str">
        <f t="shared" si="87"/>
        <v>Wednesday</v>
      </c>
      <c r="AG405" s="3" t="str">
        <f t="shared" si="88"/>
        <v>36-45</v>
      </c>
      <c r="AH405" s="3" t="str">
        <f t="shared" si="89"/>
        <v>Large</v>
      </c>
      <c r="AI405" s="3" t="str">
        <f t="shared" si="90"/>
        <v>Medium</v>
      </c>
      <c r="AJ405" s="3" t="str" cm="1">
        <f t="array" ref="AJ405">_xlfn.IFS(S405&gt;=80000,"VIP",S405&gt;=40000,"Gold",S405&gt;=15000,"Silver",TRUE,"Bronze")</f>
        <v>VIP</v>
      </c>
    </row>
    <row r="406" spans="1:36" x14ac:dyDescent="0.3">
      <c r="A406" s="3" t="s">
        <v>1083</v>
      </c>
      <c r="B406" s="15">
        <v>46331</v>
      </c>
      <c r="C406" s="15">
        <v>46335</v>
      </c>
      <c r="D406" s="3" t="s">
        <v>1084</v>
      </c>
      <c r="E406" s="3" t="s">
        <v>806</v>
      </c>
      <c r="F406" s="3" t="s">
        <v>39</v>
      </c>
      <c r="G406" s="3">
        <v>46</v>
      </c>
      <c r="H406" s="3" t="s">
        <v>78</v>
      </c>
      <c r="I406" s="3" t="s">
        <v>79</v>
      </c>
      <c r="J406" s="3" t="s">
        <v>80</v>
      </c>
      <c r="K406" s="3" t="s">
        <v>96</v>
      </c>
      <c r="L406" s="3" t="s">
        <v>166</v>
      </c>
      <c r="M406" s="3" t="s">
        <v>97</v>
      </c>
      <c r="N406" s="3" t="s">
        <v>98</v>
      </c>
      <c r="O406" s="3" t="s">
        <v>99</v>
      </c>
      <c r="P406" s="3">
        <v>1</v>
      </c>
      <c r="Q406" s="9">
        <v>4500</v>
      </c>
      <c r="R406" s="6">
        <v>0.15</v>
      </c>
      <c r="S406" s="12">
        <f t="shared" si="78"/>
        <v>3825</v>
      </c>
      <c r="T406" s="12">
        <v>3000</v>
      </c>
      <c r="U406" s="9">
        <f t="shared" si="79"/>
        <v>825</v>
      </c>
      <c r="V406" s="6">
        <f t="shared" si="80"/>
        <v>0.21568627450980393</v>
      </c>
      <c r="W406" s="3" t="s">
        <v>48</v>
      </c>
      <c r="X406" s="3" t="s">
        <v>49</v>
      </c>
      <c r="Y406" s="3">
        <f t="shared" si="81"/>
        <v>4</v>
      </c>
      <c r="Z406" s="3" t="str">
        <f t="shared" si="82"/>
        <v>Regular</v>
      </c>
      <c r="AA406" s="3">
        <v>4</v>
      </c>
      <c r="AB406" s="3" t="str">
        <f t="shared" si="83"/>
        <v>Excellent</v>
      </c>
      <c r="AC406" s="3" t="str">
        <f t="shared" si="84"/>
        <v>November</v>
      </c>
      <c r="AD406" s="3" t="str">
        <f t="shared" si="85"/>
        <v>Q4</v>
      </c>
      <c r="AE406" s="3">
        <f t="shared" si="86"/>
        <v>2026</v>
      </c>
      <c r="AF406" s="3" t="str">
        <f t="shared" si="87"/>
        <v>Thursday</v>
      </c>
      <c r="AG406" s="3" t="str">
        <f t="shared" si="88"/>
        <v>46+</v>
      </c>
      <c r="AH406" s="3" t="str">
        <f t="shared" si="89"/>
        <v>Small</v>
      </c>
      <c r="AI406" s="3" t="str">
        <f t="shared" si="90"/>
        <v>Medium</v>
      </c>
      <c r="AJ406" s="3" t="str" cm="1">
        <f t="array" ref="AJ406">_xlfn.IFS(S406&gt;=80000,"VIP",S406&gt;=40000,"Gold",S406&gt;=15000,"Silver",TRUE,"Bronze")</f>
        <v>Bronze</v>
      </c>
    </row>
    <row r="407" spans="1:36" x14ac:dyDescent="0.3">
      <c r="A407" s="3" t="s">
        <v>1085</v>
      </c>
      <c r="B407" s="15">
        <v>46290</v>
      </c>
      <c r="C407" s="15">
        <v>46292</v>
      </c>
      <c r="D407" s="3" t="s">
        <v>1086</v>
      </c>
      <c r="E407" s="3" t="s">
        <v>1087</v>
      </c>
      <c r="F407" s="3" t="s">
        <v>52</v>
      </c>
      <c r="G407" s="3">
        <v>23</v>
      </c>
      <c r="H407" s="3" t="s">
        <v>60</v>
      </c>
      <c r="I407" s="3" t="s">
        <v>61</v>
      </c>
      <c r="J407" s="3" t="s">
        <v>42</v>
      </c>
      <c r="K407" s="3" t="s">
        <v>81</v>
      </c>
      <c r="L407" s="3" t="s">
        <v>82</v>
      </c>
      <c r="M407" s="3" t="s">
        <v>45</v>
      </c>
      <c r="N407" s="3" t="s">
        <v>83</v>
      </c>
      <c r="O407" s="3" t="s">
        <v>84</v>
      </c>
      <c r="P407" s="3">
        <v>2</v>
      </c>
      <c r="Q407" s="9">
        <v>42000</v>
      </c>
      <c r="R407" s="6">
        <v>0.12</v>
      </c>
      <c r="S407" s="12">
        <f t="shared" si="78"/>
        <v>73920</v>
      </c>
      <c r="T407" s="12">
        <v>35000</v>
      </c>
      <c r="U407" s="9">
        <f t="shared" si="79"/>
        <v>3920</v>
      </c>
      <c r="V407" s="6">
        <f t="shared" si="80"/>
        <v>5.3030303030303032E-2</v>
      </c>
      <c r="W407" s="3" t="s">
        <v>92</v>
      </c>
      <c r="X407" s="3" t="s">
        <v>106</v>
      </c>
      <c r="Y407" s="3">
        <f t="shared" si="81"/>
        <v>2</v>
      </c>
      <c r="Z407" s="3" t="str">
        <f t="shared" si="82"/>
        <v>Premium</v>
      </c>
      <c r="AA407" s="3">
        <v>4</v>
      </c>
      <c r="AB407" s="3" t="str">
        <f t="shared" si="83"/>
        <v>Excellent</v>
      </c>
      <c r="AC407" s="3" t="str">
        <f t="shared" si="84"/>
        <v>September</v>
      </c>
      <c r="AD407" s="3" t="str">
        <f t="shared" si="85"/>
        <v>Q3</v>
      </c>
      <c r="AE407" s="3">
        <f t="shared" si="86"/>
        <v>2026</v>
      </c>
      <c r="AF407" s="3" t="str">
        <f t="shared" si="87"/>
        <v>Friday</v>
      </c>
      <c r="AG407" s="3" t="str">
        <f t="shared" si="88"/>
        <v>18-25</v>
      </c>
      <c r="AH407" s="3" t="str">
        <f t="shared" si="89"/>
        <v>Large</v>
      </c>
      <c r="AI407" s="3" t="str">
        <f t="shared" si="90"/>
        <v>Medium</v>
      </c>
      <c r="AJ407" s="3" t="str" cm="1">
        <f t="array" ref="AJ407">_xlfn.IFS(S407&gt;=80000,"VIP",S407&gt;=40000,"Gold",S407&gt;=15000,"Silver",TRUE,"Bronze")</f>
        <v>Gold</v>
      </c>
    </row>
    <row r="408" spans="1:36" x14ac:dyDescent="0.3">
      <c r="A408" s="3" t="s">
        <v>1088</v>
      </c>
      <c r="B408" s="15">
        <v>46031</v>
      </c>
      <c r="C408" s="15">
        <v>46036</v>
      </c>
      <c r="D408" s="3" t="s">
        <v>1089</v>
      </c>
      <c r="E408" s="3" t="s">
        <v>741</v>
      </c>
      <c r="F408" s="3" t="s">
        <v>52</v>
      </c>
      <c r="G408" s="3">
        <v>34</v>
      </c>
      <c r="H408" s="3" t="s">
        <v>60</v>
      </c>
      <c r="I408" s="3" t="s">
        <v>61</v>
      </c>
      <c r="J408" s="3" t="s">
        <v>42</v>
      </c>
      <c r="K408" s="3" t="s">
        <v>70</v>
      </c>
      <c r="L408" s="3" t="s">
        <v>71</v>
      </c>
      <c r="M408" s="3" t="s">
        <v>45</v>
      </c>
      <c r="N408" s="3" t="s">
        <v>63</v>
      </c>
      <c r="O408" s="3" t="s">
        <v>72</v>
      </c>
      <c r="P408" s="3">
        <v>3</v>
      </c>
      <c r="Q408" s="9">
        <v>58000</v>
      </c>
      <c r="R408" s="6">
        <v>0.1</v>
      </c>
      <c r="S408" s="12">
        <f t="shared" si="78"/>
        <v>156600</v>
      </c>
      <c r="T408" s="12">
        <v>49000</v>
      </c>
      <c r="U408" s="9">
        <f t="shared" si="79"/>
        <v>9600</v>
      </c>
      <c r="V408" s="6">
        <f t="shared" si="80"/>
        <v>6.1302681992337162E-2</v>
      </c>
      <c r="W408" s="3" t="s">
        <v>73</v>
      </c>
      <c r="X408" s="3" t="s">
        <v>49</v>
      </c>
      <c r="Y408" s="3">
        <f t="shared" si="81"/>
        <v>5</v>
      </c>
      <c r="Z408" s="3" t="str">
        <f t="shared" si="82"/>
        <v>Premium</v>
      </c>
      <c r="AA408" s="3">
        <v>5</v>
      </c>
      <c r="AB408" s="3" t="str">
        <f t="shared" si="83"/>
        <v>Excellent</v>
      </c>
      <c r="AC408" s="3" t="str">
        <f t="shared" si="84"/>
        <v>January</v>
      </c>
      <c r="AD408" s="3" t="str">
        <f t="shared" si="85"/>
        <v>Q1</v>
      </c>
      <c r="AE408" s="3">
        <f t="shared" si="86"/>
        <v>2026</v>
      </c>
      <c r="AF408" s="3" t="str">
        <f t="shared" si="87"/>
        <v>Friday</v>
      </c>
      <c r="AG408" s="3" t="str">
        <f t="shared" si="88"/>
        <v>26-35</v>
      </c>
      <c r="AH408" s="3" t="str">
        <f t="shared" si="89"/>
        <v>Large</v>
      </c>
      <c r="AI408" s="3" t="str">
        <f t="shared" si="90"/>
        <v>Medium</v>
      </c>
      <c r="AJ408" s="3" t="str" cm="1">
        <f t="array" ref="AJ408">_xlfn.IFS(S408&gt;=80000,"VIP",S408&gt;=40000,"Gold",S408&gt;=15000,"Silver",TRUE,"Bronze")</f>
        <v>VIP</v>
      </c>
    </row>
    <row r="409" spans="1:36" x14ac:dyDescent="0.3">
      <c r="A409" s="3" t="s">
        <v>1090</v>
      </c>
      <c r="B409" s="15">
        <v>46246</v>
      </c>
      <c r="C409" s="15">
        <v>46249</v>
      </c>
      <c r="D409" s="3" t="s">
        <v>1091</v>
      </c>
      <c r="E409" s="3" t="s">
        <v>314</v>
      </c>
      <c r="F409" s="3" t="s">
        <v>52</v>
      </c>
      <c r="G409" s="3">
        <v>26</v>
      </c>
      <c r="H409" s="3" t="s">
        <v>40</v>
      </c>
      <c r="I409" s="3" t="s">
        <v>41</v>
      </c>
      <c r="J409" s="3" t="s">
        <v>42</v>
      </c>
      <c r="K409" s="3" t="s">
        <v>81</v>
      </c>
      <c r="L409" s="3" t="s">
        <v>82</v>
      </c>
      <c r="M409" s="3" t="s">
        <v>45</v>
      </c>
      <c r="N409" s="3" t="s">
        <v>83</v>
      </c>
      <c r="O409" s="3" t="s">
        <v>84</v>
      </c>
      <c r="P409" s="3">
        <v>3</v>
      </c>
      <c r="Q409" s="9">
        <v>42000</v>
      </c>
      <c r="R409" s="6">
        <v>0.05</v>
      </c>
      <c r="S409" s="12">
        <f t="shared" si="78"/>
        <v>119700</v>
      </c>
      <c r="T409" s="12">
        <v>35000</v>
      </c>
      <c r="U409" s="9">
        <f t="shared" si="79"/>
        <v>14700</v>
      </c>
      <c r="V409" s="6">
        <f t="shared" si="80"/>
        <v>0.12280701754385964</v>
      </c>
      <c r="W409" s="3" t="s">
        <v>56</v>
      </c>
      <c r="X409" s="3" t="s">
        <v>74</v>
      </c>
      <c r="Y409" s="3">
        <f t="shared" si="81"/>
        <v>3</v>
      </c>
      <c r="Z409" s="3" t="str">
        <f t="shared" si="82"/>
        <v>Premium</v>
      </c>
      <c r="AA409" s="3">
        <v>3</v>
      </c>
      <c r="AB409" s="3" t="str">
        <f t="shared" si="83"/>
        <v>Average</v>
      </c>
      <c r="AC409" s="3" t="str">
        <f t="shared" si="84"/>
        <v>August</v>
      </c>
      <c r="AD409" s="3" t="str">
        <f t="shared" si="85"/>
        <v>Q3</v>
      </c>
      <c r="AE409" s="3">
        <f t="shared" si="86"/>
        <v>2026</v>
      </c>
      <c r="AF409" s="3" t="str">
        <f t="shared" si="87"/>
        <v>Wednesday</v>
      </c>
      <c r="AG409" s="3" t="str">
        <f t="shared" si="88"/>
        <v>26-35</v>
      </c>
      <c r="AH409" s="3" t="str">
        <f t="shared" si="89"/>
        <v>Large</v>
      </c>
      <c r="AI409" s="3" t="str">
        <f t="shared" si="90"/>
        <v>Low</v>
      </c>
      <c r="AJ409" s="3" t="str" cm="1">
        <f t="array" ref="AJ409">_xlfn.IFS(S409&gt;=80000,"VIP",S409&gt;=40000,"Gold",S409&gt;=15000,"Silver",TRUE,"Bronze")</f>
        <v>VIP</v>
      </c>
    </row>
    <row r="410" spans="1:36" x14ac:dyDescent="0.3">
      <c r="A410" s="3" t="s">
        <v>1092</v>
      </c>
      <c r="B410" s="15">
        <v>46073</v>
      </c>
      <c r="C410" s="15">
        <v>46076</v>
      </c>
      <c r="D410" s="3" t="s">
        <v>1093</v>
      </c>
      <c r="E410" s="3" t="s">
        <v>792</v>
      </c>
      <c r="F410" s="3" t="s">
        <v>39</v>
      </c>
      <c r="G410" s="3">
        <v>26</v>
      </c>
      <c r="H410" s="3" t="s">
        <v>119</v>
      </c>
      <c r="I410" s="3" t="s">
        <v>120</v>
      </c>
      <c r="J410" s="3" t="s">
        <v>121</v>
      </c>
      <c r="K410" s="3" t="s">
        <v>90</v>
      </c>
      <c r="L410" s="3" t="s">
        <v>122</v>
      </c>
      <c r="M410" s="3" t="s">
        <v>45</v>
      </c>
      <c r="N410" s="3" t="s">
        <v>91</v>
      </c>
      <c r="O410" s="3" t="s">
        <v>123</v>
      </c>
      <c r="P410" s="3">
        <v>2</v>
      </c>
      <c r="Q410" s="9">
        <v>2500</v>
      </c>
      <c r="R410" s="6">
        <v>0.12</v>
      </c>
      <c r="S410" s="12">
        <f t="shared" si="78"/>
        <v>4400</v>
      </c>
      <c r="T410" s="12">
        <v>1700</v>
      </c>
      <c r="U410" s="9">
        <f t="shared" si="79"/>
        <v>1000</v>
      </c>
      <c r="V410" s="6">
        <f t="shared" si="80"/>
        <v>0.22727272727272727</v>
      </c>
      <c r="W410" s="3" t="s">
        <v>100</v>
      </c>
      <c r="X410" s="3" t="s">
        <v>101</v>
      </c>
      <c r="Y410" s="3">
        <f t="shared" si="81"/>
        <v>3</v>
      </c>
      <c r="Z410" s="3" t="str">
        <f t="shared" si="82"/>
        <v>Regular</v>
      </c>
      <c r="AA410" s="3">
        <v>2</v>
      </c>
      <c r="AB410" s="3" t="str">
        <f t="shared" si="83"/>
        <v>Average</v>
      </c>
      <c r="AC410" s="3" t="str">
        <f t="shared" si="84"/>
        <v>February</v>
      </c>
      <c r="AD410" s="3" t="str">
        <f t="shared" si="85"/>
        <v>Q1</v>
      </c>
      <c r="AE410" s="3">
        <f t="shared" si="86"/>
        <v>2026</v>
      </c>
      <c r="AF410" s="3" t="str">
        <f t="shared" si="87"/>
        <v>Friday</v>
      </c>
      <c r="AG410" s="3" t="str">
        <f t="shared" si="88"/>
        <v>26-35</v>
      </c>
      <c r="AH410" s="3" t="str">
        <f t="shared" si="89"/>
        <v>Small</v>
      </c>
      <c r="AI410" s="3" t="str">
        <f t="shared" si="90"/>
        <v>Medium</v>
      </c>
      <c r="AJ410" s="3" t="str" cm="1">
        <f t="array" ref="AJ410">_xlfn.IFS(S410&gt;=80000,"VIP",S410&gt;=40000,"Gold",S410&gt;=15000,"Silver",TRUE,"Bronze")</f>
        <v>Bronze</v>
      </c>
    </row>
    <row r="411" spans="1:36" x14ac:dyDescent="0.3">
      <c r="A411" s="3" t="s">
        <v>1094</v>
      </c>
      <c r="B411" s="15">
        <v>46291</v>
      </c>
      <c r="C411" s="15">
        <v>46293</v>
      </c>
      <c r="D411" s="3" t="s">
        <v>1095</v>
      </c>
      <c r="E411" s="3" t="s">
        <v>371</v>
      </c>
      <c r="F411" s="3" t="s">
        <v>52</v>
      </c>
      <c r="G411" s="3">
        <v>43</v>
      </c>
      <c r="H411" s="3" t="s">
        <v>60</v>
      </c>
      <c r="I411" s="3" t="s">
        <v>61</v>
      </c>
      <c r="J411" s="3" t="s">
        <v>42</v>
      </c>
      <c r="K411" s="3" t="s">
        <v>105</v>
      </c>
      <c r="L411" s="3" t="s">
        <v>112</v>
      </c>
      <c r="M411" s="3" t="s">
        <v>113</v>
      </c>
      <c r="N411" s="3" t="s">
        <v>114</v>
      </c>
      <c r="O411" s="3" t="s">
        <v>115</v>
      </c>
      <c r="P411" s="3">
        <v>5</v>
      </c>
      <c r="Q411" s="9">
        <v>3500</v>
      </c>
      <c r="R411" s="6">
        <v>0.08</v>
      </c>
      <c r="S411" s="12">
        <f t="shared" si="78"/>
        <v>16100</v>
      </c>
      <c r="T411" s="12">
        <v>2500</v>
      </c>
      <c r="U411" s="9">
        <f t="shared" si="79"/>
        <v>3600</v>
      </c>
      <c r="V411" s="6">
        <f t="shared" si="80"/>
        <v>0.2236024844720497</v>
      </c>
      <c r="W411" s="3" t="s">
        <v>56</v>
      </c>
      <c r="X411" s="3" t="s">
        <v>49</v>
      </c>
      <c r="Y411" s="3">
        <f t="shared" si="81"/>
        <v>2</v>
      </c>
      <c r="Z411" s="3" t="str">
        <f t="shared" si="82"/>
        <v>Regular</v>
      </c>
      <c r="AA411" s="3">
        <v>5</v>
      </c>
      <c r="AB411" s="3" t="str">
        <f t="shared" si="83"/>
        <v>Excellent</v>
      </c>
      <c r="AC411" s="3" t="str">
        <f t="shared" si="84"/>
        <v>September</v>
      </c>
      <c r="AD411" s="3" t="str">
        <f t="shared" si="85"/>
        <v>Q3</v>
      </c>
      <c r="AE411" s="3">
        <f t="shared" si="86"/>
        <v>2026</v>
      </c>
      <c r="AF411" s="3" t="str">
        <f t="shared" si="87"/>
        <v>Saturday</v>
      </c>
      <c r="AG411" s="3" t="str">
        <f t="shared" si="88"/>
        <v>36-45</v>
      </c>
      <c r="AH411" s="3" t="str">
        <f t="shared" si="89"/>
        <v>Medium</v>
      </c>
      <c r="AI411" s="3" t="str">
        <f t="shared" si="90"/>
        <v>Medium</v>
      </c>
      <c r="AJ411" s="3" t="str" cm="1">
        <f t="array" ref="AJ411">_xlfn.IFS(S411&gt;=80000,"VIP",S411&gt;=40000,"Gold",S411&gt;=15000,"Silver",TRUE,"Bronze")</f>
        <v>Silver</v>
      </c>
    </row>
    <row r="412" spans="1:36" x14ac:dyDescent="0.3">
      <c r="A412" s="3" t="s">
        <v>1096</v>
      </c>
      <c r="B412" s="15">
        <v>46362</v>
      </c>
      <c r="C412" s="15">
        <v>46368</v>
      </c>
      <c r="D412" s="3" t="s">
        <v>1097</v>
      </c>
      <c r="E412" s="3" t="s">
        <v>402</v>
      </c>
      <c r="F412" s="3" t="s">
        <v>52</v>
      </c>
      <c r="G412" s="3">
        <v>49</v>
      </c>
      <c r="H412" s="3" t="s">
        <v>60</v>
      </c>
      <c r="I412" s="3" t="s">
        <v>61</v>
      </c>
      <c r="J412" s="3" t="s">
        <v>42</v>
      </c>
      <c r="K412" s="3" t="s">
        <v>43</v>
      </c>
      <c r="L412" s="3" t="s">
        <v>44</v>
      </c>
      <c r="M412" s="3" t="s">
        <v>45</v>
      </c>
      <c r="N412" s="3" t="s">
        <v>46</v>
      </c>
      <c r="O412" s="3" t="s">
        <v>47</v>
      </c>
      <c r="P412" s="3">
        <v>4</v>
      </c>
      <c r="Q412" s="9">
        <v>28500</v>
      </c>
      <c r="R412" s="6">
        <v>0.05</v>
      </c>
      <c r="S412" s="12">
        <f t="shared" si="78"/>
        <v>108300</v>
      </c>
      <c r="T412" s="12">
        <v>22000</v>
      </c>
      <c r="U412" s="9">
        <f t="shared" si="79"/>
        <v>20300</v>
      </c>
      <c r="V412" s="6">
        <f t="shared" si="80"/>
        <v>0.18744228993536471</v>
      </c>
      <c r="W412" s="3" t="s">
        <v>48</v>
      </c>
      <c r="X412" s="3" t="s">
        <v>106</v>
      </c>
      <c r="Y412" s="3">
        <f t="shared" si="81"/>
        <v>6</v>
      </c>
      <c r="Z412" s="3" t="str">
        <f t="shared" si="82"/>
        <v>Premium</v>
      </c>
      <c r="AA412" s="3">
        <v>3</v>
      </c>
      <c r="AB412" s="3" t="str">
        <f t="shared" si="83"/>
        <v>Average</v>
      </c>
      <c r="AC412" s="3" t="str">
        <f t="shared" si="84"/>
        <v>December</v>
      </c>
      <c r="AD412" s="3" t="str">
        <f t="shared" si="85"/>
        <v>Q4</v>
      </c>
      <c r="AE412" s="3">
        <f t="shared" si="86"/>
        <v>2026</v>
      </c>
      <c r="AF412" s="3" t="str">
        <f t="shared" si="87"/>
        <v>Sunday</v>
      </c>
      <c r="AG412" s="3" t="str">
        <f t="shared" si="88"/>
        <v>46+</v>
      </c>
      <c r="AH412" s="3" t="str">
        <f t="shared" si="89"/>
        <v>Large</v>
      </c>
      <c r="AI412" s="3" t="str">
        <f t="shared" si="90"/>
        <v>Low</v>
      </c>
      <c r="AJ412" s="3" t="str" cm="1">
        <f t="array" ref="AJ412">_xlfn.IFS(S412&gt;=80000,"VIP",S412&gt;=40000,"Gold",S412&gt;=15000,"Silver",TRUE,"Bronze")</f>
        <v>VIP</v>
      </c>
    </row>
    <row r="413" spans="1:36" x14ac:dyDescent="0.3">
      <c r="A413" s="3" t="s">
        <v>1098</v>
      </c>
      <c r="B413" s="15">
        <v>46172</v>
      </c>
      <c r="C413" s="15">
        <v>46178</v>
      </c>
      <c r="D413" s="3" t="s">
        <v>1099</v>
      </c>
      <c r="E413" s="3" t="s">
        <v>929</v>
      </c>
      <c r="F413" s="3" t="s">
        <v>52</v>
      </c>
      <c r="G413" s="3">
        <v>46</v>
      </c>
      <c r="H413" s="3" t="s">
        <v>78</v>
      </c>
      <c r="I413" s="3" t="s">
        <v>79</v>
      </c>
      <c r="J413" s="3" t="s">
        <v>80</v>
      </c>
      <c r="K413" s="3" t="s">
        <v>70</v>
      </c>
      <c r="L413" s="3" t="s">
        <v>71</v>
      </c>
      <c r="M413" s="3" t="s">
        <v>45</v>
      </c>
      <c r="N413" s="3" t="s">
        <v>63</v>
      </c>
      <c r="O413" s="3" t="s">
        <v>72</v>
      </c>
      <c r="P413" s="3">
        <v>3</v>
      </c>
      <c r="Q413" s="9">
        <v>58000</v>
      </c>
      <c r="R413" s="6">
        <v>0.2</v>
      </c>
      <c r="S413" s="12">
        <f t="shared" si="78"/>
        <v>139200</v>
      </c>
      <c r="T413" s="12">
        <v>49000</v>
      </c>
      <c r="U413" s="9">
        <f t="shared" si="79"/>
        <v>-7800</v>
      </c>
      <c r="V413" s="6">
        <f t="shared" si="80"/>
        <v>-5.6034482758620691E-2</v>
      </c>
      <c r="W413" s="3" t="s">
        <v>48</v>
      </c>
      <c r="X413" s="3" t="s">
        <v>106</v>
      </c>
      <c r="Y413" s="3">
        <f t="shared" si="81"/>
        <v>6</v>
      </c>
      <c r="Z413" s="3" t="str">
        <f t="shared" si="82"/>
        <v>Premium</v>
      </c>
      <c r="AA413" s="3">
        <v>4</v>
      </c>
      <c r="AB413" s="3" t="str">
        <f t="shared" si="83"/>
        <v>Excellent</v>
      </c>
      <c r="AC413" s="3" t="str">
        <f t="shared" si="84"/>
        <v>May</v>
      </c>
      <c r="AD413" s="3" t="str">
        <f t="shared" si="85"/>
        <v>Q2</v>
      </c>
      <c r="AE413" s="3">
        <f t="shared" si="86"/>
        <v>2026</v>
      </c>
      <c r="AF413" s="3" t="str">
        <f t="shared" si="87"/>
        <v>Saturday</v>
      </c>
      <c r="AG413" s="3" t="str">
        <f t="shared" si="88"/>
        <v>46+</v>
      </c>
      <c r="AH413" s="3" t="str">
        <f t="shared" si="89"/>
        <v>Large</v>
      </c>
      <c r="AI413" s="3" t="str">
        <f t="shared" si="90"/>
        <v>High</v>
      </c>
      <c r="AJ413" s="3" t="str" cm="1">
        <f t="array" ref="AJ413">_xlfn.IFS(S413&gt;=80000,"VIP",S413&gt;=40000,"Gold",S413&gt;=15000,"Silver",TRUE,"Bronze")</f>
        <v>VIP</v>
      </c>
    </row>
    <row r="414" spans="1:36" x14ac:dyDescent="0.3">
      <c r="A414" s="3" t="s">
        <v>1100</v>
      </c>
      <c r="B414" s="15">
        <v>46293</v>
      </c>
      <c r="C414" s="15">
        <v>46296</v>
      </c>
      <c r="D414" s="3" t="s">
        <v>1101</v>
      </c>
      <c r="E414" s="3" t="s">
        <v>251</v>
      </c>
      <c r="F414" s="3" t="s">
        <v>52</v>
      </c>
      <c r="G414" s="3">
        <v>39</v>
      </c>
      <c r="H414" s="3" t="s">
        <v>110</v>
      </c>
      <c r="I414" s="3" t="s">
        <v>111</v>
      </c>
      <c r="J414" s="3" t="s">
        <v>80</v>
      </c>
      <c r="K414" s="3" t="s">
        <v>90</v>
      </c>
      <c r="L414" s="3" t="s">
        <v>122</v>
      </c>
      <c r="M414" s="3" t="s">
        <v>45</v>
      </c>
      <c r="N414" s="3" t="s">
        <v>91</v>
      </c>
      <c r="O414" s="3" t="s">
        <v>123</v>
      </c>
      <c r="P414" s="3">
        <v>3</v>
      </c>
      <c r="Q414" s="9">
        <v>2500</v>
      </c>
      <c r="R414" s="6">
        <v>0.05</v>
      </c>
      <c r="S414" s="12">
        <f t="shared" si="78"/>
        <v>7125</v>
      </c>
      <c r="T414" s="12">
        <v>1700</v>
      </c>
      <c r="U414" s="9">
        <f t="shared" si="79"/>
        <v>2025</v>
      </c>
      <c r="V414" s="6">
        <f t="shared" si="80"/>
        <v>0.28421052631578947</v>
      </c>
      <c r="W414" s="3" t="s">
        <v>100</v>
      </c>
      <c r="X414" s="3" t="s">
        <v>49</v>
      </c>
      <c r="Y414" s="3">
        <f t="shared" si="81"/>
        <v>3</v>
      </c>
      <c r="Z414" s="3" t="str">
        <f t="shared" si="82"/>
        <v>Regular</v>
      </c>
      <c r="AA414" s="3">
        <v>4</v>
      </c>
      <c r="AB414" s="3" t="str">
        <f t="shared" si="83"/>
        <v>Excellent</v>
      </c>
      <c r="AC414" s="3" t="str">
        <f t="shared" si="84"/>
        <v>September</v>
      </c>
      <c r="AD414" s="3" t="str">
        <f t="shared" si="85"/>
        <v>Q3</v>
      </c>
      <c r="AE414" s="3">
        <f t="shared" si="86"/>
        <v>2026</v>
      </c>
      <c r="AF414" s="3" t="str">
        <f t="shared" si="87"/>
        <v>Monday</v>
      </c>
      <c r="AG414" s="3" t="str">
        <f t="shared" si="88"/>
        <v>36-45</v>
      </c>
      <c r="AH414" s="3" t="str">
        <f t="shared" si="89"/>
        <v>Small</v>
      </c>
      <c r="AI414" s="3" t="str">
        <f t="shared" si="90"/>
        <v>Low</v>
      </c>
      <c r="AJ414" s="3" t="str" cm="1">
        <f t="array" ref="AJ414">_xlfn.IFS(S414&gt;=80000,"VIP",S414&gt;=40000,"Gold",S414&gt;=15000,"Silver",TRUE,"Bronze")</f>
        <v>Bronze</v>
      </c>
    </row>
    <row r="415" spans="1:36" x14ac:dyDescent="0.3">
      <c r="A415" s="3" t="s">
        <v>1102</v>
      </c>
      <c r="B415" s="15">
        <v>46267</v>
      </c>
      <c r="C415" s="15">
        <v>46269</v>
      </c>
      <c r="D415" s="3" t="s">
        <v>1103</v>
      </c>
      <c r="E415" s="3" t="s">
        <v>441</v>
      </c>
      <c r="F415" s="3" t="s">
        <v>39</v>
      </c>
      <c r="G415" s="3">
        <v>30</v>
      </c>
      <c r="H415" s="3" t="s">
        <v>68</v>
      </c>
      <c r="I415" s="3" t="s">
        <v>68</v>
      </c>
      <c r="J415" s="3" t="s">
        <v>69</v>
      </c>
      <c r="K415" s="3" t="s">
        <v>90</v>
      </c>
      <c r="L415" s="3" t="s">
        <v>122</v>
      </c>
      <c r="M415" s="3" t="s">
        <v>45</v>
      </c>
      <c r="N415" s="3" t="s">
        <v>91</v>
      </c>
      <c r="O415" s="3" t="s">
        <v>123</v>
      </c>
      <c r="P415" s="3">
        <v>3</v>
      </c>
      <c r="Q415" s="9">
        <v>2500</v>
      </c>
      <c r="R415" s="6">
        <v>0.2</v>
      </c>
      <c r="S415" s="12">
        <f t="shared" si="78"/>
        <v>6000</v>
      </c>
      <c r="T415" s="12">
        <v>1700</v>
      </c>
      <c r="U415" s="9">
        <f t="shared" si="79"/>
        <v>900</v>
      </c>
      <c r="V415" s="6">
        <f t="shared" si="80"/>
        <v>0.15</v>
      </c>
      <c r="W415" s="3" t="s">
        <v>92</v>
      </c>
      <c r="X415" s="3" t="s">
        <v>74</v>
      </c>
      <c r="Y415" s="3">
        <f t="shared" si="81"/>
        <v>2</v>
      </c>
      <c r="Z415" s="3" t="str">
        <f t="shared" si="82"/>
        <v>Regular</v>
      </c>
      <c r="AA415" s="3">
        <v>5</v>
      </c>
      <c r="AB415" s="3" t="str">
        <f t="shared" si="83"/>
        <v>Excellent</v>
      </c>
      <c r="AC415" s="3" t="str">
        <f t="shared" si="84"/>
        <v>September</v>
      </c>
      <c r="AD415" s="3" t="str">
        <f t="shared" si="85"/>
        <v>Q3</v>
      </c>
      <c r="AE415" s="3">
        <f t="shared" si="86"/>
        <v>2026</v>
      </c>
      <c r="AF415" s="3" t="str">
        <f t="shared" si="87"/>
        <v>Wednesday</v>
      </c>
      <c r="AG415" s="3" t="str">
        <f t="shared" si="88"/>
        <v>26-35</v>
      </c>
      <c r="AH415" s="3" t="str">
        <f t="shared" si="89"/>
        <v>Small</v>
      </c>
      <c r="AI415" s="3" t="str">
        <f t="shared" si="90"/>
        <v>High</v>
      </c>
      <c r="AJ415" s="3" t="str" cm="1">
        <f t="array" ref="AJ415">_xlfn.IFS(S415&gt;=80000,"VIP",S415&gt;=40000,"Gold",S415&gt;=15000,"Silver",TRUE,"Bronze")</f>
        <v>Bronze</v>
      </c>
    </row>
    <row r="416" spans="1:36" x14ac:dyDescent="0.3">
      <c r="A416" s="3" t="s">
        <v>1104</v>
      </c>
      <c r="B416" s="15">
        <v>46151</v>
      </c>
      <c r="C416" s="15">
        <v>46153</v>
      </c>
      <c r="D416" s="3" t="s">
        <v>1105</v>
      </c>
      <c r="E416" s="3" t="s">
        <v>488</v>
      </c>
      <c r="F416" s="3" t="s">
        <v>39</v>
      </c>
      <c r="G416" s="3">
        <v>48</v>
      </c>
      <c r="H416" s="3" t="s">
        <v>88</v>
      </c>
      <c r="I416" s="3" t="s">
        <v>89</v>
      </c>
      <c r="J416" s="3" t="s">
        <v>80</v>
      </c>
      <c r="K416" s="3" t="s">
        <v>54</v>
      </c>
      <c r="L416" s="3" t="s">
        <v>173</v>
      </c>
      <c r="M416" s="3" t="s">
        <v>45</v>
      </c>
      <c r="N416" s="3" t="s">
        <v>46</v>
      </c>
      <c r="O416" s="3" t="s">
        <v>55</v>
      </c>
      <c r="P416" s="3">
        <v>1</v>
      </c>
      <c r="Q416" s="9">
        <v>79900</v>
      </c>
      <c r="R416" s="6">
        <v>0.15</v>
      </c>
      <c r="S416" s="12">
        <f t="shared" si="78"/>
        <v>67915</v>
      </c>
      <c r="T416" s="12">
        <v>65000</v>
      </c>
      <c r="U416" s="9">
        <f t="shared" si="79"/>
        <v>2915</v>
      </c>
      <c r="V416" s="6">
        <f t="shared" si="80"/>
        <v>4.292129868217625E-2</v>
      </c>
      <c r="W416" s="3" t="s">
        <v>73</v>
      </c>
      <c r="X416" s="3" t="s">
        <v>74</v>
      </c>
      <c r="Y416" s="3">
        <f t="shared" si="81"/>
        <v>2</v>
      </c>
      <c r="Z416" s="3" t="str">
        <f t="shared" si="82"/>
        <v>Premium</v>
      </c>
      <c r="AA416" s="3">
        <v>3</v>
      </c>
      <c r="AB416" s="3" t="str">
        <f t="shared" si="83"/>
        <v>Average</v>
      </c>
      <c r="AC416" s="3" t="str">
        <f t="shared" si="84"/>
        <v>May</v>
      </c>
      <c r="AD416" s="3" t="str">
        <f t="shared" si="85"/>
        <v>Q2</v>
      </c>
      <c r="AE416" s="3">
        <f t="shared" si="86"/>
        <v>2026</v>
      </c>
      <c r="AF416" s="3" t="str">
        <f t="shared" si="87"/>
        <v>Saturday</v>
      </c>
      <c r="AG416" s="3" t="str">
        <f t="shared" si="88"/>
        <v>46+</v>
      </c>
      <c r="AH416" s="3" t="str">
        <f t="shared" si="89"/>
        <v>Large</v>
      </c>
      <c r="AI416" s="3" t="str">
        <f t="shared" si="90"/>
        <v>Medium</v>
      </c>
      <c r="AJ416" s="3" t="str" cm="1">
        <f t="array" ref="AJ416">_xlfn.IFS(S416&gt;=80000,"VIP",S416&gt;=40000,"Gold",S416&gt;=15000,"Silver",TRUE,"Bronze")</f>
        <v>Gold</v>
      </c>
    </row>
    <row r="417" spans="1:36" x14ac:dyDescent="0.3">
      <c r="A417" s="3" t="s">
        <v>1106</v>
      </c>
      <c r="B417" s="15">
        <v>46114</v>
      </c>
      <c r="C417" s="15">
        <v>46119</v>
      </c>
      <c r="D417" s="3" t="s">
        <v>1107</v>
      </c>
      <c r="E417" s="3" t="s">
        <v>248</v>
      </c>
      <c r="F417" s="3" t="s">
        <v>52</v>
      </c>
      <c r="G417" s="3">
        <v>37</v>
      </c>
      <c r="H417" s="3" t="s">
        <v>88</v>
      </c>
      <c r="I417" s="3" t="s">
        <v>89</v>
      </c>
      <c r="J417" s="3" t="s">
        <v>80</v>
      </c>
      <c r="K417" s="3" t="s">
        <v>62</v>
      </c>
      <c r="L417" s="3" t="s">
        <v>163</v>
      </c>
      <c r="M417" s="3" t="s">
        <v>45</v>
      </c>
      <c r="N417" s="3" t="s">
        <v>63</v>
      </c>
      <c r="O417" s="3" t="s">
        <v>64</v>
      </c>
      <c r="P417" s="3">
        <v>4</v>
      </c>
      <c r="Q417" s="9">
        <v>62000</v>
      </c>
      <c r="R417" s="6">
        <v>0.2</v>
      </c>
      <c r="S417" s="12">
        <f t="shared" si="78"/>
        <v>198400</v>
      </c>
      <c r="T417" s="12">
        <v>52000</v>
      </c>
      <c r="U417" s="9">
        <f t="shared" si="79"/>
        <v>-9600</v>
      </c>
      <c r="V417" s="6">
        <f t="shared" si="80"/>
        <v>-4.8387096774193547E-2</v>
      </c>
      <c r="W417" s="3" t="s">
        <v>65</v>
      </c>
      <c r="X417" s="3" t="s">
        <v>101</v>
      </c>
      <c r="Y417" s="3">
        <f t="shared" si="81"/>
        <v>5</v>
      </c>
      <c r="Z417" s="3" t="str">
        <f t="shared" si="82"/>
        <v>Premium</v>
      </c>
      <c r="AA417" s="3">
        <v>4</v>
      </c>
      <c r="AB417" s="3" t="str">
        <f t="shared" si="83"/>
        <v>Excellent</v>
      </c>
      <c r="AC417" s="3" t="str">
        <f t="shared" si="84"/>
        <v>April</v>
      </c>
      <c r="AD417" s="3" t="str">
        <f t="shared" si="85"/>
        <v>Q2</v>
      </c>
      <c r="AE417" s="3">
        <f t="shared" si="86"/>
        <v>2026</v>
      </c>
      <c r="AF417" s="3" t="str">
        <f t="shared" si="87"/>
        <v>Thursday</v>
      </c>
      <c r="AG417" s="3" t="str">
        <f t="shared" si="88"/>
        <v>36-45</v>
      </c>
      <c r="AH417" s="3" t="str">
        <f t="shared" si="89"/>
        <v>Large</v>
      </c>
      <c r="AI417" s="3" t="str">
        <f t="shared" si="90"/>
        <v>High</v>
      </c>
      <c r="AJ417" s="3" t="str" cm="1">
        <f t="array" ref="AJ417">_xlfn.IFS(S417&gt;=80000,"VIP",S417&gt;=40000,"Gold",S417&gt;=15000,"Silver",TRUE,"Bronze")</f>
        <v>VIP</v>
      </c>
    </row>
    <row r="418" spans="1:36" x14ac:dyDescent="0.3">
      <c r="A418" s="3" t="s">
        <v>1108</v>
      </c>
      <c r="B418" s="15">
        <v>46299</v>
      </c>
      <c r="C418" s="15">
        <v>46304</v>
      </c>
      <c r="D418" s="3" t="s">
        <v>1109</v>
      </c>
      <c r="E418" s="3" t="s">
        <v>151</v>
      </c>
      <c r="F418" s="3" t="s">
        <v>39</v>
      </c>
      <c r="G418" s="3">
        <v>20</v>
      </c>
      <c r="H418" s="3" t="s">
        <v>40</v>
      </c>
      <c r="I418" s="3" t="s">
        <v>41</v>
      </c>
      <c r="J418" s="3" t="s">
        <v>42</v>
      </c>
      <c r="K418" s="3" t="s">
        <v>43</v>
      </c>
      <c r="L418" s="3" t="s">
        <v>44</v>
      </c>
      <c r="M418" s="3" t="s">
        <v>45</v>
      </c>
      <c r="N418" s="3" t="s">
        <v>46</v>
      </c>
      <c r="O418" s="3" t="s">
        <v>47</v>
      </c>
      <c r="P418" s="3">
        <v>2</v>
      </c>
      <c r="Q418" s="9">
        <v>28500</v>
      </c>
      <c r="R418" s="6">
        <v>0.15</v>
      </c>
      <c r="S418" s="12">
        <f t="shared" si="78"/>
        <v>48450</v>
      </c>
      <c r="T418" s="12">
        <v>22000</v>
      </c>
      <c r="U418" s="9">
        <f t="shared" si="79"/>
        <v>4450</v>
      </c>
      <c r="V418" s="6">
        <f t="shared" si="80"/>
        <v>9.1847265221878222E-2</v>
      </c>
      <c r="W418" s="3" t="s">
        <v>73</v>
      </c>
      <c r="X418" s="3" t="s">
        <v>101</v>
      </c>
      <c r="Y418" s="3">
        <f t="shared" si="81"/>
        <v>5</v>
      </c>
      <c r="Z418" s="3" t="str">
        <f t="shared" si="82"/>
        <v>Regular</v>
      </c>
      <c r="AA418" s="3">
        <v>3</v>
      </c>
      <c r="AB418" s="3" t="str">
        <f t="shared" si="83"/>
        <v>Average</v>
      </c>
      <c r="AC418" s="3" t="str">
        <f t="shared" si="84"/>
        <v>October</v>
      </c>
      <c r="AD418" s="3" t="str">
        <f t="shared" si="85"/>
        <v>Q4</v>
      </c>
      <c r="AE418" s="3">
        <f t="shared" si="86"/>
        <v>2026</v>
      </c>
      <c r="AF418" s="3" t="str">
        <f t="shared" si="87"/>
        <v>Sunday</v>
      </c>
      <c r="AG418" s="3" t="str">
        <f t="shared" si="88"/>
        <v>18-25</v>
      </c>
      <c r="AH418" s="3" t="str">
        <f t="shared" si="89"/>
        <v>Large</v>
      </c>
      <c r="AI418" s="3" t="str">
        <f t="shared" si="90"/>
        <v>Medium</v>
      </c>
      <c r="AJ418" s="3" t="str" cm="1">
        <f t="array" ref="AJ418">_xlfn.IFS(S418&gt;=80000,"VIP",S418&gt;=40000,"Gold",S418&gt;=15000,"Silver",TRUE,"Bronze")</f>
        <v>Gold</v>
      </c>
    </row>
    <row r="419" spans="1:36" x14ac:dyDescent="0.3">
      <c r="A419" s="3" t="s">
        <v>1110</v>
      </c>
      <c r="B419" s="15">
        <v>46364</v>
      </c>
      <c r="C419" s="15">
        <v>46366</v>
      </c>
      <c r="D419" s="3" t="s">
        <v>1111</v>
      </c>
      <c r="E419" s="3" t="s">
        <v>533</v>
      </c>
      <c r="F419" s="3" t="s">
        <v>52</v>
      </c>
      <c r="G419" s="3">
        <v>38</v>
      </c>
      <c r="H419" s="3" t="s">
        <v>68</v>
      </c>
      <c r="I419" s="3" t="s">
        <v>68</v>
      </c>
      <c r="J419" s="3" t="s">
        <v>69</v>
      </c>
      <c r="K419" s="3" t="s">
        <v>62</v>
      </c>
      <c r="L419" s="3" t="s">
        <v>163</v>
      </c>
      <c r="M419" s="3" t="s">
        <v>45</v>
      </c>
      <c r="N419" s="3" t="s">
        <v>63</v>
      </c>
      <c r="O419" s="3" t="s">
        <v>64</v>
      </c>
      <c r="P419" s="3">
        <v>4</v>
      </c>
      <c r="Q419" s="9">
        <v>62000</v>
      </c>
      <c r="R419" s="6">
        <v>0.05</v>
      </c>
      <c r="S419" s="12">
        <f t="shared" si="78"/>
        <v>235600</v>
      </c>
      <c r="T419" s="12">
        <v>52000</v>
      </c>
      <c r="U419" s="9">
        <f t="shared" si="79"/>
        <v>27600</v>
      </c>
      <c r="V419" s="6">
        <f t="shared" si="80"/>
        <v>0.11714770797962648</v>
      </c>
      <c r="W419" s="3" t="s">
        <v>48</v>
      </c>
      <c r="X419" s="3" t="s">
        <v>106</v>
      </c>
      <c r="Y419" s="3">
        <f t="shared" si="81"/>
        <v>2</v>
      </c>
      <c r="Z419" s="3" t="str">
        <f t="shared" si="82"/>
        <v>Premium</v>
      </c>
      <c r="AA419" s="3">
        <v>3</v>
      </c>
      <c r="AB419" s="3" t="str">
        <f t="shared" si="83"/>
        <v>Average</v>
      </c>
      <c r="AC419" s="3" t="str">
        <f t="shared" si="84"/>
        <v>December</v>
      </c>
      <c r="AD419" s="3" t="str">
        <f t="shared" si="85"/>
        <v>Q4</v>
      </c>
      <c r="AE419" s="3">
        <f t="shared" si="86"/>
        <v>2026</v>
      </c>
      <c r="AF419" s="3" t="str">
        <f t="shared" si="87"/>
        <v>Tuesday</v>
      </c>
      <c r="AG419" s="3" t="str">
        <f t="shared" si="88"/>
        <v>36-45</v>
      </c>
      <c r="AH419" s="3" t="str">
        <f t="shared" si="89"/>
        <v>Large</v>
      </c>
      <c r="AI419" s="3" t="str">
        <f t="shared" si="90"/>
        <v>Low</v>
      </c>
      <c r="AJ419" s="3" t="str" cm="1">
        <f t="array" ref="AJ419">_xlfn.IFS(S419&gt;=80000,"VIP",S419&gt;=40000,"Gold",S419&gt;=15000,"Silver",TRUE,"Bronze")</f>
        <v>VIP</v>
      </c>
    </row>
    <row r="420" spans="1:36" x14ac:dyDescent="0.3">
      <c r="A420" s="3" t="s">
        <v>1112</v>
      </c>
      <c r="B420" s="15">
        <v>46115</v>
      </c>
      <c r="C420" s="15">
        <v>46117</v>
      </c>
      <c r="D420" s="3" t="s">
        <v>1113</v>
      </c>
      <c r="E420" s="3" t="s">
        <v>230</v>
      </c>
      <c r="F420" s="3" t="s">
        <v>39</v>
      </c>
      <c r="G420" s="3">
        <v>37</v>
      </c>
      <c r="H420" s="3" t="s">
        <v>88</v>
      </c>
      <c r="I420" s="3" t="s">
        <v>89</v>
      </c>
      <c r="J420" s="3" t="s">
        <v>80</v>
      </c>
      <c r="K420" s="3" t="s">
        <v>70</v>
      </c>
      <c r="L420" s="3" t="s">
        <v>71</v>
      </c>
      <c r="M420" s="3" t="s">
        <v>45</v>
      </c>
      <c r="N420" s="3" t="s">
        <v>63</v>
      </c>
      <c r="O420" s="3" t="s">
        <v>72</v>
      </c>
      <c r="P420" s="3">
        <v>1</v>
      </c>
      <c r="Q420" s="9">
        <v>58000</v>
      </c>
      <c r="R420" s="6">
        <v>0.08</v>
      </c>
      <c r="S420" s="12">
        <f t="shared" si="78"/>
        <v>53360</v>
      </c>
      <c r="T420" s="12">
        <v>49000</v>
      </c>
      <c r="U420" s="9">
        <f t="shared" si="79"/>
        <v>4360</v>
      </c>
      <c r="V420" s="6">
        <f t="shared" si="80"/>
        <v>8.1709145427286356E-2</v>
      </c>
      <c r="W420" s="3" t="s">
        <v>73</v>
      </c>
      <c r="X420" s="3" t="s">
        <v>74</v>
      </c>
      <c r="Y420" s="3">
        <f t="shared" si="81"/>
        <v>2</v>
      </c>
      <c r="Z420" s="3" t="str">
        <f t="shared" si="82"/>
        <v>Premium</v>
      </c>
      <c r="AA420" s="3">
        <v>5</v>
      </c>
      <c r="AB420" s="3" t="str">
        <f t="shared" si="83"/>
        <v>Excellent</v>
      </c>
      <c r="AC420" s="3" t="str">
        <f t="shared" si="84"/>
        <v>April</v>
      </c>
      <c r="AD420" s="3" t="str">
        <f t="shared" si="85"/>
        <v>Q2</v>
      </c>
      <c r="AE420" s="3">
        <f t="shared" si="86"/>
        <v>2026</v>
      </c>
      <c r="AF420" s="3" t="str">
        <f t="shared" si="87"/>
        <v>Friday</v>
      </c>
      <c r="AG420" s="3" t="str">
        <f t="shared" si="88"/>
        <v>36-45</v>
      </c>
      <c r="AH420" s="3" t="str">
        <f t="shared" si="89"/>
        <v>Large</v>
      </c>
      <c r="AI420" s="3" t="str">
        <f t="shared" si="90"/>
        <v>Medium</v>
      </c>
      <c r="AJ420" s="3" t="str" cm="1">
        <f t="array" ref="AJ420">_xlfn.IFS(S420&gt;=80000,"VIP",S420&gt;=40000,"Gold",S420&gt;=15000,"Silver",TRUE,"Bronze")</f>
        <v>Gold</v>
      </c>
    </row>
    <row r="421" spans="1:36" x14ac:dyDescent="0.3">
      <c r="A421" s="3" t="s">
        <v>1114</v>
      </c>
      <c r="B421" s="15">
        <v>46066</v>
      </c>
      <c r="C421" s="15">
        <v>46070</v>
      </c>
      <c r="D421" s="3" t="s">
        <v>1115</v>
      </c>
      <c r="E421" s="3" t="s">
        <v>421</v>
      </c>
      <c r="F421" s="3" t="s">
        <v>39</v>
      </c>
      <c r="G421" s="3">
        <v>43</v>
      </c>
      <c r="H421" s="3" t="s">
        <v>78</v>
      </c>
      <c r="I421" s="3" t="s">
        <v>79</v>
      </c>
      <c r="J421" s="3" t="s">
        <v>80</v>
      </c>
      <c r="K421" s="3" t="s">
        <v>90</v>
      </c>
      <c r="L421" s="3" t="s">
        <v>122</v>
      </c>
      <c r="M421" s="3" t="s">
        <v>45</v>
      </c>
      <c r="N421" s="3" t="s">
        <v>91</v>
      </c>
      <c r="O421" s="3" t="s">
        <v>123</v>
      </c>
      <c r="P421" s="3">
        <v>4</v>
      </c>
      <c r="Q421" s="9">
        <v>2500</v>
      </c>
      <c r="R421" s="6">
        <v>0.2</v>
      </c>
      <c r="S421" s="12">
        <f t="shared" si="78"/>
        <v>8000</v>
      </c>
      <c r="T421" s="12">
        <v>1700</v>
      </c>
      <c r="U421" s="9">
        <f t="shared" si="79"/>
        <v>1200</v>
      </c>
      <c r="V421" s="6">
        <f t="shared" si="80"/>
        <v>0.15</v>
      </c>
      <c r="W421" s="3" t="s">
        <v>48</v>
      </c>
      <c r="X421" s="3" t="s">
        <v>49</v>
      </c>
      <c r="Y421" s="3">
        <f t="shared" si="81"/>
        <v>4</v>
      </c>
      <c r="Z421" s="3" t="str">
        <f t="shared" si="82"/>
        <v>Regular</v>
      </c>
      <c r="AA421" s="3">
        <v>5</v>
      </c>
      <c r="AB421" s="3" t="str">
        <f t="shared" si="83"/>
        <v>Excellent</v>
      </c>
      <c r="AC421" s="3" t="str">
        <f t="shared" si="84"/>
        <v>February</v>
      </c>
      <c r="AD421" s="3" t="str">
        <f t="shared" si="85"/>
        <v>Q1</v>
      </c>
      <c r="AE421" s="3">
        <f t="shared" si="86"/>
        <v>2026</v>
      </c>
      <c r="AF421" s="3" t="str">
        <f t="shared" si="87"/>
        <v>Friday</v>
      </c>
      <c r="AG421" s="3" t="str">
        <f t="shared" si="88"/>
        <v>36-45</v>
      </c>
      <c r="AH421" s="3" t="str">
        <f t="shared" si="89"/>
        <v>Small</v>
      </c>
      <c r="AI421" s="3" t="str">
        <f t="shared" si="90"/>
        <v>High</v>
      </c>
      <c r="AJ421" s="3" t="str" cm="1">
        <f t="array" ref="AJ421">_xlfn.IFS(S421&gt;=80000,"VIP",S421&gt;=40000,"Gold",S421&gt;=15000,"Silver",TRUE,"Bronze")</f>
        <v>Bronze</v>
      </c>
    </row>
    <row r="422" spans="1:36" x14ac:dyDescent="0.3">
      <c r="A422" s="3" t="s">
        <v>1116</v>
      </c>
      <c r="B422" s="15">
        <v>46041</v>
      </c>
      <c r="C422" s="15">
        <v>46046</v>
      </c>
      <c r="D422" s="3" t="s">
        <v>1117</v>
      </c>
      <c r="E422" s="3" t="s">
        <v>897</v>
      </c>
      <c r="F422" s="3" t="s">
        <v>39</v>
      </c>
      <c r="G422" s="3">
        <v>34</v>
      </c>
      <c r="H422" s="3" t="s">
        <v>53</v>
      </c>
      <c r="I422" s="3" t="s">
        <v>41</v>
      </c>
      <c r="J422" s="3" t="s">
        <v>42</v>
      </c>
      <c r="K422" s="3" t="s">
        <v>105</v>
      </c>
      <c r="L422" s="3" t="s">
        <v>112</v>
      </c>
      <c r="M422" s="3" t="s">
        <v>113</v>
      </c>
      <c r="N422" s="3" t="s">
        <v>114</v>
      </c>
      <c r="O422" s="3" t="s">
        <v>115</v>
      </c>
      <c r="P422" s="3">
        <v>4</v>
      </c>
      <c r="Q422" s="9">
        <v>3500</v>
      </c>
      <c r="R422" s="6">
        <v>0.1</v>
      </c>
      <c r="S422" s="12">
        <f t="shared" si="78"/>
        <v>12600</v>
      </c>
      <c r="T422" s="12">
        <v>2500</v>
      </c>
      <c r="U422" s="9">
        <f t="shared" si="79"/>
        <v>2600</v>
      </c>
      <c r="V422" s="6">
        <f t="shared" si="80"/>
        <v>0.20634920634920634</v>
      </c>
      <c r="W422" s="3" t="s">
        <v>56</v>
      </c>
      <c r="X422" s="3" t="s">
        <v>106</v>
      </c>
      <c r="Y422" s="3">
        <f t="shared" si="81"/>
        <v>5</v>
      </c>
      <c r="Z422" s="3" t="str">
        <f t="shared" si="82"/>
        <v>Regular</v>
      </c>
      <c r="AA422" s="3">
        <v>5</v>
      </c>
      <c r="AB422" s="3" t="str">
        <f t="shared" si="83"/>
        <v>Excellent</v>
      </c>
      <c r="AC422" s="3" t="str">
        <f t="shared" si="84"/>
        <v>January</v>
      </c>
      <c r="AD422" s="3" t="str">
        <f t="shared" si="85"/>
        <v>Q1</v>
      </c>
      <c r="AE422" s="3">
        <f t="shared" si="86"/>
        <v>2026</v>
      </c>
      <c r="AF422" s="3" t="str">
        <f t="shared" si="87"/>
        <v>Monday</v>
      </c>
      <c r="AG422" s="3" t="str">
        <f t="shared" si="88"/>
        <v>26-35</v>
      </c>
      <c r="AH422" s="3" t="str">
        <f t="shared" si="89"/>
        <v>Medium</v>
      </c>
      <c r="AI422" s="3" t="str">
        <f t="shared" si="90"/>
        <v>Medium</v>
      </c>
      <c r="AJ422" s="3" t="str" cm="1">
        <f t="array" ref="AJ422">_xlfn.IFS(S422&gt;=80000,"VIP",S422&gt;=40000,"Gold",S422&gt;=15000,"Silver",TRUE,"Bronze")</f>
        <v>Bronze</v>
      </c>
    </row>
    <row r="423" spans="1:36" x14ac:dyDescent="0.3">
      <c r="A423" s="3" t="s">
        <v>1118</v>
      </c>
      <c r="B423" s="15">
        <v>46156</v>
      </c>
      <c r="C423" s="15">
        <v>46162</v>
      </c>
      <c r="D423" s="3" t="s">
        <v>1119</v>
      </c>
      <c r="E423" s="3" t="s">
        <v>1120</v>
      </c>
      <c r="F423" s="3" t="s">
        <v>52</v>
      </c>
      <c r="G423" s="3">
        <v>38</v>
      </c>
      <c r="H423" s="3" t="s">
        <v>88</v>
      </c>
      <c r="I423" s="3" t="s">
        <v>89</v>
      </c>
      <c r="J423" s="3" t="s">
        <v>80</v>
      </c>
      <c r="K423" s="3" t="s">
        <v>43</v>
      </c>
      <c r="L423" s="3" t="s">
        <v>44</v>
      </c>
      <c r="M423" s="3" t="s">
        <v>45</v>
      </c>
      <c r="N423" s="3" t="s">
        <v>46</v>
      </c>
      <c r="O423" s="3" t="s">
        <v>47</v>
      </c>
      <c r="P423" s="3">
        <v>4</v>
      </c>
      <c r="Q423" s="9">
        <v>28500</v>
      </c>
      <c r="R423" s="6">
        <v>0.12</v>
      </c>
      <c r="S423" s="12">
        <f t="shared" si="78"/>
        <v>100320</v>
      </c>
      <c r="T423" s="12">
        <v>22000</v>
      </c>
      <c r="U423" s="9">
        <f t="shared" si="79"/>
        <v>12320</v>
      </c>
      <c r="V423" s="6">
        <f t="shared" si="80"/>
        <v>0.12280701754385964</v>
      </c>
      <c r="W423" s="3" t="s">
        <v>100</v>
      </c>
      <c r="X423" s="3" t="s">
        <v>106</v>
      </c>
      <c r="Y423" s="3">
        <f t="shared" si="81"/>
        <v>6</v>
      </c>
      <c r="Z423" s="3" t="str">
        <f t="shared" si="82"/>
        <v>Premium</v>
      </c>
      <c r="AA423" s="3">
        <v>2</v>
      </c>
      <c r="AB423" s="3" t="str">
        <f t="shared" si="83"/>
        <v>Average</v>
      </c>
      <c r="AC423" s="3" t="str">
        <f t="shared" si="84"/>
        <v>May</v>
      </c>
      <c r="AD423" s="3" t="str">
        <f t="shared" si="85"/>
        <v>Q2</v>
      </c>
      <c r="AE423" s="3">
        <f t="shared" si="86"/>
        <v>2026</v>
      </c>
      <c r="AF423" s="3" t="str">
        <f t="shared" si="87"/>
        <v>Thursday</v>
      </c>
      <c r="AG423" s="3" t="str">
        <f t="shared" si="88"/>
        <v>36-45</v>
      </c>
      <c r="AH423" s="3" t="str">
        <f t="shared" si="89"/>
        <v>Large</v>
      </c>
      <c r="AI423" s="3" t="str">
        <f t="shared" si="90"/>
        <v>Medium</v>
      </c>
      <c r="AJ423" s="3" t="str" cm="1">
        <f t="array" ref="AJ423">_xlfn.IFS(S423&gt;=80000,"VIP",S423&gt;=40000,"Gold",S423&gt;=15000,"Silver",TRUE,"Bronze")</f>
        <v>VIP</v>
      </c>
    </row>
    <row r="424" spans="1:36" x14ac:dyDescent="0.3">
      <c r="A424" s="3" t="s">
        <v>1121</v>
      </c>
      <c r="B424" s="15">
        <v>46337</v>
      </c>
      <c r="C424" s="15">
        <v>46341</v>
      </c>
      <c r="D424" s="3" t="s">
        <v>1122</v>
      </c>
      <c r="E424" s="3" t="s">
        <v>320</v>
      </c>
      <c r="F424" s="3" t="s">
        <v>39</v>
      </c>
      <c r="G424" s="3">
        <v>41</v>
      </c>
      <c r="H424" s="3" t="s">
        <v>68</v>
      </c>
      <c r="I424" s="3" t="s">
        <v>68</v>
      </c>
      <c r="J424" s="3" t="s">
        <v>69</v>
      </c>
      <c r="K424" s="3" t="s">
        <v>70</v>
      </c>
      <c r="L424" s="3" t="s">
        <v>71</v>
      </c>
      <c r="M424" s="3" t="s">
        <v>45</v>
      </c>
      <c r="N424" s="3" t="s">
        <v>63</v>
      </c>
      <c r="O424" s="3" t="s">
        <v>72</v>
      </c>
      <c r="P424" s="3">
        <v>4</v>
      </c>
      <c r="Q424" s="9">
        <v>58000</v>
      </c>
      <c r="R424" s="6">
        <v>0.2</v>
      </c>
      <c r="S424" s="12">
        <f t="shared" si="78"/>
        <v>185600</v>
      </c>
      <c r="T424" s="12">
        <v>49000</v>
      </c>
      <c r="U424" s="9">
        <f t="shared" si="79"/>
        <v>-10400</v>
      </c>
      <c r="V424" s="6">
        <f t="shared" si="80"/>
        <v>-5.6034482758620691E-2</v>
      </c>
      <c r="W424" s="3" t="s">
        <v>100</v>
      </c>
      <c r="X424" s="3" t="s">
        <v>101</v>
      </c>
      <c r="Y424" s="3">
        <f t="shared" si="81"/>
        <v>4</v>
      </c>
      <c r="Z424" s="3" t="str">
        <f t="shared" si="82"/>
        <v>Premium</v>
      </c>
      <c r="AA424" s="3">
        <v>4</v>
      </c>
      <c r="AB424" s="3" t="str">
        <f t="shared" si="83"/>
        <v>Excellent</v>
      </c>
      <c r="AC424" s="3" t="str">
        <f t="shared" si="84"/>
        <v>November</v>
      </c>
      <c r="AD424" s="3" t="str">
        <f t="shared" si="85"/>
        <v>Q4</v>
      </c>
      <c r="AE424" s="3">
        <f t="shared" si="86"/>
        <v>2026</v>
      </c>
      <c r="AF424" s="3" t="str">
        <f t="shared" si="87"/>
        <v>Wednesday</v>
      </c>
      <c r="AG424" s="3" t="str">
        <f t="shared" si="88"/>
        <v>36-45</v>
      </c>
      <c r="AH424" s="3" t="str">
        <f t="shared" si="89"/>
        <v>Large</v>
      </c>
      <c r="AI424" s="3" t="str">
        <f t="shared" si="90"/>
        <v>High</v>
      </c>
      <c r="AJ424" s="3" t="str" cm="1">
        <f t="array" ref="AJ424">_xlfn.IFS(S424&gt;=80000,"VIP",S424&gt;=40000,"Gold",S424&gt;=15000,"Silver",TRUE,"Bronze")</f>
        <v>VIP</v>
      </c>
    </row>
    <row r="425" spans="1:36" x14ac:dyDescent="0.3">
      <c r="A425" s="3" t="s">
        <v>1123</v>
      </c>
      <c r="B425" s="15">
        <v>46368</v>
      </c>
      <c r="C425" s="15">
        <v>46374</v>
      </c>
      <c r="D425" s="3" t="s">
        <v>1124</v>
      </c>
      <c r="E425" s="3" t="s">
        <v>297</v>
      </c>
      <c r="F425" s="3" t="s">
        <v>39</v>
      </c>
      <c r="G425" s="3">
        <v>48</v>
      </c>
      <c r="H425" s="3" t="s">
        <v>78</v>
      </c>
      <c r="I425" s="3" t="s">
        <v>79</v>
      </c>
      <c r="J425" s="3" t="s">
        <v>80</v>
      </c>
      <c r="K425" s="3" t="s">
        <v>54</v>
      </c>
      <c r="L425" s="3" t="s">
        <v>173</v>
      </c>
      <c r="M425" s="3" t="s">
        <v>45</v>
      </c>
      <c r="N425" s="3" t="s">
        <v>46</v>
      </c>
      <c r="O425" s="3" t="s">
        <v>55</v>
      </c>
      <c r="P425" s="3">
        <v>2</v>
      </c>
      <c r="Q425" s="9">
        <v>79900</v>
      </c>
      <c r="R425" s="6">
        <v>0.08</v>
      </c>
      <c r="S425" s="12">
        <f t="shared" si="78"/>
        <v>147016</v>
      </c>
      <c r="T425" s="12">
        <v>65000</v>
      </c>
      <c r="U425" s="9">
        <f t="shared" si="79"/>
        <v>17016</v>
      </c>
      <c r="V425" s="6">
        <f t="shared" si="80"/>
        <v>0.11574250421722805</v>
      </c>
      <c r="W425" s="3" t="s">
        <v>73</v>
      </c>
      <c r="X425" s="3" t="s">
        <v>49</v>
      </c>
      <c r="Y425" s="3">
        <f t="shared" si="81"/>
        <v>6</v>
      </c>
      <c r="Z425" s="3" t="str">
        <f t="shared" si="82"/>
        <v>Premium</v>
      </c>
      <c r="AA425" s="3">
        <v>3</v>
      </c>
      <c r="AB425" s="3" t="str">
        <f t="shared" si="83"/>
        <v>Average</v>
      </c>
      <c r="AC425" s="3" t="str">
        <f t="shared" si="84"/>
        <v>December</v>
      </c>
      <c r="AD425" s="3" t="str">
        <f t="shared" si="85"/>
        <v>Q4</v>
      </c>
      <c r="AE425" s="3">
        <f t="shared" si="86"/>
        <v>2026</v>
      </c>
      <c r="AF425" s="3" t="str">
        <f t="shared" si="87"/>
        <v>Saturday</v>
      </c>
      <c r="AG425" s="3" t="str">
        <f t="shared" si="88"/>
        <v>46+</v>
      </c>
      <c r="AH425" s="3" t="str">
        <f t="shared" si="89"/>
        <v>Large</v>
      </c>
      <c r="AI425" s="3" t="str">
        <f t="shared" si="90"/>
        <v>Medium</v>
      </c>
      <c r="AJ425" s="3" t="str" cm="1">
        <f t="array" ref="AJ425">_xlfn.IFS(S425&gt;=80000,"VIP",S425&gt;=40000,"Gold",S425&gt;=15000,"Silver",TRUE,"Bronze")</f>
        <v>VIP</v>
      </c>
    </row>
    <row r="426" spans="1:36" x14ac:dyDescent="0.3">
      <c r="A426" s="3" t="s">
        <v>1125</v>
      </c>
      <c r="B426" s="15">
        <v>46278</v>
      </c>
      <c r="C426" s="15">
        <v>46282</v>
      </c>
      <c r="D426" s="3" t="s">
        <v>1126</v>
      </c>
      <c r="E426" s="3" t="s">
        <v>503</v>
      </c>
      <c r="F426" s="3" t="s">
        <v>39</v>
      </c>
      <c r="G426" s="3">
        <v>46</v>
      </c>
      <c r="H426" s="3" t="s">
        <v>60</v>
      </c>
      <c r="I426" s="3" t="s">
        <v>61</v>
      </c>
      <c r="J426" s="3" t="s">
        <v>42</v>
      </c>
      <c r="K426" s="3" t="s">
        <v>70</v>
      </c>
      <c r="L426" s="3" t="s">
        <v>71</v>
      </c>
      <c r="M426" s="3" t="s">
        <v>45</v>
      </c>
      <c r="N426" s="3" t="s">
        <v>63</v>
      </c>
      <c r="O426" s="3" t="s">
        <v>72</v>
      </c>
      <c r="P426" s="3">
        <v>1</v>
      </c>
      <c r="Q426" s="9">
        <v>58000</v>
      </c>
      <c r="R426" s="6">
        <v>0.12</v>
      </c>
      <c r="S426" s="12">
        <f t="shared" si="78"/>
        <v>51040</v>
      </c>
      <c r="T426" s="12">
        <v>49000</v>
      </c>
      <c r="U426" s="9">
        <f t="shared" si="79"/>
        <v>2040</v>
      </c>
      <c r="V426" s="6">
        <f t="shared" si="80"/>
        <v>3.9968652037617555E-2</v>
      </c>
      <c r="W426" s="3" t="s">
        <v>56</v>
      </c>
      <c r="X426" s="3" t="s">
        <v>49</v>
      </c>
      <c r="Y426" s="3">
        <f t="shared" si="81"/>
        <v>4</v>
      </c>
      <c r="Z426" s="3" t="str">
        <f t="shared" si="82"/>
        <v>Premium</v>
      </c>
      <c r="AA426" s="3">
        <v>4</v>
      </c>
      <c r="AB426" s="3" t="str">
        <f t="shared" si="83"/>
        <v>Excellent</v>
      </c>
      <c r="AC426" s="3" t="str">
        <f t="shared" si="84"/>
        <v>September</v>
      </c>
      <c r="AD426" s="3" t="str">
        <f t="shared" si="85"/>
        <v>Q3</v>
      </c>
      <c r="AE426" s="3">
        <f t="shared" si="86"/>
        <v>2026</v>
      </c>
      <c r="AF426" s="3" t="str">
        <f t="shared" si="87"/>
        <v>Sunday</v>
      </c>
      <c r="AG426" s="3" t="str">
        <f t="shared" si="88"/>
        <v>46+</v>
      </c>
      <c r="AH426" s="3" t="str">
        <f t="shared" si="89"/>
        <v>Large</v>
      </c>
      <c r="AI426" s="3" t="str">
        <f t="shared" si="90"/>
        <v>Medium</v>
      </c>
      <c r="AJ426" s="3" t="str" cm="1">
        <f t="array" ref="AJ426">_xlfn.IFS(S426&gt;=80000,"VIP",S426&gt;=40000,"Gold",S426&gt;=15000,"Silver",TRUE,"Bronze")</f>
        <v>Gold</v>
      </c>
    </row>
    <row r="427" spans="1:36" x14ac:dyDescent="0.3">
      <c r="A427" s="3" t="s">
        <v>1127</v>
      </c>
      <c r="B427" s="15">
        <v>46103</v>
      </c>
      <c r="C427" s="15">
        <v>46107</v>
      </c>
      <c r="D427" s="3" t="s">
        <v>1128</v>
      </c>
      <c r="E427" s="3" t="s">
        <v>347</v>
      </c>
      <c r="F427" s="3" t="s">
        <v>39</v>
      </c>
      <c r="G427" s="3">
        <v>45</v>
      </c>
      <c r="H427" s="3" t="s">
        <v>119</v>
      </c>
      <c r="I427" s="3" t="s">
        <v>120</v>
      </c>
      <c r="J427" s="3" t="s">
        <v>121</v>
      </c>
      <c r="K427" s="3" t="s">
        <v>90</v>
      </c>
      <c r="L427" s="3" t="s">
        <v>122</v>
      </c>
      <c r="M427" s="3" t="s">
        <v>45</v>
      </c>
      <c r="N427" s="3" t="s">
        <v>91</v>
      </c>
      <c r="O427" s="3" t="s">
        <v>123</v>
      </c>
      <c r="P427" s="3">
        <v>2</v>
      </c>
      <c r="Q427" s="9">
        <v>2500</v>
      </c>
      <c r="R427" s="6">
        <v>0.08</v>
      </c>
      <c r="S427" s="12">
        <f t="shared" si="78"/>
        <v>4600</v>
      </c>
      <c r="T427" s="12">
        <v>1700</v>
      </c>
      <c r="U427" s="9">
        <f t="shared" si="79"/>
        <v>1200</v>
      </c>
      <c r="V427" s="6">
        <f t="shared" si="80"/>
        <v>0.2608695652173913</v>
      </c>
      <c r="W427" s="3" t="s">
        <v>73</v>
      </c>
      <c r="X427" s="3" t="s">
        <v>74</v>
      </c>
      <c r="Y427" s="3">
        <f t="shared" si="81"/>
        <v>4</v>
      </c>
      <c r="Z427" s="3" t="str">
        <f t="shared" si="82"/>
        <v>Regular</v>
      </c>
      <c r="AA427" s="3">
        <v>4</v>
      </c>
      <c r="AB427" s="3" t="str">
        <f t="shared" si="83"/>
        <v>Excellent</v>
      </c>
      <c r="AC427" s="3" t="str">
        <f t="shared" si="84"/>
        <v>March</v>
      </c>
      <c r="AD427" s="3" t="str">
        <f t="shared" si="85"/>
        <v>Q1</v>
      </c>
      <c r="AE427" s="3">
        <f t="shared" si="86"/>
        <v>2026</v>
      </c>
      <c r="AF427" s="3" t="str">
        <f t="shared" si="87"/>
        <v>Sunday</v>
      </c>
      <c r="AG427" s="3" t="str">
        <f t="shared" si="88"/>
        <v>36-45</v>
      </c>
      <c r="AH427" s="3" t="str">
        <f t="shared" si="89"/>
        <v>Small</v>
      </c>
      <c r="AI427" s="3" t="str">
        <f t="shared" si="90"/>
        <v>Medium</v>
      </c>
      <c r="AJ427" s="3" t="str" cm="1">
        <f t="array" ref="AJ427">_xlfn.IFS(S427&gt;=80000,"VIP",S427&gt;=40000,"Gold",S427&gt;=15000,"Silver",TRUE,"Bronze")</f>
        <v>Bronze</v>
      </c>
    </row>
    <row r="428" spans="1:36" x14ac:dyDescent="0.3">
      <c r="A428" s="3" t="s">
        <v>1129</v>
      </c>
      <c r="B428" s="15">
        <v>46331</v>
      </c>
      <c r="C428" s="15">
        <v>46333</v>
      </c>
      <c r="D428" s="3" t="s">
        <v>1130</v>
      </c>
      <c r="E428" s="3" t="s">
        <v>164</v>
      </c>
      <c r="F428" s="3" t="s">
        <v>52</v>
      </c>
      <c r="G428" s="3">
        <v>45</v>
      </c>
      <c r="H428" s="3" t="s">
        <v>110</v>
      </c>
      <c r="I428" s="3" t="s">
        <v>111</v>
      </c>
      <c r="J428" s="3" t="s">
        <v>80</v>
      </c>
      <c r="K428" s="3" t="s">
        <v>62</v>
      </c>
      <c r="L428" s="3" t="s">
        <v>163</v>
      </c>
      <c r="M428" s="3" t="s">
        <v>45</v>
      </c>
      <c r="N428" s="3" t="s">
        <v>63</v>
      </c>
      <c r="O428" s="3" t="s">
        <v>64</v>
      </c>
      <c r="P428" s="3">
        <v>1</v>
      </c>
      <c r="Q428" s="9">
        <v>62000</v>
      </c>
      <c r="R428" s="6">
        <v>0.1</v>
      </c>
      <c r="S428" s="12">
        <f t="shared" si="78"/>
        <v>55800</v>
      </c>
      <c r="T428" s="12">
        <v>52000</v>
      </c>
      <c r="U428" s="9">
        <f t="shared" si="79"/>
        <v>3800</v>
      </c>
      <c r="V428" s="6">
        <f t="shared" si="80"/>
        <v>6.8100358422939072E-2</v>
      </c>
      <c r="W428" s="3" t="s">
        <v>65</v>
      </c>
      <c r="X428" s="3" t="s">
        <v>49</v>
      </c>
      <c r="Y428" s="3">
        <f t="shared" si="81"/>
        <v>2</v>
      </c>
      <c r="Z428" s="3" t="str">
        <f t="shared" si="82"/>
        <v>Premium</v>
      </c>
      <c r="AA428" s="3">
        <v>3</v>
      </c>
      <c r="AB428" s="3" t="str">
        <f t="shared" si="83"/>
        <v>Average</v>
      </c>
      <c r="AC428" s="3" t="str">
        <f t="shared" si="84"/>
        <v>November</v>
      </c>
      <c r="AD428" s="3" t="str">
        <f t="shared" si="85"/>
        <v>Q4</v>
      </c>
      <c r="AE428" s="3">
        <f t="shared" si="86"/>
        <v>2026</v>
      </c>
      <c r="AF428" s="3" t="str">
        <f t="shared" si="87"/>
        <v>Thursday</v>
      </c>
      <c r="AG428" s="3" t="str">
        <f t="shared" si="88"/>
        <v>36-45</v>
      </c>
      <c r="AH428" s="3" t="str">
        <f t="shared" si="89"/>
        <v>Large</v>
      </c>
      <c r="AI428" s="3" t="str">
        <f t="shared" si="90"/>
        <v>Medium</v>
      </c>
      <c r="AJ428" s="3" t="str" cm="1">
        <f t="array" ref="AJ428">_xlfn.IFS(S428&gt;=80000,"VIP",S428&gt;=40000,"Gold",S428&gt;=15000,"Silver",TRUE,"Bronze")</f>
        <v>Gold</v>
      </c>
    </row>
    <row r="429" spans="1:36" x14ac:dyDescent="0.3">
      <c r="A429" s="3" t="s">
        <v>1131</v>
      </c>
      <c r="B429" s="15">
        <v>46078</v>
      </c>
      <c r="C429" s="15">
        <v>46083</v>
      </c>
      <c r="D429" s="3" t="s">
        <v>1132</v>
      </c>
      <c r="E429" s="3" t="s">
        <v>1133</v>
      </c>
      <c r="F429" s="3" t="s">
        <v>52</v>
      </c>
      <c r="G429" s="3">
        <v>33</v>
      </c>
      <c r="H429" s="3" t="s">
        <v>119</v>
      </c>
      <c r="I429" s="3" t="s">
        <v>120</v>
      </c>
      <c r="J429" s="3" t="s">
        <v>121</v>
      </c>
      <c r="K429" s="3" t="s">
        <v>54</v>
      </c>
      <c r="L429" s="3" t="s">
        <v>173</v>
      </c>
      <c r="M429" s="3" t="s">
        <v>45</v>
      </c>
      <c r="N429" s="3" t="s">
        <v>46</v>
      </c>
      <c r="O429" s="3" t="s">
        <v>55</v>
      </c>
      <c r="P429" s="3">
        <v>1</v>
      </c>
      <c r="Q429" s="9">
        <v>79900</v>
      </c>
      <c r="R429" s="6">
        <v>0.12</v>
      </c>
      <c r="S429" s="12">
        <f t="shared" si="78"/>
        <v>70312</v>
      </c>
      <c r="T429" s="12">
        <v>65000</v>
      </c>
      <c r="U429" s="9">
        <f t="shared" si="79"/>
        <v>5312</v>
      </c>
      <c r="V429" s="6">
        <f t="shared" si="80"/>
        <v>7.5548981681647517E-2</v>
      </c>
      <c r="W429" s="3" t="s">
        <v>65</v>
      </c>
      <c r="X429" s="3" t="s">
        <v>49</v>
      </c>
      <c r="Y429" s="3">
        <f t="shared" si="81"/>
        <v>5</v>
      </c>
      <c r="Z429" s="3" t="str">
        <f t="shared" si="82"/>
        <v>Premium</v>
      </c>
      <c r="AA429" s="3">
        <v>5</v>
      </c>
      <c r="AB429" s="3" t="str">
        <f t="shared" si="83"/>
        <v>Excellent</v>
      </c>
      <c r="AC429" s="3" t="str">
        <f t="shared" si="84"/>
        <v>February</v>
      </c>
      <c r="AD429" s="3" t="str">
        <f t="shared" si="85"/>
        <v>Q1</v>
      </c>
      <c r="AE429" s="3">
        <f t="shared" si="86"/>
        <v>2026</v>
      </c>
      <c r="AF429" s="3" t="str">
        <f t="shared" si="87"/>
        <v>Wednesday</v>
      </c>
      <c r="AG429" s="3" t="str">
        <f t="shared" si="88"/>
        <v>26-35</v>
      </c>
      <c r="AH429" s="3" t="str">
        <f t="shared" si="89"/>
        <v>Large</v>
      </c>
      <c r="AI429" s="3" t="str">
        <f t="shared" si="90"/>
        <v>Medium</v>
      </c>
      <c r="AJ429" s="3" t="str" cm="1">
        <f t="array" ref="AJ429">_xlfn.IFS(S429&gt;=80000,"VIP",S429&gt;=40000,"Gold",S429&gt;=15000,"Silver",TRUE,"Bronze")</f>
        <v>Gold</v>
      </c>
    </row>
    <row r="430" spans="1:36" x14ac:dyDescent="0.3">
      <c r="A430" s="3" t="s">
        <v>1134</v>
      </c>
      <c r="B430" s="15">
        <v>46337</v>
      </c>
      <c r="C430" s="15">
        <v>46339</v>
      </c>
      <c r="D430" s="3" t="s">
        <v>1135</v>
      </c>
      <c r="E430" s="3" t="s">
        <v>1136</v>
      </c>
      <c r="F430" s="3" t="s">
        <v>52</v>
      </c>
      <c r="G430" s="3">
        <v>49</v>
      </c>
      <c r="H430" s="3" t="s">
        <v>119</v>
      </c>
      <c r="I430" s="3" t="s">
        <v>120</v>
      </c>
      <c r="J430" s="3" t="s">
        <v>121</v>
      </c>
      <c r="K430" s="3" t="s">
        <v>90</v>
      </c>
      <c r="L430" s="3" t="s">
        <v>122</v>
      </c>
      <c r="M430" s="3" t="s">
        <v>45</v>
      </c>
      <c r="N430" s="3" t="s">
        <v>91</v>
      </c>
      <c r="O430" s="3" t="s">
        <v>123</v>
      </c>
      <c r="P430" s="3">
        <v>5</v>
      </c>
      <c r="Q430" s="9">
        <v>2500</v>
      </c>
      <c r="R430" s="6">
        <v>0.15</v>
      </c>
      <c r="S430" s="12">
        <f t="shared" si="78"/>
        <v>10625</v>
      </c>
      <c r="T430" s="12">
        <v>1700</v>
      </c>
      <c r="U430" s="9">
        <f t="shared" si="79"/>
        <v>2125</v>
      </c>
      <c r="V430" s="6">
        <f t="shared" si="80"/>
        <v>0.2</v>
      </c>
      <c r="W430" s="3" t="s">
        <v>65</v>
      </c>
      <c r="X430" s="3" t="s">
        <v>49</v>
      </c>
      <c r="Y430" s="3">
        <f t="shared" si="81"/>
        <v>2</v>
      </c>
      <c r="Z430" s="3" t="str">
        <f t="shared" si="82"/>
        <v>Regular</v>
      </c>
      <c r="AA430" s="3">
        <v>2</v>
      </c>
      <c r="AB430" s="3" t="str">
        <f t="shared" si="83"/>
        <v>Average</v>
      </c>
      <c r="AC430" s="3" t="str">
        <f t="shared" si="84"/>
        <v>November</v>
      </c>
      <c r="AD430" s="3" t="str">
        <f t="shared" si="85"/>
        <v>Q4</v>
      </c>
      <c r="AE430" s="3">
        <f t="shared" si="86"/>
        <v>2026</v>
      </c>
      <c r="AF430" s="3" t="str">
        <f t="shared" si="87"/>
        <v>Wednesday</v>
      </c>
      <c r="AG430" s="3" t="str">
        <f t="shared" si="88"/>
        <v>46+</v>
      </c>
      <c r="AH430" s="3" t="str">
        <f t="shared" si="89"/>
        <v>Medium</v>
      </c>
      <c r="AI430" s="3" t="str">
        <f t="shared" si="90"/>
        <v>Medium</v>
      </c>
      <c r="AJ430" s="3" t="str" cm="1">
        <f t="array" ref="AJ430">_xlfn.IFS(S430&gt;=80000,"VIP",S430&gt;=40000,"Gold",S430&gt;=15000,"Silver",TRUE,"Bronze")</f>
        <v>Bronze</v>
      </c>
    </row>
    <row r="431" spans="1:36" x14ac:dyDescent="0.3">
      <c r="A431" s="3" t="s">
        <v>1137</v>
      </c>
      <c r="B431" s="15">
        <v>46270</v>
      </c>
      <c r="C431" s="15">
        <v>46274</v>
      </c>
      <c r="D431" s="3" t="s">
        <v>1138</v>
      </c>
      <c r="E431" s="3" t="s">
        <v>803</v>
      </c>
      <c r="F431" s="3" t="s">
        <v>52</v>
      </c>
      <c r="G431" s="3">
        <v>46</v>
      </c>
      <c r="H431" s="3" t="s">
        <v>53</v>
      </c>
      <c r="I431" s="3" t="s">
        <v>41</v>
      </c>
      <c r="J431" s="3" t="s">
        <v>42</v>
      </c>
      <c r="K431" s="3" t="s">
        <v>96</v>
      </c>
      <c r="L431" s="3" t="s">
        <v>166</v>
      </c>
      <c r="M431" s="3" t="s">
        <v>97</v>
      </c>
      <c r="N431" s="3" t="s">
        <v>98</v>
      </c>
      <c r="O431" s="3" t="s">
        <v>99</v>
      </c>
      <c r="P431" s="3">
        <v>2</v>
      </c>
      <c r="Q431" s="9">
        <v>4500</v>
      </c>
      <c r="R431" s="6">
        <v>0.15</v>
      </c>
      <c r="S431" s="12">
        <f t="shared" si="78"/>
        <v>7650</v>
      </c>
      <c r="T431" s="12">
        <v>3000</v>
      </c>
      <c r="U431" s="9">
        <f t="shared" si="79"/>
        <v>1650</v>
      </c>
      <c r="V431" s="6">
        <f t="shared" si="80"/>
        <v>0.21568627450980393</v>
      </c>
      <c r="W431" s="3" t="s">
        <v>65</v>
      </c>
      <c r="X431" s="3" t="s">
        <v>106</v>
      </c>
      <c r="Y431" s="3">
        <f t="shared" si="81"/>
        <v>4</v>
      </c>
      <c r="Z431" s="3" t="str">
        <f t="shared" si="82"/>
        <v>Regular</v>
      </c>
      <c r="AA431" s="3">
        <v>5</v>
      </c>
      <c r="AB431" s="3" t="str">
        <f t="shared" si="83"/>
        <v>Excellent</v>
      </c>
      <c r="AC431" s="3" t="str">
        <f t="shared" si="84"/>
        <v>September</v>
      </c>
      <c r="AD431" s="3" t="str">
        <f t="shared" si="85"/>
        <v>Q3</v>
      </c>
      <c r="AE431" s="3">
        <f t="shared" si="86"/>
        <v>2026</v>
      </c>
      <c r="AF431" s="3" t="str">
        <f t="shared" si="87"/>
        <v>Saturday</v>
      </c>
      <c r="AG431" s="3" t="str">
        <f t="shared" si="88"/>
        <v>46+</v>
      </c>
      <c r="AH431" s="3" t="str">
        <f t="shared" si="89"/>
        <v>Small</v>
      </c>
      <c r="AI431" s="3" t="str">
        <f t="shared" si="90"/>
        <v>Medium</v>
      </c>
      <c r="AJ431" s="3" t="str" cm="1">
        <f t="array" ref="AJ431">_xlfn.IFS(S431&gt;=80000,"VIP",S431&gt;=40000,"Gold",S431&gt;=15000,"Silver",TRUE,"Bronze")</f>
        <v>Bronze</v>
      </c>
    </row>
    <row r="432" spans="1:36" x14ac:dyDescent="0.3">
      <c r="A432" s="3" t="s">
        <v>1139</v>
      </c>
      <c r="B432" s="15">
        <v>46342</v>
      </c>
      <c r="C432" s="15">
        <v>46348</v>
      </c>
      <c r="D432" s="3" t="s">
        <v>1140</v>
      </c>
      <c r="E432" s="3" t="s">
        <v>463</v>
      </c>
      <c r="F432" s="3" t="s">
        <v>52</v>
      </c>
      <c r="G432" s="3">
        <v>36</v>
      </c>
      <c r="H432" s="3" t="s">
        <v>78</v>
      </c>
      <c r="I432" s="3" t="s">
        <v>79</v>
      </c>
      <c r="J432" s="3" t="s">
        <v>80</v>
      </c>
      <c r="K432" s="3" t="s">
        <v>43</v>
      </c>
      <c r="L432" s="3" t="s">
        <v>44</v>
      </c>
      <c r="M432" s="3" t="s">
        <v>45</v>
      </c>
      <c r="N432" s="3" t="s">
        <v>46</v>
      </c>
      <c r="O432" s="3" t="s">
        <v>47</v>
      </c>
      <c r="P432" s="3">
        <v>5</v>
      </c>
      <c r="Q432" s="9">
        <v>28500</v>
      </c>
      <c r="R432" s="6">
        <v>0.1</v>
      </c>
      <c r="S432" s="12">
        <f t="shared" si="78"/>
        <v>128250</v>
      </c>
      <c r="T432" s="12">
        <v>22000</v>
      </c>
      <c r="U432" s="9">
        <f t="shared" si="79"/>
        <v>18250</v>
      </c>
      <c r="V432" s="6">
        <f t="shared" si="80"/>
        <v>0.14230019493177387</v>
      </c>
      <c r="W432" s="3" t="s">
        <v>56</v>
      </c>
      <c r="X432" s="3" t="s">
        <v>101</v>
      </c>
      <c r="Y432" s="3">
        <f t="shared" si="81"/>
        <v>6</v>
      </c>
      <c r="Z432" s="3" t="str">
        <f t="shared" si="82"/>
        <v>Premium</v>
      </c>
      <c r="AA432" s="3">
        <v>2</v>
      </c>
      <c r="AB432" s="3" t="str">
        <f t="shared" si="83"/>
        <v>Average</v>
      </c>
      <c r="AC432" s="3" t="str">
        <f t="shared" si="84"/>
        <v>November</v>
      </c>
      <c r="AD432" s="3" t="str">
        <f t="shared" si="85"/>
        <v>Q4</v>
      </c>
      <c r="AE432" s="3">
        <f t="shared" si="86"/>
        <v>2026</v>
      </c>
      <c r="AF432" s="3" t="str">
        <f t="shared" si="87"/>
        <v>Monday</v>
      </c>
      <c r="AG432" s="3" t="str">
        <f t="shared" si="88"/>
        <v>36-45</v>
      </c>
      <c r="AH432" s="3" t="str">
        <f t="shared" si="89"/>
        <v>Large</v>
      </c>
      <c r="AI432" s="3" t="str">
        <f t="shared" si="90"/>
        <v>Medium</v>
      </c>
      <c r="AJ432" s="3" t="str" cm="1">
        <f t="array" ref="AJ432">_xlfn.IFS(S432&gt;=80000,"VIP",S432&gt;=40000,"Gold",S432&gt;=15000,"Silver",TRUE,"Bronze")</f>
        <v>VIP</v>
      </c>
    </row>
    <row r="433" spans="1:36" x14ac:dyDescent="0.3">
      <c r="A433" s="3" t="s">
        <v>1141</v>
      </c>
      <c r="B433" s="15">
        <v>46113</v>
      </c>
      <c r="C433" s="15">
        <v>46116</v>
      </c>
      <c r="D433" s="3" t="s">
        <v>1142</v>
      </c>
      <c r="E433" s="3" t="s">
        <v>365</v>
      </c>
      <c r="F433" s="3" t="s">
        <v>52</v>
      </c>
      <c r="G433" s="3">
        <v>49</v>
      </c>
      <c r="H433" s="3" t="s">
        <v>78</v>
      </c>
      <c r="I433" s="3" t="s">
        <v>79</v>
      </c>
      <c r="J433" s="3" t="s">
        <v>80</v>
      </c>
      <c r="K433" s="3" t="s">
        <v>43</v>
      </c>
      <c r="L433" s="3" t="s">
        <v>44</v>
      </c>
      <c r="M433" s="3" t="s">
        <v>45</v>
      </c>
      <c r="N433" s="3" t="s">
        <v>46</v>
      </c>
      <c r="O433" s="3" t="s">
        <v>47</v>
      </c>
      <c r="P433" s="3">
        <v>1</v>
      </c>
      <c r="Q433" s="9">
        <v>28500</v>
      </c>
      <c r="R433" s="6">
        <v>0.1</v>
      </c>
      <c r="S433" s="12">
        <f t="shared" si="78"/>
        <v>25650</v>
      </c>
      <c r="T433" s="12">
        <v>22000</v>
      </c>
      <c r="U433" s="9">
        <f t="shared" si="79"/>
        <v>3650</v>
      </c>
      <c r="V433" s="6">
        <f t="shared" si="80"/>
        <v>0.14230019493177387</v>
      </c>
      <c r="W433" s="3" t="s">
        <v>100</v>
      </c>
      <c r="X433" s="3" t="s">
        <v>74</v>
      </c>
      <c r="Y433" s="3">
        <f t="shared" si="81"/>
        <v>3</v>
      </c>
      <c r="Z433" s="3" t="str">
        <f t="shared" si="82"/>
        <v>Regular</v>
      </c>
      <c r="AA433" s="3">
        <v>2</v>
      </c>
      <c r="AB433" s="3" t="str">
        <f t="shared" si="83"/>
        <v>Average</v>
      </c>
      <c r="AC433" s="3" t="str">
        <f t="shared" si="84"/>
        <v>April</v>
      </c>
      <c r="AD433" s="3" t="str">
        <f t="shared" si="85"/>
        <v>Q2</v>
      </c>
      <c r="AE433" s="3">
        <f t="shared" si="86"/>
        <v>2026</v>
      </c>
      <c r="AF433" s="3" t="str">
        <f t="shared" si="87"/>
        <v>Wednesday</v>
      </c>
      <c r="AG433" s="3" t="str">
        <f t="shared" si="88"/>
        <v>46+</v>
      </c>
      <c r="AH433" s="3" t="str">
        <f t="shared" si="89"/>
        <v>Medium</v>
      </c>
      <c r="AI433" s="3" t="str">
        <f t="shared" si="90"/>
        <v>Medium</v>
      </c>
      <c r="AJ433" s="3" t="str" cm="1">
        <f t="array" ref="AJ433">_xlfn.IFS(S433&gt;=80000,"VIP",S433&gt;=40000,"Gold",S433&gt;=15000,"Silver",TRUE,"Bronze")</f>
        <v>Silver</v>
      </c>
    </row>
    <row r="434" spans="1:36" x14ac:dyDescent="0.3">
      <c r="A434" s="3" t="s">
        <v>1143</v>
      </c>
      <c r="B434" s="15">
        <v>46278</v>
      </c>
      <c r="C434" s="15">
        <v>46281</v>
      </c>
      <c r="D434" s="3" t="s">
        <v>1144</v>
      </c>
      <c r="E434" s="3" t="s">
        <v>393</v>
      </c>
      <c r="F434" s="3" t="s">
        <v>39</v>
      </c>
      <c r="G434" s="3">
        <v>28</v>
      </c>
      <c r="H434" s="3" t="s">
        <v>68</v>
      </c>
      <c r="I434" s="3" t="s">
        <v>68</v>
      </c>
      <c r="J434" s="3" t="s">
        <v>69</v>
      </c>
      <c r="K434" s="3" t="s">
        <v>96</v>
      </c>
      <c r="L434" s="3" t="s">
        <v>166</v>
      </c>
      <c r="M434" s="3" t="s">
        <v>97</v>
      </c>
      <c r="N434" s="3" t="s">
        <v>98</v>
      </c>
      <c r="O434" s="3" t="s">
        <v>99</v>
      </c>
      <c r="P434" s="3">
        <v>1</v>
      </c>
      <c r="Q434" s="9">
        <v>4500</v>
      </c>
      <c r="R434" s="6">
        <v>0.12</v>
      </c>
      <c r="S434" s="12">
        <f t="shared" si="78"/>
        <v>3960</v>
      </c>
      <c r="T434" s="12">
        <v>3000</v>
      </c>
      <c r="U434" s="9">
        <f t="shared" si="79"/>
        <v>960</v>
      </c>
      <c r="V434" s="6">
        <f t="shared" si="80"/>
        <v>0.24242424242424243</v>
      </c>
      <c r="W434" s="3" t="s">
        <v>65</v>
      </c>
      <c r="X434" s="3" t="s">
        <v>106</v>
      </c>
      <c r="Y434" s="3">
        <f t="shared" si="81"/>
        <v>3</v>
      </c>
      <c r="Z434" s="3" t="str">
        <f t="shared" si="82"/>
        <v>Regular</v>
      </c>
      <c r="AA434" s="3">
        <v>5</v>
      </c>
      <c r="AB434" s="3" t="str">
        <f t="shared" si="83"/>
        <v>Excellent</v>
      </c>
      <c r="AC434" s="3" t="str">
        <f t="shared" si="84"/>
        <v>September</v>
      </c>
      <c r="AD434" s="3" t="str">
        <f t="shared" si="85"/>
        <v>Q3</v>
      </c>
      <c r="AE434" s="3">
        <f t="shared" si="86"/>
        <v>2026</v>
      </c>
      <c r="AF434" s="3" t="str">
        <f t="shared" si="87"/>
        <v>Sunday</v>
      </c>
      <c r="AG434" s="3" t="str">
        <f t="shared" si="88"/>
        <v>26-35</v>
      </c>
      <c r="AH434" s="3" t="str">
        <f t="shared" si="89"/>
        <v>Small</v>
      </c>
      <c r="AI434" s="3" t="str">
        <f t="shared" si="90"/>
        <v>Medium</v>
      </c>
      <c r="AJ434" s="3" t="str" cm="1">
        <f t="array" ref="AJ434">_xlfn.IFS(S434&gt;=80000,"VIP",S434&gt;=40000,"Gold",S434&gt;=15000,"Silver",TRUE,"Bronze")</f>
        <v>Bronze</v>
      </c>
    </row>
    <row r="435" spans="1:36" x14ac:dyDescent="0.3">
      <c r="A435" s="3" t="s">
        <v>1145</v>
      </c>
      <c r="B435" s="15">
        <v>46074</v>
      </c>
      <c r="C435" s="15">
        <v>46080</v>
      </c>
      <c r="D435" s="3" t="s">
        <v>1146</v>
      </c>
      <c r="E435" s="3" t="s">
        <v>38</v>
      </c>
      <c r="F435" s="3" t="s">
        <v>52</v>
      </c>
      <c r="G435" s="3">
        <v>48</v>
      </c>
      <c r="H435" s="3" t="s">
        <v>68</v>
      </c>
      <c r="I435" s="3" t="s">
        <v>68</v>
      </c>
      <c r="J435" s="3" t="s">
        <v>69</v>
      </c>
      <c r="K435" s="3" t="s">
        <v>81</v>
      </c>
      <c r="L435" s="3" t="s">
        <v>82</v>
      </c>
      <c r="M435" s="3" t="s">
        <v>45</v>
      </c>
      <c r="N435" s="3" t="s">
        <v>83</v>
      </c>
      <c r="O435" s="3" t="s">
        <v>84</v>
      </c>
      <c r="P435" s="3">
        <v>4</v>
      </c>
      <c r="Q435" s="9">
        <v>42000</v>
      </c>
      <c r="R435" s="6">
        <v>0.1</v>
      </c>
      <c r="S435" s="12">
        <f t="shared" si="78"/>
        <v>151200</v>
      </c>
      <c r="T435" s="12">
        <v>35000</v>
      </c>
      <c r="U435" s="9">
        <f t="shared" si="79"/>
        <v>11200</v>
      </c>
      <c r="V435" s="6">
        <f t="shared" si="80"/>
        <v>7.407407407407407E-2</v>
      </c>
      <c r="W435" s="3" t="s">
        <v>92</v>
      </c>
      <c r="X435" s="3" t="s">
        <v>49</v>
      </c>
      <c r="Y435" s="3">
        <f t="shared" si="81"/>
        <v>6</v>
      </c>
      <c r="Z435" s="3" t="str">
        <f t="shared" si="82"/>
        <v>Premium</v>
      </c>
      <c r="AA435" s="3">
        <v>3</v>
      </c>
      <c r="AB435" s="3" t="str">
        <f t="shared" si="83"/>
        <v>Average</v>
      </c>
      <c r="AC435" s="3" t="str">
        <f t="shared" si="84"/>
        <v>February</v>
      </c>
      <c r="AD435" s="3" t="str">
        <f t="shared" si="85"/>
        <v>Q1</v>
      </c>
      <c r="AE435" s="3">
        <f t="shared" si="86"/>
        <v>2026</v>
      </c>
      <c r="AF435" s="3" t="str">
        <f t="shared" si="87"/>
        <v>Saturday</v>
      </c>
      <c r="AG435" s="3" t="str">
        <f t="shared" si="88"/>
        <v>46+</v>
      </c>
      <c r="AH435" s="3" t="str">
        <f t="shared" si="89"/>
        <v>Large</v>
      </c>
      <c r="AI435" s="3" t="str">
        <f t="shared" si="90"/>
        <v>Medium</v>
      </c>
      <c r="AJ435" s="3" t="str" cm="1">
        <f t="array" ref="AJ435">_xlfn.IFS(S435&gt;=80000,"VIP",S435&gt;=40000,"Gold",S435&gt;=15000,"Silver",TRUE,"Bronze")</f>
        <v>VIP</v>
      </c>
    </row>
    <row r="436" spans="1:36" x14ac:dyDescent="0.3">
      <c r="A436" s="3" t="s">
        <v>1147</v>
      </c>
      <c r="B436" s="15">
        <v>46226</v>
      </c>
      <c r="C436" s="15">
        <v>46231</v>
      </c>
      <c r="D436" s="3" t="s">
        <v>1148</v>
      </c>
      <c r="E436" s="3" t="s">
        <v>903</v>
      </c>
      <c r="F436" s="3" t="s">
        <v>52</v>
      </c>
      <c r="G436" s="3">
        <v>49</v>
      </c>
      <c r="H436" s="3" t="s">
        <v>68</v>
      </c>
      <c r="I436" s="3" t="s">
        <v>68</v>
      </c>
      <c r="J436" s="3" t="s">
        <v>69</v>
      </c>
      <c r="K436" s="3" t="s">
        <v>105</v>
      </c>
      <c r="L436" s="3" t="s">
        <v>112</v>
      </c>
      <c r="M436" s="3" t="s">
        <v>113</v>
      </c>
      <c r="N436" s="3" t="s">
        <v>114</v>
      </c>
      <c r="O436" s="3" t="s">
        <v>115</v>
      </c>
      <c r="P436" s="3">
        <v>3</v>
      </c>
      <c r="Q436" s="9">
        <v>3500</v>
      </c>
      <c r="R436" s="6">
        <v>0.15</v>
      </c>
      <c r="S436" s="12">
        <f t="shared" si="78"/>
        <v>8925</v>
      </c>
      <c r="T436" s="12">
        <v>2500</v>
      </c>
      <c r="U436" s="9">
        <f t="shared" si="79"/>
        <v>1425</v>
      </c>
      <c r="V436" s="6">
        <f t="shared" si="80"/>
        <v>0.15966386554621848</v>
      </c>
      <c r="W436" s="3" t="s">
        <v>56</v>
      </c>
      <c r="X436" s="3" t="s">
        <v>106</v>
      </c>
      <c r="Y436" s="3">
        <f t="shared" si="81"/>
        <v>5</v>
      </c>
      <c r="Z436" s="3" t="str">
        <f t="shared" si="82"/>
        <v>Regular</v>
      </c>
      <c r="AA436" s="3">
        <v>4</v>
      </c>
      <c r="AB436" s="3" t="str">
        <f t="shared" si="83"/>
        <v>Excellent</v>
      </c>
      <c r="AC436" s="3" t="str">
        <f t="shared" si="84"/>
        <v>July</v>
      </c>
      <c r="AD436" s="3" t="str">
        <f t="shared" si="85"/>
        <v>Q3</v>
      </c>
      <c r="AE436" s="3">
        <f t="shared" si="86"/>
        <v>2026</v>
      </c>
      <c r="AF436" s="3" t="str">
        <f t="shared" si="87"/>
        <v>Thursday</v>
      </c>
      <c r="AG436" s="3" t="str">
        <f t="shared" si="88"/>
        <v>46+</v>
      </c>
      <c r="AH436" s="3" t="str">
        <f t="shared" si="89"/>
        <v>Small</v>
      </c>
      <c r="AI436" s="3" t="str">
        <f t="shared" si="90"/>
        <v>Medium</v>
      </c>
      <c r="AJ436" s="3" t="str" cm="1">
        <f t="array" ref="AJ436">_xlfn.IFS(S436&gt;=80000,"VIP",S436&gt;=40000,"Gold",S436&gt;=15000,"Silver",TRUE,"Bronze")</f>
        <v>Bronze</v>
      </c>
    </row>
    <row r="437" spans="1:36" x14ac:dyDescent="0.3">
      <c r="A437" s="3" t="s">
        <v>1149</v>
      </c>
      <c r="B437" s="15">
        <v>46308</v>
      </c>
      <c r="C437" s="15">
        <v>46313</v>
      </c>
      <c r="D437" s="3" t="s">
        <v>1150</v>
      </c>
      <c r="E437" s="3" t="s">
        <v>1151</v>
      </c>
      <c r="F437" s="3" t="s">
        <v>39</v>
      </c>
      <c r="G437" s="3">
        <v>50</v>
      </c>
      <c r="H437" s="3" t="s">
        <v>60</v>
      </c>
      <c r="I437" s="3" t="s">
        <v>61</v>
      </c>
      <c r="J437" s="3" t="s">
        <v>42</v>
      </c>
      <c r="K437" s="3" t="s">
        <v>62</v>
      </c>
      <c r="L437" s="3" t="s">
        <v>163</v>
      </c>
      <c r="M437" s="3" t="s">
        <v>45</v>
      </c>
      <c r="N437" s="3" t="s">
        <v>63</v>
      </c>
      <c r="O437" s="3" t="s">
        <v>64</v>
      </c>
      <c r="P437" s="3">
        <v>3</v>
      </c>
      <c r="Q437" s="9">
        <v>62000</v>
      </c>
      <c r="R437" s="6">
        <v>0.08</v>
      </c>
      <c r="S437" s="12">
        <f t="shared" si="78"/>
        <v>171120</v>
      </c>
      <c r="T437" s="12">
        <v>52000</v>
      </c>
      <c r="U437" s="9">
        <f t="shared" si="79"/>
        <v>15120</v>
      </c>
      <c r="V437" s="6">
        <f t="shared" si="80"/>
        <v>8.8359046283309955E-2</v>
      </c>
      <c r="W437" s="3" t="s">
        <v>48</v>
      </c>
      <c r="X437" s="3" t="s">
        <v>49</v>
      </c>
      <c r="Y437" s="3">
        <f t="shared" si="81"/>
        <v>5</v>
      </c>
      <c r="Z437" s="3" t="str">
        <f t="shared" si="82"/>
        <v>Premium</v>
      </c>
      <c r="AA437" s="3">
        <v>2</v>
      </c>
      <c r="AB437" s="3" t="str">
        <f t="shared" si="83"/>
        <v>Average</v>
      </c>
      <c r="AC437" s="3" t="str">
        <f t="shared" si="84"/>
        <v>October</v>
      </c>
      <c r="AD437" s="3" t="str">
        <f t="shared" si="85"/>
        <v>Q4</v>
      </c>
      <c r="AE437" s="3">
        <f t="shared" si="86"/>
        <v>2026</v>
      </c>
      <c r="AF437" s="3" t="str">
        <f t="shared" si="87"/>
        <v>Tuesday</v>
      </c>
      <c r="AG437" s="3" t="str">
        <f t="shared" si="88"/>
        <v>46+</v>
      </c>
      <c r="AH437" s="3" t="str">
        <f t="shared" si="89"/>
        <v>Large</v>
      </c>
      <c r="AI437" s="3" t="str">
        <f t="shared" si="90"/>
        <v>Medium</v>
      </c>
      <c r="AJ437" s="3" t="str" cm="1">
        <f t="array" ref="AJ437">_xlfn.IFS(S437&gt;=80000,"VIP",S437&gt;=40000,"Gold",S437&gt;=15000,"Silver",TRUE,"Bronze")</f>
        <v>VIP</v>
      </c>
    </row>
    <row r="438" spans="1:36" x14ac:dyDescent="0.3">
      <c r="A438" s="3" t="s">
        <v>1152</v>
      </c>
      <c r="B438" s="15">
        <v>46110</v>
      </c>
      <c r="C438" s="15">
        <v>46115</v>
      </c>
      <c r="D438" s="3" t="s">
        <v>1153</v>
      </c>
      <c r="E438" s="3" t="s">
        <v>177</v>
      </c>
      <c r="F438" s="3" t="s">
        <v>52</v>
      </c>
      <c r="G438" s="3">
        <v>45</v>
      </c>
      <c r="H438" s="3" t="s">
        <v>78</v>
      </c>
      <c r="I438" s="3" t="s">
        <v>79</v>
      </c>
      <c r="J438" s="3" t="s">
        <v>80</v>
      </c>
      <c r="K438" s="3" t="s">
        <v>96</v>
      </c>
      <c r="L438" s="3" t="s">
        <v>166</v>
      </c>
      <c r="M438" s="3" t="s">
        <v>97</v>
      </c>
      <c r="N438" s="3" t="s">
        <v>98</v>
      </c>
      <c r="O438" s="3" t="s">
        <v>99</v>
      </c>
      <c r="P438" s="3">
        <v>5</v>
      </c>
      <c r="Q438" s="9">
        <v>4500</v>
      </c>
      <c r="R438" s="6">
        <v>0.1</v>
      </c>
      <c r="S438" s="12">
        <f t="shared" si="78"/>
        <v>20250</v>
      </c>
      <c r="T438" s="12">
        <v>3000</v>
      </c>
      <c r="U438" s="9">
        <f t="shared" si="79"/>
        <v>5250</v>
      </c>
      <c r="V438" s="6">
        <f t="shared" si="80"/>
        <v>0.25925925925925924</v>
      </c>
      <c r="W438" s="3" t="s">
        <v>65</v>
      </c>
      <c r="X438" s="3" t="s">
        <v>106</v>
      </c>
      <c r="Y438" s="3">
        <f t="shared" si="81"/>
        <v>5</v>
      </c>
      <c r="Z438" s="3" t="str">
        <f t="shared" si="82"/>
        <v>Regular</v>
      </c>
      <c r="AA438" s="3">
        <v>5</v>
      </c>
      <c r="AB438" s="3" t="str">
        <f t="shared" si="83"/>
        <v>Excellent</v>
      </c>
      <c r="AC438" s="3" t="str">
        <f t="shared" si="84"/>
        <v>March</v>
      </c>
      <c r="AD438" s="3" t="str">
        <f t="shared" si="85"/>
        <v>Q1</v>
      </c>
      <c r="AE438" s="3">
        <f t="shared" si="86"/>
        <v>2026</v>
      </c>
      <c r="AF438" s="3" t="str">
        <f t="shared" si="87"/>
        <v>Sunday</v>
      </c>
      <c r="AG438" s="3" t="str">
        <f t="shared" si="88"/>
        <v>36-45</v>
      </c>
      <c r="AH438" s="3" t="str">
        <f t="shared" si="89"/>
        <v>Medium</v>
      </c>
      <c r="AI438" s="3" t="str">
        <f t="shared" si="90"/>
        <v>Medium</v>
      </c>
      <c r="AJ438" s="3" t="str" cm="1">
        <f t="array" ref="AJ438">_xlfn.IFS(S438&gt;=80000,"VIP",S438&gt;=40000,"Gold",S438&gt;=15000,"Silver",TRUE,"Bronze")</f>
        <v>Silver</v>
      </c>
    </row>
    <row r="439" spans="1:36" x14ac:dyDescent="0.3">
      <c r="A439" s="3" t="s">
        <v>1154</v>
      </c>
      <c r="B439" s="15">
        <v>46178</v>
      </c>
      <c r="C439" s="15">
        <v>46182</v>
      </c>
      <c r="D439" s="3" t="s">
        <v>1155</v>
      </c>
      <c r="E439" s="3" t="s">
        <v>320</v>
      </c>
      <c r="F439" s="3" t="s">
        <v>52</v>
      </c>
      <c r="G439" s="3">
        <v>20</v>
      </c>
      <c r="H439" s="3" t="s">
        <v>88</v>
      </c>
      <c r="I439" s="3" t="s">
        <v>89</v>
      </c>
      <c r="J439" s="3" t="s">
        <v>80</v>
      </c>
      <c r="K439" s="3" t="s">
        <v>105</v>
      </c>
      <c r="L439" s="3" t="s">
        <v>112</v>
      </c>
      <c r="M439" s="3" t="s">
        <v>113</v>
      </c>
      <c r="N439" s="3" t="s">
        <v>114</v>
      </c>
      <c r="O439" s="3" t="s">
        <v>115</v>
      </c>
      <c r="P439" s="3">
        <v>5</v>
      </c>
      <c r="Q439" s="9">
        <v>3500</v>
      </c>
      <c r="R439" s="6">
        <v>0.15</v>
      </c>
      <c r="S439" s="12">
        <f t="shared" si="78"/>
        <v>14875</v>
      </c>
      <c r="T439" s="12">
        <v>2500</v>
      </c>
      <c r="U439" s="9">
        <f t="shared" si="79"/>
        <v>2375</v>
      </c>
      <c r="V439" s="6">
        <f t="shared" si="80"/>
        <v>0.15966386554621848</v>
      </c>
      <c r="W439" s="3" t="s">
        <v>48</v>
      </c>
      <c r="X439" s="3" t="s">
        <v>101</v>
      </c>
      <c r="Y439" s="3">
        <f t="shared" si="81"/>
        <v>4</v>
      </c>
      <c r="Z439" s="3" t="str">
        <f t="shared" si="82"/>
        <v>Regular</v>
      </c>
      <c r="AA439" s="3">
        <v>3</v>
      </c>
      <c r="AB439" s="3" t="str">
        <f t="shared" si="83"/>
        <v>Average</v>
      </c>
      <c r="AC439" s="3" t="str">
        <f t="shared" si="84"/>
        <v>June</v>
      </c>
      <c r="AD439" s="3" t="str">
        <f t="shared" si="85"/>
        <v>Q2</v>
      </c>
      <c r="AE439" s="3">
        <f t="shared" si="86"/>
        <v>2026</v>
      </c>
      <c r="AF439" s="3" t="str">
        <f t="shared" si="87"/>
        <v>Friday</v>
      </c>
      <c r="AG439" s="3" t="str">
        <f t="shared" si="88"/>
        <v>18-25</v>
      </c>
      <c r="AH439" s="3" t="str">
        <f t="shared" si="89"/>
        <v>Medium</v>
      </c>
      <c r="AI439" s="3" t="str">
        <f t="shared" si="90"/>
        <v>Medium</v>
      </c>
      <c r="AJ439" s="3" t="str" cm="1">
        <f t="array" ref="AJ439">_xlfn.IFS(S439&gt;=80000,"VIP",S439&gt;=40000,"Gold",S439&gt;=15000,"Silver",TRUE,"Bronze")</f>
        <v>Bronze</v>
      </c>
    </row>
    <row r="440" spans="1:36" x14ac:dyDescent="0.3">
      <c r="A440" s="3" t="s">
        <v>1156</v>
      </c>
      <c r="B440" s="15">
        <v>46105</v>
      </c>
      <c r="C440" s="15">
        <v>46107</v>
      </c>
      <c r="D440" s="3" t="s">
        <v>1157</v>
      </c>
      <c r="E440" s="3" t="s">
        <v>109</v>
      </c>
      <c r="F440" s="3" t="s">
        <v>39</v>
      </c>
      <c r="G440" s="3">
        <v>32</v>
      </c>
      <c r="H440" s="3" t="s">
        <v>78</v>
      </c>
      <c r="I440" s="3" t="s">
        <v>79</v>
      </c>
      <c r="J440" s="3" t="s">
        <v>80</v>
      </c>
      <c r="K440" s="3" t="s">
        <v>54</v>
      </c>
      <c r="L440" s="3" t="s">
        <v>173</v>
      </c>
      <c r="M440" s="3" t="s">
        <v>45</v>
      </c>
      <c r="N440" s="3" t="s">
        <v>46</v>
      </c>
      <c r="O440" s="3" t="s">
        <v>55</v>
      </c>
      <c r="P440" s="3">
        <v>1</v>
      </c>
      <c r="Q440" s="9">
        <v>79900</v>
      </c>
      <c r="R440" s="6">
        <v>0.2</v>
      </c>
      <c r="S440" s="12">
        <f t="shared" si="78"/>
        <v>63920</v>
      </c>
      <c r="T440" s="12">
        <v>65000</v>
      </c>
      <c r="U440" s="9">
        <f t="shared" si="79"/>
        <v>-1080</v>
      </c>
      <c r="V440" s="6">
        <f t="shared" si="80"/>
        <v>-1.6896120150187734E-2</v>
      </c>
      <c r="W440" s="3" t="s">
        <v>73</v>
      </c>
      <c r="X440" s="3" t="s">
        <v>49</v>
      </c>
      <c r="Y440" s="3">
        <f t="shared" si="81"/>
        <v>2</v>
      </c>
      <c r="Z440" s="3" t="str">
        <f t="shared" si="82"/>
        <v>Premium</v>
      </c>
      <c r="AA440" s="3">
        <v>3</v>
      </c>
      <c r="AB440" s="3" t="str">
        <f t="shared" si="83"/>
        <v>Average</v>
      </c>
      <c r="AC440" s="3" t="str">
        <f t="shared" si="84"/>
        <v>March</v>
      </c>
      <c r="AD440" s="3" t="str">
        <f t="shared" si="85"/>
        <v>Q1</v>
      </c>
      <c r="AE440" s="3">
        <f t="shared" si="86"/>
        <v>2026</v>
      </c>
      <c r="AF440" s="3" t="str">
        <f t="shared" si="87"/>
        <v>Tuesday</v>
      </c>
      <c r="AG440" s="3" t="str">
        <f t="shared" si="88"/>
        <v>26-35</v>
      </c>
      <c r="AH440" s="3" t="str">
        <f t="shared" si="89"/>
        <v>Large</v>
      </c>
      <c r="AI440" s="3" t="str">
        <f t="shared" si="90"/>
        <v>High</v>
      </c>
      <c r="AJ440" s="3" t="str" cm="1">
        <f t="array" ref="AJ440">_xlfn.IFS(S440&gt;=80000,"VIP",S440&gt;=40000,"Gold",S440&gt;=15000,"Silver",TRUE,"Bronze")</f>
        <v>Gold</v>
      </c>
    </row>
    <row r="441" spans="1:36" x14ac:dyDescent="0.3">
      <c r="A441" s="3" t="s">
        <v>1158</v>
      </c>
      <c r="B441" s="15">
        <v>46080</v>
      </c>
      <c r="C441" s="15">
        <v>46086</v>
      </c>
      <c r="D441" s="3" t="s">
        <v>1159</v>
      </c>
      <c r="E441" s="3" t="s">
        <v>596</v>
      </c>
      <c r="F441" s="3" t="s">
        <v>39</v>
      </c>
      <c r="G441" s="3">
        <v>31</v>
      </c>
      <c r="H441" s="3" t="s">
        <v>40</v>
      </c>
      <c r="I441" s="3" t="s">
        <v>41</v>
      </c>
      <c r="J441" s="3" t="s">
        <v>42</v>
      </c>
      <c r="K441" s="3" t="s">
        <v>70</v>
      </c>
      <c r="L441" s="3" t="s">
        <v>71</v>
      </c>
      <c r="M441" s="3" t="s">
        <v>45</v>
      </c>
      <c r="N441" s="3" t="s">
        <v>63</v>
      </c>
      <c r="O441" s="3" t="s">
        <v>72</v>
      </c>
      <c r="P441" s="3">
        <v>5</v>
      </c>
      <c r="Q441" s="9">
        <v>58000</v>
      </c>
      <c r="R441" s="6">
        <v>0.12</v>
      </c>
      <c r="S441" s="12">
        <f t="shared" si="78"/>
        <v>255200</v>
      </c>
      <c r="T441" s="12">
        <v>49000</v>
      </c>
      <c r="U441" s="9">
        <f t="shared" si="79"/>
        <v>10200</v>
      </c>
      <c r="V441" s="6">
        <f t="shared" si="80"/>
        <v>3.9968652037617555E-2</v>
      </c>
      <c r="W441" s="3" t="s">
        <v>92</v>
      </c>
      <c r="X441" s="3" t="s">
        <v>106</v>
      </c>
      <c r="Y441" s="3">
        <f t="shared" si="81"/>
        <v>6</v>
      </c>
      <c r="Z441" s="3" t="str">
        <f t="shared" si="82"/>
        <v>Premium</v>
      </c>
      <c r="AA441" s="3">
        <v>4</v>
      </c>
      <c r="AB441" s="3" t="str">
        <f t="shared" si="83"/>
        <v>Excellent</v>
      </c>
      <c r="AC441" s="3" t="str">
        <f t="shared" si="84"/>
        <v>February</v>
      </c>
      <c r="AD441" s="3" t="str">
        <f t="shared" si="85"/>
        <v>Q1</v>
      </c>
      <c r="AE441" s="3">
        <f t="shared" si="86"/>
        <v>2026</v>
      </c>
      <c r="AF441" s="3" t="str">
        <f t="shared" si="87"/>
        <v>Friday</v>
      </c>
      <c r="AG441" s="3" t="str">
        <f t="shared" si="88"/>
        <v>26-35</v>
      </c>
      <c r="AH441" s="3" t="str">
        <f t="shared" si="89"/>
        <v>Large</v>
      </c>
      <c r="AI441" s="3" t="str">
        <f t="shared" si="90"/>
        <v>Medium</v>
      </c>
      <c r="AJ441" s="3" t="str" cm="1">
        <f t="array" ref="AJ441">_xlfn.IFS(S441&gt;=80000,"VIP",S441&gt;=40000,"Gold",S441&gt;=15000,"Silver",TRUE,"Bronze")</f>
        <v>VIP</v>
      </c>
    </row>
    <row r="442" spans="1:36" x14ac:dyDescent="0.3">
      <c r="A442" s="3" t="s">
        <v>1160</v>
      </c>
      <c r="B442" s="15">
        <v>46278</v>
      </c>
      <c r="C442" s="15">
        <v>46281</v>
      </c>
      <c r="D442" s="3" t="s">
        <v>1161</v>
      </c>
      <c r="E442" s="3" t="s">
        <v>144</v>
      </c>
      <c r="F442" s="3" t="s">
        <v>39</v>
      </c>
      <c r="G442" s="3">
        <v>37</v>
      </c>
      <c r="H442" s="3" t="s">
        <v>40</v>
      </c>
      <c r="I442" s="3" t="s">
        <v>41</v>
      </c>
      <c r="J442" s="3" t="s">
        <v>42</v>
      </c>
      <c r="K442" s="3" t="s">
        <v>105</v>
      </c>
      <c r="L442" s="3" t="s">
        <v>112</v>
      </c>
      <c r="M442" s="3" t="s">
        <v>113</v>
      </c>
      <c r="N442" s="3" t="s">
        <v>114</v>
      </c>
      <c r="O442" s="3" t="s">
        <v>115</v>
      </c>
      <c r="P442" s="3">
        <v>5</v>
      </c>
      <c r="Q442" s="9">
        <v>3500</v>
      </c>
      <c r="R442" s="6">
        <v>0.12</v>
      </c>
      <c r="S442" s="12">
        <f t="shared" si="78"/>
        <v>15400</v>
      </c>
      <c r="T442" s="12">
        <v>2500</v>
      </c>
      <c r="U442" s="9">
        <f t="shared" si="79"/>
        <v>2900</v>
      </c>
      <c r="V442" s="6">
        <f t="shared" si="80"/>
        <v>0.18831168831168832</v>
      </c>
      <c r="W442" s="3" t="s">
        <v>73</v>
      </c>
      <c r="X442" s="3" t="s">
        <v>106</v>
      </c>
      <c r="Y442" s="3">
        <f t="shared" si="81"/>
        <v>3</v>
      </c>
      <c r="Z442" s="3" t="str">
        <f t="shared" si="82"/>
        <v>Regular</v>
      </c>
      <c r="AA442" s="3">
        <v>2</v>
      </c>
      <c r="AB442" s="3" t="str">
        <f t="shared" si="83"/>
        <v>Average</v>
      </c>
      <c r="AC442" s="3" t="str">
        <f t="shared" si="84"/>
        <v>September</v>
      </c>
      <c r="AD442" s="3" t="str">
        <f t="shared" si="85"/>
        <v>Q3</v>
      </c>
      <c r="AE442" s="3">
        <f t="shared" si="86"/>
        <v>2026</v>
      </c>
      <c r="AF442" s="3" t="str">
        <f t="shared" si="87"/>
        <v>Sunday</v>
      </c>
      <c r="AG442" s="3" t="str">
        <f t="shared" si="88"/>
        <v>36-45</v>
      </c>
      <c r="AH442" s="3" t="str">
        <f t="shared" si="89"/>
        <v>Medium</v>
      </c>
      <c r="AI442" s="3" t="str">
        <f t="shared" si="90"/>
        <v>Medium</v>
      </c>
      <c r="AJ442" s="3" t="str" cm="1">
        <f t="array" ref="AJ442">_xlfn.IFS(S442&gt;=80000,"VIP",S442&gt;=40000,"Gold",S442&gt;=15000,"Silver",TRUE,"Bronze")</f>
        <v>Silver</v>
      </c>
    </row>
    <row r="443" spans="1:36" x14ac:dyDescent="0.3">
      <c r="A443" s="3" t="s">
        <v>1162</v>
      </c>
      <c r="B443" s="15">
        <v>46381</v>
      </c>
      <c r="C443" s="15">
        <v>46383</v>
      </c>
      <c r="D443" s="3" t="s">
        <v>1163</v>
      </c>
      <c r="E443" s="3" t="s">
        <v>503</v>
      </c>
      <c r="F443" s="3" t="s">
        <v>39</v>
      </c>
      <c r="G443" s="3">
        <v>37</v>
      </c>
      <c r="H443" s="3" t="s">
        <v>78</v>
      </c>
      <c r="I443" s="3" t="s">
        <v>79</v>
      </c>
      <c r="J443" s="3" t="s">
        <v>80</v>
      </c>
      <c r="K443" s="3" t="s">
        <v>90</v>
      </c>
      <c r="L443" s="3" t="s">
        <v>122</v>
      </c>
      <c r="M443" s="3" t="s">
        <v>45</v>
      </c>
      <c r="N443" s="3" t="s">
        <v>91</v>
      </c>
      <c r="O443" s="3" t="s">
        <v>123</v>
      </c>
      <c r="P443" s="3">
        <v>2</v>
      </c>
      <c r="Q443" s="9">
        <v>2500</v>
      </c>
      <c r="R443" s="6">
        <v>0.15</v>
      </c>
      <c r="S443" s="12">
        <f t="shared" si="78"/>
        <v>4250</v>
      </c>
      <c r="T443" s="12">
        <v>1700</v>
      </c>
      <c r="U443" s="9">
        <f t="shared" si="79"/>
        <v>850</v>
      </c>
      <c r="V443" s="6">
        <f t="shared" si="80"/>
        <v>0.2</v>
      </c>
      <c r="W443" s="3" t="s">
        <v>65</v>
      </c>
      <c r="X443" s="3" t="s">
        <v>106</v>
      </c>
      <c r="Y443" s="3">
        <f t="shared" si="81"/>
        <v>2</v>
      </c>
      <c r="Z443" s="3" t="str">
        <f t="shared" si="82"/>
        <v>Regular</v>
      </c>
      <c r="AA443" s="3">
        <v>4</v>
      </c>
      <c r="AB443" s="3" t="str">
        <f t="shared" si="83"/>
        <v>Excellent</v>
      </c>
      <c r="AC443" s="3" t="str">
        <f t="shared" si="84"/>
        <v>December</v>
      </c>
      <c r="AD443" s="3" t="str">
        <f t="shared" si="85"/>
        <v>Q4</v>
      </c>
      <c r="AE443" s="3">
        <f t="shared" si="86"/>
        <v>2026</v>
      </c>
      <c r="AF443" s="3" t="str">
        <f t="shared" si="87"/>
        <v>Friday</v>
      </c>
      <c r="AG443" s="3" t="str">
        <f t="shared" si="88"/>
        <v>36-45</v>
      </c>
      <c r="AH443" s="3" t="str">
        <f t="shared" si="89"/>
        <v>Small</v>
      </c>
      <c r="AI443" s="3" t="str">
        <f t="shared" si="90"/>
        <v>Medium</v>
      </c>
      <c r="AJ443" s="3" t="str" cm="1">
        <f t="array" ref="AJ443">_xlfn.IFS(S443&gt;=80000,"VIP",S443&gt;=40000,"Gold",S443&gt;=15000,"Silver",TRUE,"Bronze")</f>
        <v>Bronze</v>
      </c>
    </row>
    <row r="444" spans="1:36" x14ac:dyDescent="0.3">
      <c r="A444" s="3" t="s">
        <v>1164</v>
      </c>
      <c r="B444" s="15">
        <v>46291</v>
      </c>
      <c r="C444" s="15">
        <v>46296</v>
      </c>
      <c r="D444" s="3" t="s">
        <v>1165</v>
      </c>
      <c r="E444" s="3" t="s">
        <v>242</v>
      </c>
      <c r="F444" s="3" t="s">
        <v>39</v>
      </c>
      <c r="G444" s="3">
        <v>48</v>
      </c>
      <c r="H444" s="3" t="s">
        <v>88</v>
      </c>
      <c r="I444" s="3" t="s">
        <v>89</v>
      </c>
      <c r="J444" s="3" t="s">
        <v>80</v>
      </c>
      <c r="K444" s="3" t="s">
        <v>81</v>
      </c>
      <c r="L444" s="3" t="s">
        <v>82</v>
      </c>
      <c r="M444" s="3" t="s">
        <v>45</v>
      </c>
      <c r="N444" s="3" t="s">
        <v>83</v>
      </c>
      <c r="O444" s="3" t="s">
        <v>84</v>
      </c>
      <c r="P444" s="3">
        <v>2</v>
      </c>
      <c r="Q444" s="9">
        <v>42000</v>
      </c>
      <c r="R444" s="6">
        <v>0.1</v>
      </c>
      <c r="S444" s="12">
        <f t="shared" si="78"/>
        <v>75600</v>
      </c>
      <c r="T444" s="12">
        <v>35000</v>
      </c>
      <c r="U444" s="9">
        <f t="shared" si="79"/>
        <v>5600</v>
      </c>
      <c r="V444" s="6">
        <f t="shared" si="80"/>
        <v>7.407407407407407E-2</v>
      </c>
      <c r="W444" s="3" t="s">
        <v>73</v>
      </c>
      <c r="X444" s="3" t="s">
        <v>106</v>
      </c>
      <c r="Y444" s="3">
        <f t="shared" si="81"/>
        <v>5</v>
      </c>
      <c r="Z444" s="3" t="str">
        <f t="shared" si="82"/>
        <v>Premium</v>
      </c>
      <c r="AA444" s="3">
        <v>4</v>
      </c>
      <c r="AB444" s="3" t="str">
        <f t="shared" si="83"/>
        <v>Excellent</v>
      </c>
      <c r="AC444" s="3" t="str">
        <f t="shared" si="84"/>
        <v>September</v>
      </c>
      <c r="AD444" s="3" t="str">
        <f t="shared" si="85"/>
        <v>Q3</v>
      </c>
      <c r="AE444" s="3">
        <f t="shared" si="86"/>
        <v>2026</v>
      </c>
      <c r="AF444" s="3" t="str">
        <f t="shared" si="87"/>
        <v>Saturday</v>
      </c>
      <c r="AG444" s="3" t="str">
        <f t="shared" si="88"/>
        <v>46+</v>
      </c>
      <c r="AH444" s="3" t="str">
        <f t="shared" si="89"/>
        <v>Large</v>
      </c>
      <c r="AI444" s="3" t="str">
        <f t="shared" si="90"/>
        <v>Medium</v>
      </c>
      <c r="AJ444" s="3" t="str" cm="1">
        <f t="array" ref="AJ444">_xlfn.IFS(S444&gt;=80000,"VIP",S444&gt;=40000,"Gold",S444&gt;=15000,"Silver",TRUE,"Bronze")</f>
        <v>Gold</v>
      </c>
    </row>
    <row r="445" spans="1:36" x14ac:dyDescent="0.3">
      <c r="A445" s="3" t="s">
        <v>1166</v>
      </c>
      <c r="B445" s="15">
        <v>46283</v>
      </c>
      <c r="C445" s="15">
        <v>46289</v>
      </c>
      <c r="D445" s="3" t="s">
        <v>1167</v>
      </c>
      <c r="E445" s="3" t="s">
        <v>311</v>
      </c>
      <c r="F445" s="3" t="s">
        <v>52</v>
      </c>
      <c r="G445" s="3">
        <v>32</v>
      </c>
      <c r="H445" s="3" t="s">
        <v>88</v>
      </c>
      <c r="I445" s="3" t="s">
        <v>89</v>
      </c>
      <c r="J445" s="3" t="s">
        <v>80</v>
      </c>
      <c r="K445" s="3" t="s">
        <v>90</v>
      </c>
      <c r="L445" s="3" t="s">
        <v>122</v>
      </c>
      <c r="M445" s="3" t="s">
        <v>45</v>
      </c>
      <c r="N445" s="3" t="s">
        <v>91</v>
      </c>
      <c r="O445" s="3" t="s">
        <v>123</v>
      </c>
      <c r="P445" s="3">
        <v>1</v>
      </c>
      <c r="Q445" s="9">
        <v>2500</v>
      </c>
      <c r="R445" s="6">
        <v>0.2</v>
      </c>
      <c r="S445" s="12">
        <f t="shared" si="78"/>
        <v>2000</v>
      </c>
      <c r="T445" s="12">
        <v>1700</v>
      </c>
      <c r="U445" s="9">
        <f t="shared" si="79"/>
        <v>300</v>
      </c>
      <c r="V445" s="6">
        <f t="shared" si="80"/>
        <v>0.15</v>
      </c>
      <c r="W445" s="3" t="s">
        <v>100</v>
      </c>
      <c r="X445" s="3" t="s">
        <v>101</v>
      </c>
      <c r="Y445" s="3">
        <f t="shared" si="81"/>
        <v>6</v>
      </c>
      <c r="Z445" s="3" t="str">
        <f t="shared" si="82"/>
        <v>Regular</v>
      </c>
      <c r="AA445" s="3">
        <v>5</v>
      </c>
      <c r="AB445" s="3" t="str">
        <f t="shared" si="83"/>
        <v>Excellent</v>
      </c>
      <c r="AC445" s="3" t="str">
        <f t="shared" si="84"/>
        <v>September</v>
      </c>
      <c r="AD445" s="3" t="str">
        <f t="shared" si="85"/>
        <v>Q3</v>
      </c>
      <c r="AE445" s="3">
        <f t="shared" si="86"/>
        <v>2026</v>
      </c>
      <c r="AF445" s="3" t="str">
        <f t="shared" si="87"/>
        <v>Friday</v>
      </c>
      <c r="AG445" s="3" t="str">
        <f t="shared" si="88"/>
        <v>26-35</v>
      </c>
      <c r="AH445" s="3" t="str">
        <f t="shared" si="89"/>
        <v>Small</v>
      </c>
      <c r="AI445" s="3" t="str">
        <f t="shared" si="90"/>
        <v>High</v>
      </c>
      <c r="AJ445" s="3" t="str" cm="1">
        <f t="array" ref="AJ445">_xlfn.IFS(S445&gt;=80000,"VIP",S445&gt;=40000,"Gold",S445&gt;=15000,"Silver",TRUE,"Bronze")</f>
        <v>Bronze</v>
      </c>
    </row>
    <row r="446" spans="1:36" x14ac:dyDescent="0.3">
      <c r="A446" s="3" t="s">
        <v>1168</v>
      </c>
      <c r="B446" s="15">
        <v>46086</v>
      </c>
      <c r="C446" s="15">
        <v>46089</v>
      </c>
      <c r="D446" s="3" t="s">
        <v>1169</v>
      </c>
      <c r="E446" s="3" t="s">
        <v>469</v>
      </c>
      <c r="F446" s="3" t="s">
        <v>39</v>
      </c>
      <c r="G446" s="3">
        <v>20</v>
      </c>
      <c r="H446" s="3" t="s">
        <v>110</v>
      </c>
      <c r="I446" s="3" t="s">
        <v>111</v>
      </c>
      <c r="J446" s="3" t="s">
        <v>80</v>
      </c>
      <c r="K446" s="3" t="s">
        <v>81</v>
      </c>
      <c r="L446" s="3" t="s">
        <v>82</v>
      </c>
      <c r="M446" s="3" t="s">
        <v>45</v>
      </c>
      <c r="N446" s="3" t="s">
        <v>83</v>
      </c>
      <c r="O446" s="3" t="s">
        <v>84</v>
      </c>
      <c r="P446" s="3">
        <v>4</v>
      </c>
      <c r="Q446" s="9">
        <v>42000</v>
      </c>
      <c r="R446" s="6">
        <v>0.1</v>
      </c>
      <c r="S446" s="12">
        <f t="shared" si="78"/>
        <v>151200</v>
      </c>
      <c r="T446" s="12">
        <v>35000</v>
      </c>
      <c r="U446" s="9">
        <f t="shared" si="79"/>
        <v>11200</v>
      </c>
      <c r="V446" s="6">
        <f t="shared" si="80"/>
        <v>7.407407407407407E-2</v>
      </c>
      <c r="W446" s="3" t="s">
        <v>73</v>
      </c>
      <c r="X446" s="3" t="s">
        <v>49</v>
      </c>
      <c r="Y446" s="3">
        <f t="shared" si="81"/>
        <v>3</v>
      </c>
      <c r="Z446" s="3" t="str">
        <f t="shared" si="82"/>
        <v>Premium</v>
      </c>
      <c r="AA446" s="3">
        <v>4</v>
      </c>
      <c r="AB446" s="3" t="str">
        <f t="shared" si="83"/>
        <v>Excellent</v>
      </c>
      <c r="AC446" s="3" t="str">
        <f t="shared" si="84"/>
        <v>March</v>
      </c>
      <c r="AD446" s="3" t="str">
        <f t="shared" si="85"/>
        <v>Q1</v>
      </c>
      <c r="AE446" s="3">
        <f t="shared" si="86"/>
        <v>2026</v>
      </c>
      <c r="AF446" s="3" t="str">
        <f t="shared" si="87"/>
        <v>Thursday</v>
      </c>
      <c r="AG446" s="3" t="str">
        <f t="shared" si="88"/>
        <v>18-25</v>
      </c>
      <c r="AH446" s="3" t="str">
        <f t="shared" si="89"/>
        <v>Large</v>
      </c>
      <c r="AI446" s="3" t="str">
        <f t="shared" si="90"/>
        <v>Medium</v>
      </c>
      <c r="AJ446" s="3" t="str" cm="1">
        <f t="array" ref="AJ446">_xlfn.IFS(S446&gt;=80000,"VIP",S446&gt;=40000,"Gold",S446&gt;=15000,"Silver",TRUE,"Bronze")</f>
        <v>VIP</v>
      </c>
    </row>
    <row r="447" spans="1:36" x14ac:dyDescent="0.3">
      <c r="A447" s="3" t="s">
        <v>1170</v>
      </c>
      <c r="B447" s="15">
        <v>46233</v>
      </c>
      <c r="C447" s="15">
        <v>46239</v>
      </c>
      <c r="D447" s="3" t="s">
        <v>1171</v>
      </c>
      <c r="E447" s="3" t="s">
        <v>624</v>
      </c>
      <c r="F447" s="3" t="s">
        <v>39</v>
      </c>
      <c r="G447" s="3">
        <v>32</v>
      </c>
      <c r="H447" s="3" t="s">
        <v>68</v>
      </c>
      <c r="I447" s="3" t="s">
        <v>68</v>
      </c>
      <c r="J447" s="3" t="s">
        <v>69</v>
      </c>
      <c r="K447" s="3" t="s">
        <v>81</v>
      </c>
      <c r="L447" s="3" t="s">
        <v>82</v>
      </c>
      <c r="M447" s="3" t="s">
        <v>45</v>
      </c>
      <c r="N447" s="3" t="s">
        <v>83</v>
      </c>
      <c r="O447" s="3" t="s">
        <v>84</v>
      </c>
      <c r="P447" s="3">
        <v>2</v>
      </c>
      <c r="Q447" s="9">
        <v>42000</v>
      </c>
      <c r="R447" s="6">
        <v>0.05</v>
      </c>
      <c r="S447" s="12">
        <f t="shared" si="78"/>
        <v>79800</v>
      </c>
      <c r="T447" s="12">
        <v>35000</v>
      </c>
      <c r="U447" s="9">
        <f t="shared" si="79"/>
        <v>9800</v>
      </c>
      <c r="V447" s="6">
        <f t="shared" si="80"/>
        <v>0.12280701754385964</v>
      </c>
      <c r="W447" s="3" t="s">
        <v>56</v>
      </c>
      <c r="X447" s="3" t="s">
        <v>49</v>
      </c>
      <c r="Y447" s="3">
        <f t="shared" si="81"/>
        <v>6</v>
      </c>
      <c r="Z447" s="3" t="str">
        <f t="shared" si="82"/>
        <v>Premium</v>
      </c>
      <c r="AA447" s="3">
        <v>5</v>
      </c>
      <c r="AB447" s="3" t="str">
        <f t="shared" si="83"/>
        <v>Excellent</v>
      </c>
      <c r="AC447" s="3" t="str">
        <f t="shared" si="84"/>
        <v>July</v>
      </c>
      <c r="AD447" s="3" t="str">
        <f t="shared" si="85"/>
        <v>Q3</v>
      </c>
      <c r="AE447" s="3">
        <f t="shared" si="86"/>
        <v>2026</v>
      </c>
      <c r="AF447" s="3" t="str">
        <f t="shared" si="87"/>
        <v>Thursday</v>
      </c>
      <c r="AG447" s="3" t="str">
        <f t="shared" si="88"/>
        <v>26-35</v>
      </c>
      <c r="AH447" s="3" t="str">
        <f t="shared" si="89"/>
        <v>Large</v>
      </c>
      <c r="AI447" s="3" t="str">
        <f t="shared" si="90"/>
        <v>Low</v>
      </c>
      <c r="AJ447" s="3" t="str" cm="1">
        <f t="array" ref="AJ447">_xlfn.IFS(S447&gt;=80000,"VIP",S447&gt;=40000,"Gold",S447&gt;=15000,"Silver",TRUE,"Bronze")</f>
        <v>Gold</v>
      </c>
    </row>
    <row r="448" spans="1:36" x14ac:dyDescent="0.3">
      <c r="A448" s="3" t="s">
        <v>1172</v>
      </c>
      <c r="B448" s="15">
        <v>46290</v>
      </c>
      <c r="C448" s="15">
        <v>46295</v>
      </c>
      <c r="D448" s="3" t="s">
        <v>1173</v>
      </c>
      <c r="E448" s="3" t="s">
        <v>509</v>
      </c>
      <c r="F448" s="3" t="s">
        <v>39</v>
      </c>
      <c r="G448" s="3">
        <v>34</v>
      </c>
      <c r="H448" s="3" t="s">
        <v>53</v>
      </c>
      <c r="I448" s="3" t="s">
        <v>41</v>
      </c>
      <c r="J448" s="3" t="s">
        <v>42</v>
      </c>
      <c r="K448" s="3" t="s">
        <v>43</v>
      </c>
      <c r="L448" s="3" t="s">
        <v>44</v>
      </c>
      <c r="M448" s="3" t="s">
        <v>45</v>
      </c>
      <c r="N448" s="3" t="s">
        <v>46</v>
      </c>
      <c r="O448" s="3" t="s">
        <v>47</v>
      </c>
      <c r="P448" s="3">
        <v>1</v>
      </c>
      <c r="Q448" s="9">
        <v>28500</v>
      </c>
      <c r="R448" s="6">
        <v>0.08</v>
      </c>
      <c r="S448" s="12">
        <f t="shared" si="78"/>
        <v>26220</v>
      </c>
      <c r="T448" s="12">
        <v>22000</v>
      </c>
      <c r="U448" s="9">
        <f t="shared" si="79"/>
        <v>4220</v>
      </c>
      <c r="V448" s="6">
        <f t="shared" si="80"/>
        <v>0.16094584286803967</v>
      </c>
      <c r="W448" s="3" t="s">
        <v>65</v>
      </c>
      <c r="X448" s="3" t="s">
        <v>49</v>
      </c>
      <c r="Y448" s="3">
        <f t="shared" si="81"/>
        <v>5</v>
      </c>
      <c r="Z448" s="3" t="str">
        <f t="shared" si="82"/>
        <v>Regular</v>
      </c>
      <c r="AA448" s="3">
        <v>5</v>
      </c>
      <c r="AB448" s="3" t="str">
        <f t="shared" si="83"/>
        <v>Excellent</v>
      </c>
      <c r="AC448" s="3" t="str">
        <f t="shared" si="84"/>
        <v>September</v>
      </c>
      <c r="AD448" s="3" t="str">
        <f t="shared" si="85"/>
        <v>Q3</v>
      </c>
      <c r="AE448" s="3">
        <f t="shared" si="86"/>
        <v>2026</v>
      </c>
      <c r="AF448" s="3" t="str">
        <f t="shared" si="87"/>
        <v>Friday</v>
      </c>
      <c r="AG448" s="3" t="str">
        <f t="shared" si="88"/>
        <v>26-35</v>
      </c>
      <c r="AH448" s="3" t="str">
        <f t="shared" si="89"/>
        <v>Medium</v>
      </c>
      <c r="AI448" s="3" t="str">
        <f t="shared" si="90"/>
        <v>Medium</v>
      </c>
      <c r="AJ448" s="3" t="str" cm="1">
        <f t="array" ref="AJ448">_xlfn.IFS(S448&gt;=80000,"VIP",S448&gt;=40000,"Gold",S448&gt;=15000,"Silver",TRUE,"Bronze")</f>
        <v>Silver</v>
      </c>
    </row>
    <row r="449" spans="1:36" x14ac:dyDescent="0.3">
      <c r="A449" s="3" t="s">
        <v>1174</v>
      </c>
      <c r="B449" s="15">
        <v>46326</v>
      </c>
      <c r="C449" s="15">
        <v>46332</v>
      </c>
      <c r="D449" s="3" t="s">
        <v>1175</v>
      </c>
      <c r="E449" s="3" t="s">
        <v>191</v>
      </c>
      <c r="F449" s="3" t="s">
        <v>39</v>
      </c>
      <c r="G449" s="3">
        <v>33</v>
      </c>
      <c r="H449" s="3" t="s">
        <v>60</v>
      </c>
      <c r="I449" s="3" t="s">
        <v>61</v>
      </c>
      <c r="J449" s="3" t="s">
        <v>42</v>
      </c>
      <c r="K449" s="3" t="s">
        <v>43</v>
      </c>
      <c r="L449" s="3" t="s">
        <v>44</v>
      </c>
      <c r="M449" s="3" t="s">
        <v>45</v>
      </c>
      <c r="N449" s="3" t="s">
        <v>46</v>
      </c>
      <c r="O449" s="3" t="s">
        <v>47</v>
      </c>
      <c r="P449" s="3">
        <v>4</v>
      </c>
      <c r="Q449" s="9">
        <v>28500</v>
      </c>
      <c r="R449" s="6">
        <v>0.12</v>
      </c>
      <c r="S449" s="12">
        <f t="shared" si="78"/>
        <v>100320</v>
      </c>
      <c r="T449" s="12">
        <v>22000</v>
      </c>
      <c r="U449" s="9">
        <f t="shared" si="79"/>
        <v>12320</v>
      </c>
      <c r="V449" s="6">
        <f t="shared" si="80"/>
        <v>0.12280701754385964</v>
      </c>
      <c r="W449" s="3" t="s">
        <v>56</v>
      </c>
      <c r="X449" s="3" t="s">
        <v>106</v>
      </c>
      <c r="Y449" s="3">
        <f t="shared" si="81"/>
        <v>6</v>
      </c>
      <c r="Z449" s="3" t="str">
        <f t="shared" si="82"/>
        <v>Premium</v>
      </c>
      <c r="AA449" s="3">
        <v>5</v>
      </c>
      <c r="AB449" s="3" t="str">
        <f t="shared" si="83"/>
        <v>Excellent</v>
      </c>
      <c r="AC449" s="3" t="str">
        <f t="shared" si="84"/>
        <v>October</v>
      </c>
      <c r="AD449" s="3" t="str">
        <f t="shared" si="85"/>
        <v>Q4</v>
      </c>
      <c r="AE449" s="3">
        <f t="shared" si="86"/>
        <v>2026</v>
      </c>
      <c r="AF449" s="3" t="str">
        <f t="shared" si="87"/>
        <v>Saturday</v>
      </c>
      <c r="AG449" s="3" t="str">
        <f t="shared" si="88"/>
        <v>26-35</v>
      </c>
      <c r="AH449" s="3" t="str">
        <f t="shared" si="89"/>
        <v>Large</v>
      </c>
      <c r="AI449" s="3" t="str">
        <f t="shared" si="90"/>
        <v>Medium</v>
      </c>
      <c r="AJ449" s="3" t="str" cm="1">
        <f t="array" ref="AJ449">_xlfn.IFS(S449&gt;=80000,"VIP",S449&gt;=40000,"Gold",S449&gt;=15000,"Silver",TRUE,"Bronze")</f>
        <v>VIP</v>
      </c>
    </row>
    <row r="450" spans="1:36" x14ac:dyDescent="0.3">
      <c r="A450" s="3" t="s">
        <v>1176</v>
      </c>
      <c r="B450" s="15">
        <v>46031</v>
      </c>
      <c r="C450" s="15">
        <v>46037</v>
      </c>
      <c r="D450" s="3" t="s">
        <v>1177</v>
      </c>
      <c r="E450" s="3" t="s">
        <v>421</v>
      </c>
      <c r="F450" s="3" t="s">
        <v>39</v>
      </c>
      <c r="G450" s="3">
        <v>32</v>
      </c>
      <c r="H450" s="3" t="s">
        <v>53</v>
      </c>
      <c r="I450" s="3" t="s">
        <v>41</v>
      </c>
      <c r="J450" s="3" t="s">
        <v>42</v>
      </c>
      <c r="K450" s="3" t="s">
        <v>90</v>
      </c>
      <c r="L450" s="3" t="s">
        <v>122</v>
      </c>
      <c r="M450" s="3" t="s">
        <v>45</v>
      </c>
      <c r="N450" s="3" t="s">
        <v>91</v>
      </c>
      <c r="O450" s="3" t="s">
        <v>123</v>
      </c>
      <c r="P450" s="3">
        <v>5</v>
      </c>
      <c r="Q450" s="9">
        <v>2500</v>
      </c>
      <c r="R450" s="6">
        <v>0.15</v>
      </c>
      <c r="S450" s="12">
        <f t="shared" ref="S450:S501" si="91">P450*Q450*(1-R450)</f>
        <v>10625</v>
      </c>
      <c r="T450" s="12">
        <v>1700</v>
      </c>
      <c r="U450" s="9">
        <f t="shared" ref="U450:U501" si="92">S450-(T450*P450)</f>
        <v>2125</v>
      </c>
      <c r="V450" s="6">
        <f t="shared" ref="V450:V501" si="93">U450/S450</f>
        <v>0.2</v>
      </c>
      <c r="W450" s="3" t="s">
        <v>56</v>
      </c>
      <c r="X450" s="3" t="s">
        <v>49</v>
      </c>
      <c r="Y450" s="3">
        <f t="shared" ref="Y450:Y501" si="94">C450-B450</f>
        <v>6</v>
      </c>
      <c r="Z450" s="3" t="str">
        <f t="shared" ref="Z450:Z501" si="95">IF(S450&gt;=50000,"Premium","Regular")</f>
        <v>Regular</v>
      </c>
      <c r="AA450" s="3">
        <v>5</v>
      </c>
      <c r="AB450" s="3" t="str">
        <f t="shared" ref="AB450:AB501" si="96">IF(AA450&gt;=4,"Excellent","Average")</f>
        <v>Excellent</v>
      </c>
      <c r="AC450" s="3" t="str">
        <f t="shared" ref="AC450:AC501" si="97">TEXT(B450,"mmmm")</f>
        <v>January</v>
      </c>
      <c r="AD450" s="3" t="str">
        <f t="shared" ref="AD450:AD501" si="98">"Q"&amp;ROUNDUP(MONTH(B450)/3,0)</f>
        <v>Q1</v>
      </c>
      <c r="AE450" s="3">
        <f t="shared" ref="AE450:AE501" si="99">YEAR(B450)</f>
        <v>2026</v>
      </c>
      <c r="AF450" s="3" t="str">
        <f t="shared" ref="AF450:AF501" si="100">TEXT(B450,"dddd")</f>
        <v>Friday</v>
      </c>
      <c r="AG450" s="3" t="str">
        <f t="shared" ref="AG450:AG501" si="101">IF(G450&lt;=25,"18-25",IF(G450&lt;=35,"26-35",IF(G450&lt;=45,"36-45","46+")))</f>
        <v>26-35</v>
      </c>
      <c r="AH450" s="3" t="str">
        <f t="shared" ref="AH450:AH501" si="102">IF(S450&lt;10000,"Small",IF(S450&lt;30000,"Medium","Large"))</f>
        <v>Medium</v>
      </c>
      <c r="AI450" s="3" t="str">
        <f t="shared" ref="AI450:AI501" si="103">IF(R450&lt;=5%,"Low",IF(R450&lt;=15%,"Medium","High"))</f>
        <v>Medium</v>
      </c>
      <c r="AJ450" s="3" t="str" cm="1">
        <f t="array" ref="AJ450">_xlfn.IFS(S450&gt;=80000,"VIP",S450&gt;=40000,"Gold",S450&gt;=15000,"Silver",TRUE,"Bronze")</f>
        <v>Bronze</v>
      </c>
    </row>
    <row r="451" spans="1:36" x14ac:dyDescent="0.3">
      <c r="A451" s="3" t="s">
        <v>1178</v>
      </c>
      <c r="B451" s="15">
        <v>46237</v>
      </c>
      <c r="C451" s="15">
        <v>46242</v>
      </c>
      <c r="D451" s="3" t="s">
        <v>1179</v>
      </c>
      <c r="E451" s="3" t="s">
        <v>180</v>
      </c>
      <c r="F451" s="3" t="s">
        <v>39</v>
      </c>
      <c r="G451" s="3">
        <v>33</v>
      </c>
      <c r="H451" s="3" t="s">
        <v>53</v>
      </c>
      <c r="I451" s="3" t="s">
        <v>41</v>
      </c>
      <c r="J451" s="3" t="s">
        <v>42</v>
      </c>
      <c r="K451" s="3" t="s">
        <v>96</v>
      </c>
      <c r="L451" s="3" t="s">
        <v>166</v>
      </c>
      <c r="M451" s="3" t="s">
        <v>97</v>
      </c>
      <c r="N451" s="3" t="s">
        <v>98</v>
      </c>
      <c r="O451" s="3" t="s">
        <v>99</v>
      </c>
      <c r="P451" s="3">
        <v>2</v>
      </c>
      <c r="Q451" s="9">
        <v>4500</v>
      </c>
      <c r="R451" s="6">
        <v>0.15</v>
      </c>
      <c r="S451" s="12">
        <f t="shared" si="91"/>
        <v>7650</v>
      </c>
      <c r="T451" s="12">
        <v>3000</v>
      </c>
      <c r="U451" s="9">
        <f t="shared" si="92"/>
        <v>1650</v>
      </c>
      <c r="V451" s="6">
        <f t="shared" si="93"/>
        <v>0.21568627450980393</v>
      </c>
      <c r="W451" s="3" t="s">
        <v>56</v>
      </c>
      <c r="X451" s="3" t="s">
        <v>106</v>
      </c>
      <c r="Y451" s="3">
        <f t="shared" si="94"/>
        <v>5</v>
      </c>
      <c r="Z451" s="3" t="str">
        <f t="shared" si="95"/>
        <v>Regular</v>
      </c>
      <c r="AA451" s="3">
        <v>4</v>
      </c>
      <c r="AB451" s="3" t="str">
        <f t="shared" si="96"/>
        <v>Excellent</v>
      </c>
      <c r="AC451" s="3" t="str">
        <f t="shared" si="97"/>
        <v>August</v>
      </c>
      <c r="AD451" s="3" t="str">
        <f t="shared" si="98"/>
        <v>Q3</v>
      </c>
      <c r="AE451" s="3">
        <f t="shared" si="99"/>
        <v>2026</v>
      </c>
      <c r="AF451" s="3" t="str">
        <f t="shared" si="100"/>
        <v>Monday</v>
      </c>
      <c r="AG451" s="3" t="str">
        <f t="shared" si="101"/>
        <v>26-35</v>
      </c>
      <c r="AH451" s="3" t="str">
        <f t="shared" si="102"/>
        <v>Small</v>
      </c>
      <c r="AI451" s="3" t="str">
        <f t="shared" si="103"/>
        <v>Medium</v>
      </c>
      <c r="AJ451" s="3" t="str" cm="1">
        <f t="array" ref="AJ451">_xlfn.IFS(S451&gt;=80000,"VIP",S451&gt;=40000,"Gold",S451&gt;=15000,"Silver",TRUE,"Bronze")</f>
        <v>Bronze</v>
      </c>
    </row>
    <row r="452" spans="1:36" x14ac:dyDescent="0.3">
      <c r="A452" s="3" t="s">
        <v>1180</v>
      </c>
      <c r="B452" s="15">
        <v>46222</v>
      </c>
      <c r="C452" s="15">
        <v>46228</v>
      </c>
      <c r="D452" s="3" t="s">
        <v>1181</v>
      </c>
      <c r="E452" s="3" t="s">
        <v>365</v>
      </c>
      <c r="F452" s="3" t="s">
        <v>39</v>
      </c>
      <c r="G452" s="3">
        <v>45</v>
      </c>
      <c r="H452" s="3" t="s">
        <v>40</v>
      </c>
      <c r="I452" s="3" t="s">
        <v>41</v>
      </c>
      <c r="J452" s="3" t="s">
        <v>42</v>
      </c>
      <c r="K452" s="3" t="s">
        <v>105</v>
      </c>
      <c r="L452" s="3" t="s">
        <v>112</v>
      </c>
      <c r="M452" s="3" t="s">
        <v>113</v>
      </c>
      <c r="N452" s="3" t="s">
        <v>114</v>
      </c>
      <c r="O452" s="3" t="s">
        <v>115</v>
      </c>
      <c r="P452" s="3">
        <v>3</v>
      </c>
      <c r="Q452" s="9">
        <v>3500</v>
      </c>
      <c r="R452" s="6">
        <v>0.08</v>
      </c>
      <c r="S452" s="12">
        <f t="shared" si="91"/>
        <v>9660</v>
      </c>
      <c r="T452" s="12">
        <v>2500</v>
      </c>
      <c r="U452" s="9">
        <f t="shared" si="92"/>
        <v>2160</v>
      </c>
      <c r="V452" s="6">
        <f t="shared" si="93"/>
        <v>0.2236024844720497</v>
      </c>
      <c r="W452" s="3" t="s">
        <v>65</v>
      </c>
      <c r="X452" s="3" t="s">
        <v>101</v>
      </c>
      <c r="Y452" s="3">
        <f t="shared" si="94"/>
        <v>6</v>
      </c>
      <c r="Z452" s="3" t="str">
        <f t="shared" si="95"/>
        <v>Regular</v>
      </c>
      <c r="AA452" s="3">
        <v>5</v>
      </c>
      <c r="AB452" s="3" t="str">
        <f t="shared" si="96"/>
        <v>Excellent</v>
      </c>
      <c r="AC452" s="3" t="str">
        <f t="shared" si="97"/>
        <v>July</v>
      </c>
      <c r="AD452" s="3" t="str">
        <f t="shared" si="98"/>
        <v>Q3</v>
      </c>
      <c r="AE452" s="3">
        <f t="shared" si="99"/>
        <v>2026</v>
      </c>
      <c r="AF452" s="3" t="str">
        <f t="shared" si="100"/>
        <v>Sunday</v>
      </c>
      <c r="AG452" s="3" t="str">
        <f t="shared" si="101"/>
        <v>36-45</v>
      </c>
      <c r="AH452" s="3" t="str">
        <f t="shared" si="102"/>
        <v>Small</v>
      </c>
      <c r="AI452" s="3" t="str">
        <f t="shared" si="103"/>
        <v>Medium</v>
      </c>
      <c r="AJ452" s="3" t="str" cm="1">
        <f t="array" ref="AJ452">_xlfn.IFS(S452&gt;=80000,"VIP",S452&gt;=40000,"Gold",S452&gt;=15000,"Silver",TRUE,"Bronze")</f>
        <v>Bronze</v>
      </c>
    </row>
    <row r="453" spans="1:36" x14ac:dyDescent="0.3">
      <c r="A453" s="3" t="s">
        <v>1182</v>
      </c>
      <c r="B453" s="15">
        <v>46133</v>
      </c>
      <c r="C453" s="15">
        <v>46136</v>
      </c>
      <c r="D453" s="3" t="s">
        <v>1183</v>
      </c>
      <c r="E453" s="3" t="s">
        <v>170</v>
      </c>
      <c r="F453" s="3" t="s">
        <v>52</v>
      </c>
      <c r="G453" s="3">
        <v>32</v>
      </c>
      <c r="H453" s="3" t="s">
        <v>110</v>
      </c>
      <c r="I453" s="3" t="s">
        <v>111</v>
      </c>
      <c r="J453" s="3" t="s">
        <v>80</v>
      </c>
      <c r="K453" s="3" t="s">
        <v>96</v>
      </c>
      <c r="L453" s="3" t="s">
        <v>166</v>
      </c>
      <c r="M453" s="3" t="s">
        <v>97</v>
      </c>
      <c r="N453" s="3" t="s">
        <v>98</v>
      </c>
      <c r="O453" s="3" t="s">
        <v>99</v>
      </c>
      <c r="P453" s="3">
        <v>2</v>
      </c>
      <c r="Q453" s="9">
        <v>4500</v>
      </c>
      <c r="R453" s="6">
        <v>0.15</v>
      </c>
      <c r="S453" s="12">
        <f t="shared" si="91"/>
        <v>7650</v>
      </c>
      <c r="T453" s="12">
        <v>3000</v>
      </c>
      <c r="U453" s="9">
        <f t="shared" si="92"/>
        <v>1650</v>
      </c>
      <c r="V453" s="6">
        <f t="shared" si="93"/>
        <v>0.21568627450980393</v>
      </c>
      <c r="W453" s="3" t="s">
        <v>92</v>
      </c>
      <c r="X453" s="3" t="s">
        <v>106</v>
      </c>
      <c r="Y453" s="3">
        <f t="shared" si="94"/>
        <v>3</v>
      </c>
      <c r="Z453" s="3" t="str">
        <f t="shared" si="95"/>
        <v>Regular</v>
      </c>
      <c r="AA453" s="3">
        <v>3</v>
      </c>
      <c r="AB453" s="3" t="str">
        <f t="shared" si="96"/>
        <v>Average</v>
      </c>
      <c r="AC453" s="3" t="str">
        <f t="shared" si="97"/>
        <v>April</v>
      </c>
      <c r="AD453" s="3" t="str">
        <f t="shared" si="98"/>
        <v>Q2</v>
      </c>
      <c r="AE453" s="3">
        <f t="shared" si="99"/>
        <v>2026</v>
      </c>
      <c r="AF453" s="3" t="str">
        <f t="shared" si="100"/>
        <v>Tuesday</v>
      </c>
      <c r="AG453" s="3" t="str">
        <f t="shared" si="101"/>
        <v>26-35</v>
      </c>
      <c r="AH453" s="3" t="str">
        <f t="shared" si="102"/>
        <v>Small</v>
      </c>
      <c r="AI453" s="3" t="str">
        <f t="shared" si="103"/>
        <v>Medium</v>
      </c>
      <c r="AJ453" s="3" t="str" cm="1">
        <f t="array" ref="AJ453">_xlfn.IFS(S453&gt;=80000,"VIP",S453&gt;=40000,"Gold",S453&gt;=15000,"Silver",TRUE,"Bronze")</f>
        <v>Bronze</v>
      </c>
    </row>
    <row r="454" spans="1:36" x14ac:dyDescent="0.3">
      <c r="A454" s="3" t="s">
        <v>1184</v>
      </c>
      <c r="B454" s="15">
        <v>46362</v>
      </c>
      <c r="C454" s="15">
        <v>46366</v>
      </c>
      <c r="D454" s="3" t="s">
        <v>1185</v>
      </c>
      <c r="E454" s="3" t="s">
        <v>883</v>
      </c>
      <c r="F454" s="3" t="s">
        <v>52</v>
      </c>
      <c r="G454" s="3">
        <v>46</v>
      </c>
      <c r="H454" s="3" t="s">
        <v>88</v>
      </c>
      <c r="I454" s="3" t="s">
        <v>89</v>
      </c>
      <c r="J454" s="3" t="s">
        <v>80</v>
      </c>
      <c r="K454" s="3" t="s">
        <v>90</v>
      </c>
      <c r="L454" s="3" t="s">
        <v>122</v>
      </c>
      <c r="M454" s="3" t="s">
        <v>45</v>
      </c>
      <c r="N454" s="3" t="s">
        <v>91</v>
      </c>
      <c r="O454" s="3" t="s">
        <v>123</v>
      </c>
      <c r="P454" s="3">
        <v>2</v>
      </c>
      <c r="Q454" s="9">
        <v>2500</v>
      </c>
      <c r="R454" s="6">
        <v>0.15</v>
      </c>
      <c r="S454" s="12">
        <f t="shared" si="91"/>
        <v>4250</v>
      </c>
      <c r="T454" s="12">
        <v>1700</v>
      </c>
      <c r="U454" s="9">
        <f t="shared" si="92"/>
        <v>850</v>
      </c>
      <c r="V454" s="6">
        <f t="shared" si="93"/>
        <v>0.2</v>
      </c>
      <c r="W454" s="3" t="s">
        <v>48</v>
      </c>
      <c r="X454" s="3" t="s">
        <v>101</v>
      </c>
      <c r="Y454" s="3">
        <f t="shared" si="94"/>
        <v>4</v>
      </c>
      <c r="Z454" s="3" t="str">
        <f t="shared" si="95"/>
        <v>Regular</v>
      </c>
      <c r="AA454" s="3">
        <v>2</v>
      </c>
      <c r="AB454" s="3" t="str">
        <f t="shared" si="96"/>
        <v>Average</v>
      </c>
      <c r="AC454" s="3" t="str">
        <f t="shared" si="97"/>
        <v>December</v>
      </c>
      <c r="AD454" s="3" t="str">
        <f t="shared" si="98"/>
        <v>Q4</v>
      </c>
      <c r="AE454" s="3">
        <f t="shared" si="99"/>
        <v>2026</v>
      </c>
      <c r="AF454" s="3" t="str">
        <f t="shared" si="100"/>
        <v>Sunday</v>
      </c>
      <c r="AG454" s="3" t="str">
        <f t="shared" si="101"/>
        <v>46+</v>
      </c>
      <c r="AH454" s="3" t="str">
        <f t="shared" si="102"/>
        <v>Small</v>
      </c>
      <c r="AI454" s="3" t="str">
        <f t="shared" si="103"/>
        <v>Medium</v>
      </c>
      <c r="AJ454" s="3" t="str" cm="1">
        <f t="array" ref="AJ454">_xlfn.IFS(S454&gt;=80000,"VIP",S454&gt;=40000,"Gold",S454&gt;=15000,"Silver",TRUE,"Bronze")</f>
        <v>Bronze</v>
      </c>
    </row>
    <row r="455" spans="1:36" x14ac:dyDescent="0.3">
      <c r="A455" s="3" t="s">
        <v>1186</v>
      </c>
      <c r="B455" s="15">
        <v>46342</v>
      </c>
      <c r="C455" s="15">
        <v>46347</v>
      </c>
      <c r="D455" s="3" t="s">
        <v>1187</v>
      </c>
      <c r="E455" s="3" t="s">
        <v>460</v>
      </c>
      <c r="F455" s="3" t="s">
        <v>39</v>
      </c>
      <c r="G455" s="3">
        <v>31</v>
      </c>
      <c r="H455" s="3" t="s">
        <v>78</v>
      </c>
      <c r="I455" s="3" t="s">
        <v>79</v>
      </c>
      <c r="J455" s="3" t="s">
        <v>80</v>
      </c>
      <c r="K455" s="3" t="s">
        <v>105</v>
      </c>
      <c r="L455" s="3" t="s">
        <v>112</v>
      </c>
      <c r="M455" s="3" t="s">
        <v>113</v>
      </c>
      <c r="N455" s="3" t="s">
        <v>114</v>
      </c>
      <c r="O455" s="3" t="s">
        <v>115</v>
      </c>
      <c r="P455" s="3">
        <v>3</v>
      </c>
      <c r="Q455" s="9">
        <v>3500</v>
      </c>
      <c r="R455" s="6">
        <v>0.05</v>
      </c>
      <c r="S455" s="12">
        <f t="shared" si="91"/>
        <v>9975</v>
      </c>
      <c r="T455" s="12">
        <v>2500</v>
      </c>
      <c r="U455" s="9">
        <f t="shared" si="92"/>
        <v>2475</v>
      </c>
      <c r="V455" s="6">
        <f t="shared" si="93"/>
        <v>0.24812030075187969</v>
      </c>
      <c r="W455" s="3" t="s">
        <v>73</v>
      </c>
      <c r="X455" s="3" t="s">
        <v>49</v>
      </c>
      <c r="Y455" s="3">
        <f t="shared" si="94"/>
        <v>5</v>
      </c>
      <c r="Z455" s="3" t="str">
        <f t="shared" si="95"/>
        <v>Regular</v>
      </c>
      <c r="AA455" s="3">
        <v>5</v>
      </c>
      <c r="AB455" s="3" t="str">
        <f t="shared" si="96"/>
        <v>Excellent</v>
      </c>
      <c r="AC455" s="3" t="str">
        <f t="shared" si="97"/>
        <v>November</v>
      </c>
      <c r="AD455" s="3" t="str">
        <f t="shared" si="98"/>
        <v>Q4</v>
      </c>
      <c r="AE455" s="3">
        <f t="shared" si="99"/>
        <v>2026</v>
      </c>
      <c r="AF455" s="3" t="str">
        <f t="shared" si="100"/>
        <v>Monday</v>
      </c>
      <c r="AG455" s="3" t="str">
        <f t="shared" si="101"/>
        <v>26-35</v>
      </c>
      <c r="AH455" s="3" t="str">
        <f t="shared" si="102"/>
        <v>Small</v>
      </c>
      <c r="AI455" s="3" t="str">
        <f t="shared" si="103"/>
        <v>Low</v>
      </c>
      <c r="AJ455" s="3" t="str" cm="1">
        <f t="array" ref="AJ455">_xlfn.IFS(S455&gt;=80000,"VIP",S455&gt;=40000,"Gold",S455&gt;=15000,"Silver",TRUE,"Bronze")</f>
        <v>Bronze</v>
      </c>
    </row>
    <row r="456" spans="1:36" x14ac:dyDescent="0.3">
      <c r="A456" s="3" t="s">
        <v>1188</v>
      </c>
      <c r="B456" s="15">
        <v>46307</v>
      </c>
      <c r="C456" s="15">
        <v>46312</v>
      </c>
      <c r="D456" s="3" t="s">
        <v>1189</v>
      </c>
      <c r="E456" s="3" t="s">
        <v>227</v>
      </c>
      <c r="F456" s="3" t="s">
        <v>39</v>
      </c>
      <c r="G456" s="3">
        <v>33</v>
      </c>
      <c r="H456" s="3" t="s">
        <v>40</v>
      </c>
      <c r="I456" s="3" t="s">
        <v>41</v>
      </c>
      <c r="J456" s="3" t="s">
        <v>42</v>
      </c>
      <c r="K456" s="3" t="s">
        <v>70</v>
      </c>
      <c r="L456" s="3" t="s">
        <v>71</v>
      </c>
      <c r="M456" s="3" t="s">
        <v>45</v>
      </c>
      <c r="N456" s="3" t="s">
        <v>63</v>
      </c>
      <c r="O456" s="3" t="s">
        <v>72</v>
      </c>
      <c r="P456" s="3">
        <v>1</v>
      </c>
      <c r="Q456" s="9">
        <v>58000</v>
      </c>
      <c r="R456" s="6">
        <v>0.15</v>
      </c>
      <c r="S456" s="12">
        <f t="shared" si="91"/>
        <v>49300</v>
      </c>
      <c r="T456" s="12">
        <v>49000</v>
      </c>
      <c r="U456" s="9">
        <f t="shared" si="92"/>
        <v>300</v>
      </c>
      <c r="V456" s="6">
        <f t="shared" si="93"/>
        <v>6.0851926977687626E-3</v>
      </c>
      <c r="W456" s="3" t="s">
        <v>73</v>
      </c>
      <c r="X456" s="3" t="s">
        <v>49</v>
      </c>
      <c r="Y456" s="3">
        <f t="shared" si="94"/>
        <v>5</v>
      </c>
      <c r="Z456" s="3" t="str">
        <f t="shared" si="95"/>
        <v>Regular</v>
      </c>
      <c r="AA456" s="3">
        <v>3</v>
      </c>
      <c r="AB456" s="3" t="str">
        <f t="shared" si="96"/>
        <v>Average</v>
      </c>
      <c r="AC456" s="3" t="str">
        <f t="shared" si="97"/>
        <v>October</v>
      </c>
      <c r="AD456" s="3" t="str">
        <f t="shared" si="98"/>
        <v>Q4</v>
      </c>
      <c r="AE456" s="3">
        <f t="shared" si="99"/>
        <v>2026</v>
      </c>
      <c r="AF456" s="3" t="str">
        <f t="shared" si="100"/>
        <v>Monday</v>
      </c>
      <c r="AG456" s="3" t="str">
        <f t="shared" si="101"/>
        <v>26-35</v>
      </c>
      <c r="AH456" s="3" t="str">
        <f t="shared" si="102"/>
        <v>Large</v>
      </c>
      <c r="AI456" s="3" t="str">
        <f t="shared" si="103"/>
        <v>Medium</v>
      </c>
      <c r="AJ456" s="3" t="str" cm="1">
        <f t="array" ref="AJ456">_xlfn.IFS(S456&gt;=80000,"VIP",S456&gt;=40000,"Gold",S456&gt;=15000,"Silver",TRUE,"Bronze")</f>
        <v>Gold</v>
      </c>
    </row>
    <row r="457" spans="1:36" x14ac:dyDescent="0.3">
      <c r="A457" s="3" t="s">
        <v>1190</v>
      </c>
      <c r="B457" s="15">
        <v>46222</v>
      </c>
      <c r="C457" s="15">
        <v>46224</v>
      </c>
      <c r="D457" s="3" t="s">
        <v>1191</v>
      </c>
      <c r="E457" s="3" t="s">
        <v>958</v>
      </c>
      <c r="F457" s="3" t="s">
        <v>39</v>
      </c>
      <c r="G457" s="3">
        <v>41</v>
      </c>
      <c r="H457" s="3" t="s">
        <v>110</v>
      </c>
      <c r="I457" s="3" t="s">
        <v>111</v>
      </c>
      <c r="J457" s="3" t="s">
        <v>80</v>
      </c>
      <c r="K457" s="3" t="s">
        <v>105</v>
      </c>
      <c r="L457" s="3" t="s">
        <v>112</v>
      </c>
      <c r="M457" s="3" t="s">
        <v>113</v>
      </c>
      <c r="N457" s="3" t="s">
        <v>114</v>
      </c>
      <c r="O457" s="3" t="s">
        <v>115</v>
      </c>
      <c r="P457" s="3">
        <v>1</v>
      </c>
      <c r="Q457" s="9">
        <v>3500</v>
      </c>
      <c r="R457" s="6">
        <v>0.2</v>
      </c>
      <c r="S457" s="12">
        <f t="shared" si="91"/>
        <v>2800</v>
      </c>
      <c r="T457" s="12">
        <v>2500</v>
      </c>
      <c r="U457" s="9">
        <f t="shared" si="92"/>
        <v>300</v>
      </c>
      <c r="V457" s="6">
        <f t="shared" si="93"/>
        <v>0.10714285714285714</v>
      </c>
      <c r="W457" s="3" t="s">
        <v>92</v>
      </c>
      <c r="X457" s="3" t="s">
        <v>106</v>
      </c>
      <c r="Y457" s="3">
        <f t="shared" si="94"/>
        <v>2</v>
      </c>
      <c r="Z457" s="3" t="str">
        <f t="shared" si="95"/>
        <v>Regular</v>
      </c>
      <c r="AA457" s="3">
        <v>5</v>
      </c>
      <c r="AB457" s="3" t="str">
        <f t="shared" si="96"/>
        <v>Excellent</v>
      </c>
      <c r="AC457" s="3" t="str">
        <f t="shared" si="97"/>
        <v>July</v>
      </c>
      <c r="AD457" s="3" t="str">
        <f t="shared" si="98"/>
        <v>Q3</v>
      </c>
      <c r="AE457" s="3">
        <f t="shared" si="99"/>
        <v>2026</v>
      </c>
      <c r="AF457" s="3" t="str">
        <f t="shared" si="100"/>
        <v>Sunday</v>
      </c>
      <c r="AG457" s="3" t="str">
        <f t="shared" si="101"/>
        <v>36-45</v>
      </c>
      <c r="AH457" s="3" t="str">
        <f t="shared" si="102"/>
        <v>Small</v>
      </c>
      <c r="AI457" s="3" t="str">
        <f t="shared" si="103"/>
        <v>High</v>
      </c>
      <c r="AJ457" s="3" t="str" cm="1">
        <f t="array" ref="AJ457">_xlfn.IFS(S457&gt;=80000,"VIP",S457&gt;=40000,"Gold",S457&gt;=15000,"Silver",TRUE,"Bronze")</f>
        <v>Bronze</v>
      </c>
    </row>
    <row r="458" spans="1:36" x14ac:dyDescent="0.3">
      <c r="A458" s="3" t="s">
        <v>1192</v>
      </c>
      <c r="B458" s="15">
        <v>46284</v>
      </c>
      <c r="C458" s="15">
        <v>46286</v>
      </c>
      <c r="D458" s="3" t="s">
        <v>1193</v>
      </c>
      <c r="E458" s="3" t="s">
        <v>506</v>
      </c>
      <c r="F458" s="3" t="s">
        <v>39</v>
      </c>
      <c r="G458" s="3">
        <v>37</v>
      </c>
      <c r="H458" s="3" t="s">
        <v>53</v>
      </c>
      <c r="I458" s="3" t="s">
        <v>41</v>
      </c>
      <c r="J458" s="3" t="s">
        <v>42</v>
      </c>
      <c r="K458" s="3" t="s">
        <v>62</v>
      </c>
      <c r="L458" s="3" t="s">
        <v>163</v>
      </c>
      <c r="M458" s="3" t="s">
        <v>45</v>
      </c>
      <c r="N458" s="3" t="s">
        <v>63</v>
      </c>
      <c r="O458" s="3" t="s">
        <v>64</v>
      </c>
      <c r="P458" s="3">
        <v>2</v>
      </c>
      <c r="Q458" s="9">
        <v>62000</v>
      </c>
      <c r="R458" s="6">
        <v>0.15</v>
      </c>
      <c r="S458" s="12">
        <f t="shared" si="91"/>
        <v>105400</v>
      </c>
      <c r="T458" s="12">
        <v>52000</v>
      </c>
      <c r="U458" s="9">
        <f t="shared" si="92"/>
        <v>1400</v>
      </c>
      <c r="V458" s="6">
        <f t="shared" si="93"/>
        <v>1.3282732447817837E-2</v>
      </c>
      <c r="W458" s="3" t="s">
        <v>56</v>
      </c>
      <c r="X458" s="3" t="s">
        <v>101</v>
      </c>
      <c r="Y458" s="3">
        <f t="shared" si="94"/>
        <v>2</v>
      </c>
      <c r="Z458" s="3" t="str">
        <f t="shared" si="95"/>
        <v>Premium</v>
      </c>
      <c r="AA458" s="3">
        <v>5</v>
      </c>
      <c r="AB458" s="3" t="str">
        <f t="shared" si="96"/>
        <v>Excellent</v>
      </c>
      <c r="AC458" s="3" t="str">
        <f t="shared" si="97"/>
        <v>September</v>
      </c>
      <c r="AD458" s="3" t="str">
        <f t="shared" si="98"/>
        <v>Q3</v>
      </c>
      <c r="AE458" s="3">
        <f t="shared" si="99"/>
        <v>2026</v>
      </c>
      <c r="AF458" s="3" t="str">
        <f t="shared" si="100"/>
        <v>Saturday</v>
      </c>
      <c r="AG458" s="3" t="str">
        <f t="shared" si="101"/>
        <v>36-45</v>
      </c>
      <c r="AH458" s="3" t="str">
        <f t="shared" si="102"/>
        <v>Large</v>
      </c>
      <c r="AI458" s="3" t="str">
        <f t="shared" si="103"/>
        <v>Medium</v>
      </c>
      <c r="AJ458" s="3" t="str" cm="1">
        <f t="array" ref="AJ458">_xlfn.IFS(S458&gt;=80000,"VIP",S458&gt;=40000,"Gold",S458&gt;=15000,"Silver",TRUE,"Bronze")</f>
        <v>VIP</v>
      </c>
    </row>
    <row r="459" spans="1:36" x14ac:dyDescent="0.3">
      <c r="A459" s="3" t="s">
        <v>1194</v>
      </c>
      <c r="B459" s="15">
        <v>46162</v>
      </c>
      <c r="C459" s="15">
        <v>46166</v>
      </c>
      <c r="D459" s="3" t="s">
        <v>1195</v>
      </c>
      <c r="E459" s="3" t="s">
        <v>658</v>
      </c>
      <c r="F459" s="3" t="s">
        <v>39</v>
      </c>
      <c r="G459" s="3">
        <v>31</v>
      </c>
      <c r="H459" s="3" t="s">
        <v>78</v>
      </c>
      <c r="I459" s="3" t="s">
        <v>79</v>
      </c>
      <c r="J459" s="3" t="s">
        <v>80</v>
      </c>
      <c r="K459" s="3" t="s">
        <v>105</v>
      </c>
      <c r="L459" s="3" t="s">
        <v>112</v>
      </c>
      <c r="M459" s="3" t="s">
        <v>113</v>
      </c>
      <c r="N459" s="3" t="s">
        <v>114</v>
      </c>
      <c r="O459" s="3" t="s">
        <v>115</v>
      </c>
      <c r="P459" s="3">
        <v>4</v>
      </c>
      <c r="Q459" s="9">
        <v>3500</v>
      </c>
      <c r="R459" s="6">
        <v>0.08</v>
      </c>
      <c r="S459" s="12">
        <f t="shared" si="91"/>
        <v>12880</v>
      </c>
      <c r="T459" s="12">
        <v>2500</v>
      </c>
      <c r="U459" s="9">
        <f t="shared" si="92"/>
        <v>2880</v>
      </c>
      <c r="V459" s="6">
        <f t="shared" si="93"/>
        <v>0.2236024844720497</v>
      </c>
      <c r="W459" s="3" t="s">
        <v>73</v>
      </c>
      <c r="X459" s="3" t="s">
        <v>74</v>
      </c>
      <c r="Y459" s="3">
        <f t="shared" si="94"/>
        <v>4</v>
      </c>
      <c r="Z459" s="3" t="str">
        <f t="shared" si="95"/>
        <v>Regular</v>
      </c>
      <c r="AA459" s="3">
        <v>5</v>
      </c>
      <c r="AB459" s="3" t="str">
        <f t="shared" si="96"/>
        <v>Excellent</v>
      </c>
      <c r="AC459" s="3" t="str">
        <f t="shared" si="97"/>
        <v>May</v>
      </c>
      <c r="AD459" s="3" t="str">
        <f t="shared" si="98"/>
        <v>Q2</v>
      </c>
      <c r="AE459" s="3">
        <f t="shared" si="99"/>
        <v>2026</v>
      </c>
      <c r="AF459" s="3" t="str">
        <f t="shared" si="100"/>
        <v>Wednesday</v>
      </c>
      <c r="AG459" s="3" t="str">
        <f t="shared" si="101"/>
        <v>26-35</v>
      </c>
      <c r="AH459" s="3" t="str">
        <f t="shared" si="102"/>
        <v>Medium</v>
      </c>
      <c r="AI459" s="3" t="str">
        <f t="shared" si="103"/>
        <v>Medium</v>
      </c>
      <c r="AJ459" s="3" t="str" cm="1">
        <f t="array" ref="AJ459">_xlfn.IFS(S459&gt;=80000,"VIP",S459&gt;=40000,"Gold",S459&gt;=15000,"Silver",TRUE,"Bronze")</f>
        <v>Bronze</v>
      </c>
    </row>
    <row r="460" spans="1:36" x14ac:dyDescent="0.3">
      <c r="A460" s="3" t="s">
        <v>1196</v>
      </c>
      <c r="B460" s="15">
        <v>46291</v>
      </c>
      <c r="C460" s="15">
        <v>46293</v>
      </c>
      <c r="D460" s="3" t="s">
        <v>1197</v>
      </c>
      <c r="E460" s="3" t="s">
        <v>139</v>
      </c>
      <c r="F460" s="3" t="s">
        <v>52</v>
      </c>
      <c r="G460" s="3">
        <v>48</v>
      </c>
      <c r="H460" s="3" t="s">
        <v>119</v>
      </c>
      <c r="I460" s="3" t="s">
        <v>120</v>
      </c>
      <c r="J460" s="3" t="s">
        <v>121</v>
      </c>
      <c r="K460" s="3" t="s">
        <v>96</v>
      </c>
      <c r="L460" s="3" t="s">
        <v>166</v>
      </c>
      <c r="M460" s="3" t="s">
        <v>97</v>
      </c>
      <c r="N460" s="3" t="s">
        <v>98</v>
      </c>
      <c r="O460" s="3" t="s">
        <v>99</v>
      </c>
      <c r="P460" s="3">
        <v>2</v>
      </c>
      <c r="Q460" s="9">
        <v>4500</v>
      </c>
      <c r="R460" s="6">
        <v>0.15</v>
      </c>
      <c r="S460" s="12">
        <f t="shared" si="91"/>
        <v>7650</v>
      </c>
      <c r="T460" s="12">
        <v>3000</v>
      </c>
      <c r="U460" s="9">
        <f t="shared" si="92"/>
        <v>1650</v>
      </c>
      <c r="V460" s="6">
        <f t="shared" si="93"/>
        <v>0.21568627450980393</v>
      </c>
      <c r="W460" s="3" t="s">
        <v>48</v>
      </c>
      <c r="X460" s="3" t="s">
        <v>49</v>
      </c>
      <c r="Y460" s="3">
        <f t="shared" si="94"/>
        <v>2</v>
      </c>
      <c r="Z460" s="3" t="str">
        <f t="shared" si="95"/>
        <v>Regular</v>
      </c>
      <c r="AA460" s="3">
        <v>4</v>
      </c>
      <c r="AB460" s="3" t="str">
        <f t="shared" si="96"/>
        <v>Excellent</v>
      </c>
      <c r="AC460" s="3" t="str">
        <f t="shared" si="97"/>
        <v>September</v>
      </c>
      <c r="AD460" s="3" t="str">
        <f t="shared" si="98"/>
        <v>Q3</v>
      </c>
      <c r="AE460" s="3">
        <f t="shared" si="99"/>
        <v>2026</v>
      </c>
      <c r="AF460" s="3" t="str">
        <f t="shared" si="100"/>
        <v>Saturday</v>
      </c>
      <c r="AG460" s="3" t="str">
        <f t="shared" si="101"/>
        <v>46+</v>
      </c>
      <c r="AH460" s="3" t="str">
        <f t="shared" si="102"/>
        <v>Small</v>
      </c>
      <c r="AI460" s="3" t="str">
        <f t="shared" si="103"/>
        <v>Medium</v>
      </c>
      <c r="AJ460" s="3" t="str" cm="1">
        <f t="array" ref="AJ460">_xlfn.IFS(S460&gt;=80000,"VIP",S460&gt;=40000,"Gold",S460&gt;=15000,"Silver",TRUE,"Bronze")</f>
        <v>Bronze</v>
      </c>
    </row>
    <row r="461" spans="1:36" x14ac:dyDescent="0.3">
      <c r="A461" s="3" t="s">
        <v>1198</v>
      </c>
      <c r="B461" s="15">
        <v>46319</v>
      </c>
      <c r="C461" s="15">
        <v>46324</v>
      </c>
      <c r="D461" s="3" t="s">
        <v>1199</v>
      </c>
      <c r="E461" s="3" t="s">
        <v>185</v>
      </c>
      <c r="F461" s="3" t="s">
        <v>39</v>
      </c>
      <c r="G461" s="3">
        <v>26</v>
      </c>
      <c r="H461" s="3" t="s">
        <v>53</v>
      </c>
      <c r="I461" s="3" t="s">
        <v>41</v>
      </c>
      <c r="J461" s="3" t="s">
        <v>42</v>
      </c>
      <c r="K461" s="3" t="s">
        <v>62</v>
      </c>
      <c r="L461" s="3" t="s">
        <v>163</v>
      </c>
      <c r="M461" s="3" t="s">
        <v>45</v>
      </c>
      <c r="N461" s="3" t="s">
        <v>63</v>
      </c>
      <c r="O461" s="3" t="s">
        <v>64</v>
      </c>
      <c r="P461" s="3">
        <v>3</v>
      </c>
      <c r="Q461" s="9">
        <v>62000</v>
      </c>
      <c r="R461" s="6">
        <v>0.2</v>
      </c>
      <c r="S461" s="12">
        <f t="shared" si="91"/>
        <v>148800</v>
      </c>
      <c r="T461" s="12">
        <v>52000</v>
      </c>
      <c r="U461" s="9">
        <f t="shared" si="92"/>
        <v>-7200</v>
      </c>
      <c r="V461" s="6">
        <f t="shared" si="93"/>
        <v>-4.8387096774193547E-2</v>
      </c>
      <c r="W461" s="3" t="s">
        <v>48</v>
      </c>
      <c r="X461" s="3" t="s">
        <v>49</v>
      </c>
      <c r="Y461" s="3">
        <f t="shared" si="94"/>
        <v>5</v>
      </c>
      <c r="Z461" s="3" t="str">
        <f t="shared" si="95"/>
        <v>Premium</v>
      </c>
      <c r="AA461" s="3">
        <v>4</v>
      </c>
      <c r="AB461" s="3" t="str">
        <f t="shared" si="96"/>
        <v>Excellent</v>
      </c>
      <c r="AC461" s="3" t="str">
        <f t="shared" si="97"/>
        <v>October</v>
      </c>
      <c r="AD461" s="3" t="str">
        <f t="shared" si="98"/>
        <v>Q4</v>
      </c>
      <c r="AE461" s="3">
        <f t="shared" si="99"/>
        <v>2026</v>
      </c>
      <c r="AF461" s="3" t="str">
        <f t="shared" si="100"/>
        <v>Saturday</v>
      </c>
      <c r="AG461" s="3" t="str">
        <f t="shared" si="101"/>
        <v>26-35</v>
      </c>
      <c r="AH461" s="3" t="str">
        <f t="shared" si="102"/>
        <v>Large</v>
      </c>
      <c r="AI461" s="3" t="str">
        <f t="shared" si="103"/>
        <v>High</v>
      </c>
      <c r="AJ461" s="3" t="str" cm="1">
        <f t="array" ref="AJ461">_xlfn.IFS(S461&gt;=80000,"VIP",S461&gt;=40000,"Gold",S461&gt;=15000,"Silver",TRUE,"Bronze")</f>
        <v>VIP</v>
      </c>
    </row>
    <row r="462" spans="1:36" x14ac:dyDescent="0.3">
      <c r="A462" s="3" t="s">
        <v>1200</v>
      </c>
      <c r="B462" s="15">
        <v>46192</v>
      </c>
      <c r="C462" s="15">
        <v>46195</v>
      </c>
      <c r="D462" s="3" t="s">
        <v>1201</v>
      </c>
      <c r="E462" s="3" t="s">
        <v>474</v>
      </c>
      <c r="F462" s="3" t="s">
        <v>52</v>
      </c>
      <c r="G462" s="3">
        <v>45</v>
      </c>
      <c r="H462" s="3" t="s">
        <v>88</v>
      </c>
      <c r="I462" s="3" t="s">
        <v>89</v>
      </c>
      <c r="J462" s="3" t="s">
        <v>80</v>
      </c>
      <c r="K462" s="3" t="s">
        <v>90</v>
      </c>
      <c r="L462" s="3" t="s">
        <v>122</v>
      </c>
      <c r="M462" s="3" t="s">
        <v>45</v>
      </c>
      <c r="N462" s="3" t="s">
        <v>91</v>
      </c>
      <c r="O462" s="3" t="s">
        <v>123</v>
      </c>
      <c r="P462" s="3">
        <v>5</v>
      </c>
      <c r="Q462" s="9">
        <v>2500</v>
      </c>
      <c r="R462" s="6">
        <v>0.1</v>
      </c>
      <c r="S462" s="12">
        <f t="shared" si="91"/>
        <v>11250</v>
      </c>
      <c r="T462" s="12">
        <v>1700</v>
      </c>
      <c r="U462" s="9">
        <f t="shared" si="92"/>
        <v>2750</v>
      </c>
      <c r="V462" s="6">
        <f t="shared" si="93"/>
        <v>0.24444444444444444</v>
      </c>
      <c r="W462" s="3" t="s">
        <v>56</v>
      </c>
      <c r="X462" s="3" t="s">
        <v>106</v>
      </c>
      <c r="Y462" s="3">
        <f t="shared" si="94"/>
        <v>3</v>
      </c>
      <c r="Z462" s="3" t="str">
        <f t="shared" si="95"/>
        <v>Regular</v>
      </c>
      <c r="AA462" s="3">
        <v>2</v>
      </c>
      <c r="AB462" s="3" t="str">
        <f t="shared" si="96"/>
        <v>Average</v>
      </c>
      <c r="AC462" s="3" t="str">
        <f t="shared" si="97"/>
        <v>June</v>
      </c>
      <c r="AD462" s="3" t="str">
        <f t="shared" si="98"/>
        <v>Q2</v>
      </c>
      <c r="AE462" s="3">
        <f t="shared" si="99"/>
        <v>2026</v>
      </c>
      <c r="AF462" s="3" t="str">
        <f t="shared" si="100"/>
        <v>Friday</v>
      </c>
      <c r="AG462" s="3" t="str">
        <f t="shared" si="101"/>
        <v>36-45</v>
      </c>
      <c r="AH462" s="3" t="str">
        <f t="shared" si="102"/>
        <v>Medium</v>
      </c>
      <c r="AI462" s="3" t="str">
        <f t="shared" si="103"/>
        <v>Medium</v>
      </c>
      <c r="AJ462" s="3" t="str" cm="1">
        <f t="array" ref="AJ462">_xlfn.IFS(S462&gt;=80000,"VIP",S462&gt;=40000,"Gold",S462&gt;=15000,"Silver",TRUE,"Bronze")</f>
        <v>Bronze</v>
      </c>
    </row>
    <row r="463" spans="1:36" x14ac:dyDescent="0.3">
      <c r="A463" s="3" t="s">
        <v>1202</v>
      </c>
      <c r="B463" s="15">
        <v>46323</v>
      </c>
      <c r="C463" s="15">
        <v>46325</v>
      </c>
      <c r="D463" s="3" t="s">
        <v>1203</v>
      </c>
      <c r="E463" s="3" t="s">
        <v>624</v>
      </c>
      <c r="F463" s="3" t="s">
        <v>52</v>
      </c>
      <c r="G463" s="3">
        <v>31</v>
      </c>
      <c r="H463" s="3" t="s">
        <v>68</v>
      </c>
      <c r="I463" s="3" t="s">
        <v>68</v>
      </c>
      <c r="J463" s="3" t="s">
        <v>69</v>
      </c>
      <c r="K463" s="3" t="s">
        <v>70</v>
      </c>
      <c r="L463" s="3" t="s">
        <v>71</v>
      </c>
      <c r="M463" s="3" t="s">
        <v>45</v>
      </c>
      <c r="N463" s="3" t="s">
        <v>63</v>
      </c>
      <c r="O463" s="3" t="s">
        <v>72</v>
      </c>
      <c r="P463" s="3">
        <v>5</v>
      </c>
      <c r="Q463" s="9">
        <v>58000</v>
      </c>
      <c r="R463" s="6">
        <v>0.05</v>
      </c>
      <c r="S463" s="12">
        <f t="shared" si="91"/>
        <v>275500</v>
      </c>
      <c r="T463" s="12">
        <v>49000</v>
      </c>
      <c r="U463" s="9">
        <f t="shared" si="92"/>
        <v>30500</v>
      </c>
      <c r="V463" s="6">
        <f t="shared" si="93"/>
        <v>0.11070780399274047</v>
      </c>
      <c r="W463" s="3" t="s">
        <v>73</v>
      </c>
      <c r="X463" s="3" t="s">
        <v>101</v>
      </c>
      <c r="Y463" s="3">
        <f t="shared" si="94"/>
        <v>2</v>
      </c>
      <c r="Z463" s="3" t="str">
        <f t="shared" si="95"/>
        <v>Premium</v>
      </c>
      <c r="AA463" s="3">
        <v>4</v>
      </c>
      <c r="AB463" s="3" t="str">
        <f t="shared" si="96"/>
        <v>Excellent</v>
      </c>
      <c r="AC463" s="3" t="str">
        <f t="shared" si="97"/>
        <v>October</v>
      </c>
      <c r="AD463" s="3" t="str">
        <f t="shared" si="98"/>
        <v>Q4</v>
      </c>
      <c r="AE463" s="3">
        <f t="shared" si="99"/>
        <v>2026</v>
      </c>
      <c r="AF463" s="3" t="str">
        <f t="shared" si="100"/>
        <v>Wednesday</v>
      </c>
      <c r="AG463" s="3" t="str">
        <f t="shared" si="101"/>
        <v>26-35</v>
      </c>
      <c r="AH463" s="3" t="str">
        <f t="shared" si="102"/>
        <v>Large</v>
      </c>
      <c r="AI463" s="3" t="str">
        <f t="shared" si="103"/>
        <v>Low</v>
      </c>
      <c r="AJ463" s="3" t="str" cm="1">
        <f t="array" ref="AJ463">_xlfn.IFS(S463&gt;=80000,"VIP",S463&gt;=40000,"Gold",S463&gt;=15000,"Silver",TRUE,"Bronze")</f>
        <v>VIP</v>
      </c>
    </row>
    <row r="464" spans="1:36" x14ac:dyDescent="0.3">
      <c r="A464" s="3" t="s">
        <v>1204</v>
      </c>
      <c r="B464" s="15">
        <v>46049</v>
      </c>
      <c r="C464" s="15">
        <v>46052</v>
      </c>
      <c r="D464" s="3" t="s">
        <v>1205</v>
      </c>
      <c r="E464" s="3" t="s">
        <v>230</v>
      </c>
      <c r="F464" s="3" t="s">
        <v>39</v>
      </c>
      <c r="G464" s="3">
        <v>33</v>
      </c>
      <c r="H464" s="3" t="s">
        <v>119</v>
      </c>
      <c r="I464" s="3" t="s">
        <v>120</v>
      </c>
      <c r="J464" s="3" t="s">
        <v>121</v>
      </c>
      <c r="K464" s="3" t="s">
        <v>105</v>
      </c>
      <c r="L464" s="3" t="s">
        <v>112</v>
      </c>
      <c r="M464" s="3" t="s">
        <v>113</v>
      </c>
      <c r="N464" s="3" t="s">
        <v>114</v>
      </c>
      <c r="O464" s="3" t="s">
        <v>115</v>
      </c>
      <c r="P464" s="3">
        <v>3</v>
      </c>
      <c r="Q464" s="9">
        <v>3500</v>
      </c>
      <c r="R464" s="6">
        <v>0.15</v>
      </c>
      <c r="S464" s="12">
        <f t="shared" si="91"/>
        <v>8925</v>
      </c>
      <c r="T464" s="12">
        <v>2500</v>
      </c>
      <c r="U464" s="9">
        <f t="shared" si="92"/>
        <v>1425</v>
      </c>
      <c r="V464" s="6">
        <f t="shared" si="93"/>
        <v>0.15966386554621848</v>
      </c>
      <c r="W464" s="3" t="s">
        <v>92</v>
      </c>
      <c r="X464" s="3" t="s">
        <v>74</v>
      </c>
      <c r="Y464" s="3">
        <f t="shared" si="94"/>
        <v>3</v>
      </c>
      <c r="Z464" s="3" t="str">
        <f t="shared" si="95"/>
        <v>Regular</v>
      </c>
      <c r="AA464" s="3">
        <v>2</v>
      </c>
      <c r="AB464" s="3" t="str">
        <f t="shared" si="96"/>
        <v>Average</v>
      </c>
      <c r="AC464" s="3" t="str">
        <f t="shared" si="97"/>
        <v>January</v>
      </c>
      <c r="AD464" s="3" t="str">
        <f t="shared" si="98"/>
        <v>Q1</v>
      </c>
      <c r="AE464" s="3">
        <f t="shared" si="99"/>
        <v>2026</v>
      </c>
      <c r="AF464" s="3" t="str">
        <f t="shared" si="100"/>
        <v>Tuesday</v>
      </c>
      <c r="AG464" s="3" t="str">
        <f t="shared" si="101"/>
        <v>26-35</v>
      </c>
      <c r="AH464" s="3" t="str">
        <f t="shared" si="102"/>
        <v>Small</v>
      </c>
      <c r="AI464" s="3" t="str">
        <f t="shared" si="103"/>
        <v>Medium</v>
      </c>
      <c r="AJ464" s="3" t="str" cm="1">
        <f t="array" ref="AJ464">_xlfn.IFS(S464&gt;=80000,"VIP",S464&gt;=40000,"Gold",S464&gt;=15000,"Silver",TRUE,"Bronze")</f>
        <v>Bronze</v>
      </c>
    </row>
    <row r="465" spans="1:36" x14ac:dyDescent="0.3">
      <c r="A465" s="3" t="s">
        <v>1206</v>
      </c>
      <c r="B465" s="15">
        <v>46280</v>
      </c>
      <c r="C465" s="15">
        <v>46283</v>
      </c>
      <c r="D465" s="3" t="s">
        <v>1207</v>
      </c>
      <c r="E465" s="3" t="s">
        <v>344</v>
      </c>
      <c r="F465" s="3" t="s">
        <v>39</v>
      </c>
      <c r="G465" s="3">
        <v>38</v>
      </c>
      <c r="H465" s="3" t="s">
        <v>68</v>
      </c>
      <c r="I465" s="3" t="s">
        <v>68</v>
      </c>
      <c r="J465" s="3" t="s">
        <v>69</v>
      </c>
      <c r="K465" s="3" t="s">
        <v>90</v>
      </c>
      <c r="L465" s="3" t="s">
        <v>122</v>
      </c>
      <c r="M465" s="3" t="s">
        <v>45</v>
      </c>
      <c r="N465" s="3" t="s">
        <v>91</v>
      </c>
      <c r="O465" s="3" t="s">
        <v>123</v>
      </c>
      <c r="P465" s="3">
        <v>4</v>
      </c>
      <c r="Q465" s="9">
        <v>2500</v>
      </c>
      <c r="R465" s="6">
        <v>0.08</v>
      </c>
      <c r="S465" s="12">
        <f t="shared" si="91"/>
        <v>9200</v>
      </c>
      <c r="T465" s="12">
        <v>1700</v>
      </c>
      <c r="U465" s="9">
        <f t="shared" si="92"/>
        <v>2400</v>
      </c>
      <c r="V465" s="6">
        <f t="shared" si="93"/>
        <v>0.2608695652173913</v>
      </c>
      <c r="W465" s="3" t="s">
        <v>92</v>
      </c>
      <c r="X465" s="3" t="s">
        <v>49</v>
      </c>
      <c r="Y465" s="3">
        <f t="shared" si="94"/>
        <v>3</v>
      </c>
      <c r="Z465" s="3" t="str">
        <f t="shared" si="95"/>
        <v>Regular</v>
      </c>
      <c r="AA465" s="3">
        <v>4</v>
      </c>
      <c r="AB465" s="3" t="str">
        <f t="shared" si="96"/>
        <v>Excellent</v>
      </c>
      <c r="AC465" s="3" t="str">
        <f t="shared" si="97"/>
        <v>September</v>
      </c>
      <c r="AD465" s="3" t="str">
        <f t="shared" si="98"/>
        <v>Q3</v>
      </c>
      <c r="AE465" s="3">
        <f t="shared" si="99"/>
        <v>2026</v>
      </c>
      <c r="AF465" s="3" t="str">
        <f t="shared" si="100"/>
        <v>Tuesday</v>
      </c>
      <c r="AG465" s="3" t="str">
        <f t="shared" si="101"/>
        <v>36-45</v>
      </c>
      <c r="AH465" s="3" t="str">
        <f t="shared" si="102"/>
        <v>Small</v>
      </c>
      <c r="AI465" s="3" t="str">
        <f t="shared" si="103"/>
        <v>Medium</v>
      </c>
      <c r="AJ465" s="3" t="str" cm="1">
        <f t="array" ref="AJ465">_xlfn.IFS(S465&gt;=80000,"VIP",S465&gt;=40000,"Gold",S465&gt;=15000,"Silver",TRUE,"Bronze")</f>
        <v>Bronze</v>
      </c>
    </row>
    <row r="466" spans="1:36" x14ac:dyDescent="0.3">
      <c r="A466" s="3" t="s">
        <v>1208</v>
      </c>
      <c r="B466" s="15">
        <v>46346</v>
      </c>
      <c r="C466" s="15">
        <v>46348</v>
      </c>
      <c r="D466" s="3" t="s">
        <v>1209</v>
      </c>
      <c r="E466" s="3" t="s">
        <v>789</v>
      </c>
      <c r="F466" s="3" t="s">
        <v>39</v>
      </c>
      <c r="G466" s="3">
        <v>27</v>
      </c>
      <c r="H466" s="3" t="s">
        <v>78</v>
      </c>
      <c r="I466" s="3" t="s">
        <v>79</v>
      </c>
      <c r="J466" s="3" t="s">
        <v>80</v>
      </c>
      <c r="K466" s="3" t="s">
        <v>105</v>
      </c>
      <c r="L466" s="3" t="s">
        <v>112</v>
      </c>
      <c r="M466" s="3" t="s">
        <v>113</v>
      </c>
      <c r="N466" s="3" t="s">
        <v>114</v>
      </c>
      <c r="O466" s="3" t="s">
        <v>115</v>
      </c>
      <c r="P466" s="3">
        <v>2</v>
      </c>
      <c r="Q466" s="9">
        <v>3500</v>
      </c>
      <c r="R466" s="6">
        <v>0.05</v>
      </c>
      <c r="S466" s="12">
        <f t="shared" si="91"/>
        <v>6650</v>
      </c>
      <c r="T466" s="12">
        <v>2500</v>
      </c>
      <c r="U466" s="9">
        <f t="shared" si="92"/>
        <v>1650</v>
      </c>
      <c r="V466" s="6">
        <f t="shared" si="93"/>
        <v>0.24812030075187969</v>
      </c>
      <c r="W466" s="3" t="s">
        <v>100</v>
      </c>
      <c r="X466" s="3" t="s">
        <v>49</v>
      </c>
      <c r="Y466" s="3">
        <f t="shared" si="94"/>
        <v>2</v>
      </c>
      <c r="Z466" s="3" t="str">
        <f t="shared" si="95"/>
        <v>Regular</v>
      </c>
      <c r="AA466" s="3">
        <v>5</v>
      </c>
      <c r="AB466" s="3" t="str">
        <f t="shared" si="96"/>
        <v>Excellent</v>
      </c>
      <c r="AC466" s="3" t="str">
        <f t="shared" si="97"/>
        <v>November</v>
      </c>
      <c r="AD466" s="3" t="str">
        <f t="shared" si="98"/>
        <v>Q4</v>
      </c>
      <c r="AE466" s="3">
        <f t="shared" si="99"/>
        <v>2026</v>
      </c>
      <c r="AF466" s="3" t="str">
        <f t="shared" si="100"/>
        <v>Friday</v>
      </c>
      <c r="AG466" s="3" t="str">
        <f t="shared" si="101"/>
        <v>26-35</v>
      </c>
      <c r="AH466" s="3" t="str">
        <f t="shared" si="102"/>
        <v>Small</v>
      </c>
      <c r="AI466" s="3" t="str">
        <f t="shared" si="103"/>
        <v>Low</v>
      </c>
      <c r="AJ466" s="3" t="str" cm="1">
        <f t="array" ref="AJ466">_xlfn.IFS(S466&gt;=80000,"VIP",S466&gt;=40000,"Gold",S466&gt;=15000,"Silver",TRUE,"Bronze")</f>
        <v>Bronze</v>
      </c>
    </row>
    <row r="467" spans="1:36" x14ac:dyDescent="0.3">
      <c r="A467" s="3" t="s">
        <v>1210</v>
      </c>
      <c r="B467" s="15">
        <v>46183</v>
      </c>
      <c r="C467" s="15">
        <v>46185</v>
      </c>
      <c r="D467" s="3" t="s">
        <v>1211</v>
      </c>
      <c r="E467" s="3" t="s">
        <v>469</v>
      </c>
      <c r="F467" s="3" t="s">
        <v>52</v>
      </c>
      <c r="G467" s="3">
        <v>26</v>
      </c>
      <c r="H467" s="3" t="s">
        <v>110</v>
      </c>
      <c r="I467" s="3" t="s">
        <v>111</v>
      </c>
      <c r="J467" s="3" t="s">
        <v>80</v>
      </c>
      <c r="K467" s="3" t="s">
        <v>54</v>
      </c>
      <c r="L467" s="3" t="s">
        <v>173</v>
      </c>
      <c r="M467" s="3" t="s">
        <v>45</v>
      </c>
      <c r="N467" s="3" t="s">
        <v>46</v>
      </c>
      <c r="O467" s="3" t="s">
        <v>55</v>
      </c>
      <c r="P467" s="3">
        <v>2</v>
      </c>
      <c r="Q467" s="9">
        <v>79900</v>
      </c>
      <c r="R467" s="6">
        <v>0.08</v>
      </c>
      <c r="S467" s="12">
        <f t="shared" si="91"/>
        <v>147016</v>
      </c>
      <c r="T467" s="12">
        <v>65000</v>
      </c>
      <c r="U467" s="9">
        <f t="shared" si="92"/>
        <v>17016</v>
      </c>
      <c r="V467" s="6">
        <f t="shared" si="93"/>
        <v>0.11574250421722805</v>
      </c>
      <c r="W467" s="3" t="s">
        <v>92</v>
      </c>
      <c r="X467" s="3" t="s">
        <v>106</v>
      </c>
      <c r="Y467" s="3">
        <f t="shared" si="94"/>
        <v>2</v>
      </c>
      <c r="Z467" s="3" t="str">
        <f t="shared" si="95"/>
        <v>Premium</v>
      </c>
      <c r="AA467" s="3">
        <v>3</v>
      </c>
      <c r="AB467" s="3" t="str">
        <f t="shared" si="96"/>
        <v>Average</v>
      </c>
      <c r="AC467" s="3" t="str">
        <f t="shared" si="97"/>
        <v>June</v>
      </c>
      <c r="AD467" s="3" t="str">
        <f t="shared" si="98"/>
        <v>Q2</v>
      </c>
      <c r="AE467" s="3">
        <f t="shared" si="99"/>
        <v>2026</v>
      </c>
      <c r="AF467" s="3" t="str">
        <f t="shared" si="100"/>
        <v>Wednesday</v>
      </c>
      <c r="AG467" s="3" t="str">
        <f t="shared" si="101"/>
        <v>26-35</v>
      </c>
      <c r="AH467" s="3" t="str">
        <f t="shared" si="102"/>
        <v>Large</v>
      </c>
      <c r="AI467" s="3" t="str">
        <f t="shared" si="103"/>
        <v>Medium</v>
      </c>
      <c r="AJ467" s="3" t="str" cm="1">
        <f t="array" ref="AJ467">_xlfn.IFS(S467&gt;=80000,"VIP",S467&gt;=40000,"Gold",S467&gt;=15000,"Silver",TRUE,"Bronze")</f>
        <v>VIP</v>
      </c>
    </row>
    <row r="468" spans="1:36" x14ac:dyDescent="0.3">
      <c r="A468" s="3" t="s">
        <v>1212</v>
      </c>
      <c r="B468" s="15">
        <v>46270</v>
      </c>
      <c r="C468" s="15">
        <v>46274</v>
      </c>
      <c r="D468" s="3" t="s">
        <v>1213</v>
      </c>
      <c r="E468" s="3" t="s">
        <v>577</v>
      </c>
      <c r="F468" s="3" t="s">
        <v>39</v>
      </c>
      <c r="G468" s="3">
        <v>30</v>
      </c>
      <c r="H468" s="3" t="s">
        <v>88</v>
      </c>
      <c r="I468" s="3" t="s">
        <v>89</v>
      </c>
      <c r="J468" s="3" t="s">
        <v>80</v>
      </c>
      <c r="K468" s="3" t="s">
        <v>43</v>
      </c>
      <c r="L468" s="3" t="s">
        <v>44</v>
      </c>
      <c r="M468" s="3" t="s">
        <v>45</v>
      </c>
      <c r="N468" s="3" t="s">
        <v>46</v>
      </c>
      <c r="O468" s="3" t="s">
        <v>47</v>
      </c>
      <c r="P468" s="3">
        <v>5</v>
      </c>
      <c r="Q468" s="9">
        <v>28500</v>
      </c>
      <c r="R468" s="6">
        <v>0.15</v>
      </c>
      <c r="S468" s="12">
        <f t="shared" si="91"/>
        <v>121125</v>
      </c>
      <c r="T468" s="12">
        <v>22000</v>
      </c>
      <c r="U468" s="9">
        <f t="shared" si="92"/>
        <v>11125</v>
      </c>
      <c r="V468" s="6">
        <f t="shared" si="93"/>
        <v>9.1847265221878222E-2</v>
      </c>
      <c r="W468" s="3" t="s">
        <v>56</v>
      </c>
      <c r="X468" s="3" t="s">
        <v>106</v>
      </c>
      <c r="Y468" s="3">
        <f t="shared" si="94"/>
        <v>4</v>
      </c>
      <c r="Z468" s="3" t="str">
        <f t="shared" si="95"/>
        <v>Premium</v>
      </c>
      <c r="AA468" s="3">
        <v>4</v>
      </c>
      <c r="AB468" s="3" t="str">
        <f t="shared" si="96"/>
        <v>Excellent</v>
      </c>
      <c r="AC468" s="3" t="str">
        <f t="shared" si="97"/>
        <v>September</v>
      </c>
      <c r="AD468" s="3" t="str">
        <f t="shared" si="98"/>
        <v>Q3</v>
      </c>
      <c r="AE468" s="3">
        <f t="shared" si="99"/>
        <v>2026</v>
      </c>
      <c r="AF468" s="3" t="str">
        <f t="shared" si="100"/>
        <v>Saturday</v>
      </c>
      <c r="AG468" s="3" t="str">
        <f t="shared" si="101"/>
        <v>26-35</v>
      </c>
      <c r="AH468" s="3" t="str">
        <f t="shared" si="102"/>
        <v>Large</v>
      </c>
      <c r="AI468" s="3" t="str">
        <f t="shared" si="103"/>
        <v>Medium</v>
      </c>
      <c r="AJ468" s="3" t="str" cm="1">
        <f t="array" ref="AJ468">_xlfn.IFS(S468&gt;=80000,"VIP",S468&gt;=40000,"Gold",S468&gt;=15000,"Silver",TRUE,"Bronze")</f>
        <v>VIP</v>
      </c>
    </row>
    <row r="469" spans="1:36" x14ac:dyDescent="0.3">
      <c r="A469" s="3" t="s">
        <v>1214</v>
      </c>
      <c r="B469" s="15">
        <v>46206</v>
      </c>
      <c r="C469" s="15">
        <v>46211</v>
      </c>
      <c r="D469" s="3" t="s">
        <v>1215</v>
      </c>
      <c r="E469" s="3" t="s">
        <v>289</v>
      </c>
      <c r="F469" s="3" t="s">
        <v>39</v>
      </c>
      <c r="G469" s="3">
        <v>42</v>
      </c>
      <c r="H469" s="3" t="s">
        <v>40</v>
      </c>
      <c r="I469" s="3" t="s">
        <v>41</v>
      </c>
      <c r="J469" s="3" t="s">
        <v>42</v>
      </c>
      <c r="K469" s="3" t="s">
        <v>62</v>
      </c>
      <c r="L469" s="3" t="s">
        <v>163</v>
      </c>
      <c r="M469" s="3" t="s">
        <v>45</v>
      </c>
      <c r="N469" s="3" t="s">
        <v>63</v>
      </c>
      <c r="O469" s="3" t="s">
        <v>64</v>
      </c>
      <c r="P469" s="3">
        <v>5</v>
      </c>
      <c r="Q469" s="9">
        <v>62000</v>
      </c>
      <c r="R469" s="6">
        <v>0.2</v>
      </c>
      <c r="S469" s="12">
        <f t="shared" si="91"/>
        <v>248000</v>
      </c>
      <c r="T469" s="12">
        <v>52000</v>
      </c>
      <c r="U469" s="9">
        <f t="shared" si="92"/>
        <v>-12000</v>
      </c>
      <c r="V469" s="6">
        <f t="shared" si="93"/>
        <v>-4.8387096774193547E-2</v>
      </c>
      <c r="W469" s="3" t="s">
        <v>56</v>
      </c>
      <c r="X469" s="3" t="s">
        <v>49</v>
      </c>
      <c r="Y469" s="3">
        <f t="shared" si="94"/>
        <v>5</v>
      </c>
      <c r="Z469" s="3" t="str">
        <f t="shared" si="95"/>
        <v>Premium</v>
      </c>
      <c r="AA469" s="3">
        <v>2</v>
      </c>
      <c r="AB469" s="3" t="str">
        <f t="shared" si="96"/>
        <v>Average</v>
      </c>
      <c r="AC469" s="3" t="str">
        <f t="shared" si="97"/>
        <v>July</v>
      </c>
      <c r="AD469" s="3" t="str">
        <f t="shared" si="98"/>
        <v>Q3</v>
      </c>
      <c r="AE469" s="3">
        <f t="shared" si="99"/>
        <v>2026</v>
      </c>
      <c r="AF469" s="3" t="str">
        <f t="shared" si="100"/>
        <v>Friday</v>
      </c>
      <c r="AG469" s="3" t="str">
        <f t="shared" si="101"/>
        <v>36-45</v>
      </c>
      <c r="AH469" s="3" t="str">
        <f t="shared" si="102"/>
        <v>Large</v>
      </c>
      <c r="AI469" s="3" t="str">
        <f t="shared" si="103"/>
        <v>High</v>
      </c>
      <c r="AJ469" s="3" t="str" cm="1">
        <f t="array" ref="AJ469">_xlfn.IFS(S469&gt;=80000,"VIP",S469&gt;=40000,"Gold",S469&gt;=15000,"Silver",TRUE,"Bronze")</f>
        <v>VIP</v>
      </c>
    </row>
    <row r="470" spans="1:36" x14ac:dyDescent="0.3">
      <c r="A470" s="3" t="s">
        <v>1216</v>
      </c>
      <c r="B470" s="15">
        <v>46038</v>
      </c>
      <c r="C470" s="15">
        <v>46041</v>
      </c>
      <c r="D470" s="3" t="s">
        <v>1217</v>
      </c>
      <c r="E470" s="3" t="s">
        <v>371</v>
      </c>
      <c r="F470" s="3" t="s">
        <v>39</v>
      </c>
      <c r="G470" s="3">
        <v>20</v>
      </c>
      <c r="H470" s="3" t="s">
        <v>78</v>
      </c>
      <c r="I470" s="3" t="s">
        <v>79</v>
      </c>
      <c r="J470" s="3" t="s">
        <v>80</v>
      </c>
      <c r="K470" s="3" t="s">
        <v>81</v>
      </c>
      <c r="L470" s="3" t="s">
        <v>82</v>
      </c>
      <c r="M470" s="3" t="s">
        <v>45</v>
      </c>
      <c r="N470" s="3" t="s">
        <v>83</v>
      </c>
      <c r="O470" s="3" t="s">
        <v>84</v>
      </c>
      <c r="P470" s="3">
        <v>1</v>
      </c>
      <c r="Q470" s="9">
        <v>42000</v>
      </c>
      <c r="R470" s="6">
        <v>0.2</v>
      </c>
      <c r="S470" s="12">
        <f t="shared" si="91"/>
        <v>33600</v>
      </c>
      <c r="T470" s="12">
        <v>35000</v>
      </c>
      <c r="U470" s="9">
        <f t="shared" si="92"/>
        <v>-1400</v>
      </c>
      <c r="V470" s="6">
        <f t="shared" si="93"/>
        <v>-4.1666666666666664E-2</v>
      </c>
      <c r="W470" s="3" t="s">
        <v>48</v>
      </c>
      <c r="X470" s="3" t="s">
        <v>49</v>
      </c>
      <c r="Y470" s="3">
        <f t="shared" si="94"/>
        <v>3</v>
      </c>
      <c r="Z470" s="3" t="str">
        <f t="shared" si="95"/>
        <v>Regular</v>
      </c>
      <c r="AA470" s="3">
        <v>3</v>
      </c>
      <c r="AB470" s="3" t="str">
        <f t="shared" si="96"/>
        <v>Average</v>
      </c>
      <c r="AC470" s="3" t="str">
        <f t="shared" si="97"/>
        <v>January</v>
      </c>
      <c r="AD470" s="3" t="str">
        <f t="shared" si="98"/>
        <v>Q1</v>
      </c>
      <c r="AE470" s="3">
        <f t="shared" si="99"/>
        <v>2026</v>
      </c>
      <c r="AF470" s="3" t="str">
        <f t="shared" si="100"/>
        <v>Friday</v>
      </c>
      <c r="AG470" s="3" t="str">
        <f t="shared" si="101"/>
        <v>18-25</v>
      </c>
      <c r="AH470" s="3" t="str">
        <f t="shared" si="102"/>
        <v>Large</v>
      </c>
      <c r="AI470" s="3" t="str">
        <f t="shared" si="103"/>
        <v>High</v>
      </c>
      <c r="AJ470" s="3" t="str" cm="1">
        <f t="array" ref="AJ470">_xlfn.IFS(S470&gt;=80000,"VIP",S470&gt;=40000,"Gold",S470&gt;=15000,"Silver",TRUE,"Bronze")</f>
        <v>Silver</v>
      </c>
    </row>
    <row r="471" spans="1:36" x14ac:dyDescent="0.3">
      <c r="A471" s="3" t="s">
        <v>1218</v>
      </c>
      <c r="B471" s="15">
        <v>46061</v>
      </c>
      <c r="C471" s="15">
        <v>46066</v>
      </c>
      <c r="D471" s="3" t="s">
        <v>1219</v>
      </c>
      <c r="E471" s="3" t="s">
        <v>565</v>
      </c>
      <c r="F471" s="3" t="s">
        <v>39</v>
      </c>
      <c r="G471" s="3">
        <v>42</v>
      </c>
      <c r="H471" s="3" t="s">
        <v>78</v>
      </c>
      <c r="I471" s="3" t="s">
        <v>79</v>
      </c>
      <c r="J471" s="3" t="s">
        <v>80</v>
      </c>
      <c r="K471" s="3" t="s">
        <v>81</v>
      </c>
      <c r="L471" s="3" t="s">
        <v>82</v>
      </c>
      <c r="M471" s="3" t="s">
        <v>45</v>
      </c>
      <c r="N471" s="3" t="s">
        <v>83</v>
      </c>
      <c r="O471" s="3" t="s">
        <v>84</v>
      </c>
      <c r="P471" s="3">
        <v>4</v>
      </c>
      <c r="Q471" s="9">
        <v>42000</v>
      </c>
      <c r="R471" s="6">
        <v>0.15</v>
      </c>
      <c r="S471" s="12">
        <f t="shared" si="91"/>
        <v>142800</v>
      </c>
      <c r="T471" s="12">
        <v>35000</v>
      </c>
      <c r="U471" s="9">
        <f t="shared" si="92"/>
        <v>2800</v>
      </c>
      <c r="V471" s="6">
        <f t="shared" si="93"/>
        <v>1.9607843137254902E-2</v>
      </c>
      <c r="W471" s="3" t="s">
        <v>56</v>
      </c>
      <c r="X471" s="3" t="s">
        <v>106</v>
      </c>
      <c r="Y471" s="3">
        <f t="shared" si="94"/>
        <v>5</v>
      </c>
      <c r="Z471" s="3" t="str">
        <f t="shared" si="95"/>
        <v>Premium</v>
      </c>
      <c r="AA471" s="3">
        <v>4</v>
      </c>
      <c r="AB471" s="3" t="str">
        <f t="shared" si="96"/>
        <v>Excellent</v>
      </c>
      <c r="AC471" s="3" t="str">
        <f t="shared" si="97"/>
        <v>February</v>
      </c>
      <c r="AD471" s="3" t="str">
        <f t="shared" si="98"/>
        <v>Q1</v>
      </c>
      <c r="AE471" s="3">
        <f t="shared" si="99"/>
        <v>2026</v>
      </c>
      <c r="AF471" s="3" t="str">
        <f t="shared" si="100"/>
        <v>Sunday</v>
      </c>
      <c r="AG471" s="3" t="str">
        <f t="shared" si="101"/>
        <v>36-45</v>
      </c>
      <c r="AH471" s="3" t="str">
        <f t="shared" si="102"/>
        <v>Large</v>
      </c>
      <c r="AI471" s="3" t="str">
        <f t="shared" si="103"/>
        <v>Medium</v>
      </c>
      <c r="AJ471" s="3" t="str" cm="1">
        <f t="array" ref="AJ471">_xlfn.IFS(S471&gt;=80000,"VIP",S471&gt;=40000,"Gold",S471&gt;=15000,"Silver",TRUE,"Bronze")</f>
        <v>VIP</v>
      </c>
    </row>
    <row r="472" spans="1:36" x14ac:dyDescent="0.3">
      <c r="A472" s="3" t="s">
        <v>1220</v>
      </c>
      <c r="B472" s="15">
        <v>46138</v>
      </c>
      <c r="C472" s="15">
        <v>46140</v>
      </c>
      <c r="D472" s="3" t="s">
        <v>1221</v>
      </c>
      <c r="E472" s="3" t="s">
        <v>306</v>
      </c>
      <c r="F472" s="3" t="s">
        <v>52</v>
      </c>
      <c r="G472" s="3">
        <v>43</v>
      </c>
      <c r="H472" s="3" t="s">
        <v>110</v>
      </c>
      <c r="I472" s="3" t="s">
        <v>111</v>
      </c>
      <c r="J472" s="3" t="s">
        <v>80</v>
      </c>
      <c r="K472" s="3" t="s">
        <v>70</v>
      </c>
      <c r="L472" s="3" t="s">
        <v>71</v>
      </c>
      <c r="M472" s="3" t="s">
        <v>45</v>
      </c>
      <c r="N472" s="3" t="s">
        <v>63</v>
      </c>
      <c r="O472" s="3" t="s">
        <v>72</v>
      </c>
      <c r="P472" s="3">
        <v>1</v>
      </c>
      <c r="Q472" s="9">
        <v>58000</v>
      </c>
      <c r="R472" s="6">
        <v>0.1</v>
      </c>
      <c r="S472" s="12">
        <f t="shared" si="91"/>
        <v>52200</v>
      </c>
      <c r="T472" s="12">
        <v>49000</v>
      </c>
      <c r="U472" s="9">
        <f t="shared" si="92"/>
        <v>3200</v>
      </c>
      <c r="V472" s="6">
        <f t="shared" si="93"/>
        <v>6.1302681992337162E-2</v>
      </c>
      <c r="W472" s="3" t="s">
        <v>92</v>
      </c>
      <c r="X472" s="3" t="s">
        <v>49</v>
      </c>
      <c r="Y472" s="3">
        <f t="shared" si="94"/>
        <v>2</v>
      </c>
      <c r="Z472" s="3" t="str">
        <f t="shared" si="95"/>
        <v>Premium</v>
      </c>
      <c r="AA472" s="3">
        <v>5</v>
      </c>
      <c r="AB472" s="3" t="str">
        <f t="shared" si="96"/>
        <v>Excellent</v>
      </c>
      <c r="AC472" s="3" t="str">
        <f t="shared" si="97"/>
        <v>April</v>
      </c>
      <c r="AD472" s="3" t="str">
        <f t="shared" si="98"/>
        <v>Q2</v>
      </c>
      <c r="AE472" s="3">
        <f t="shared" si="99"/>
        <v>2026</v>
      </c>
      <c r="AF472" s="3" t="str">
        <f t="shared" si="100"/>
        <v>Sunday</v>
      </c>
      <c r="AG472" s="3" t="str">
        <f t="shared" si="101"/>
        <v>36-45</v>
      </c>
      <c r="AH472" s="3" t="str">
        <f t="shared" si="102"/>
        <v>Large</v>
      </c>
      <c r="AI472" s="3" t="str">
        <f t="shared" si="103"/>
        <v>Medium</v>
      </c>
      <c r="AJ472" s="3" t="str" cm="1">
        <f t="array" ref="AJ472">_xlfn.IFS(S472&gt;=80000,"VIP",S472&gt;=40000,"Gold",S472&gt;=15000,"Silver",TRUE,"Bronze")</f>
        <v>Gold</v>
      </c>
    </row>
    <row r="473" spans="1:36" x14ac:dyDescent="0.3">
      <c r="A473" s="3" t="s">
        <v>1222</v>
      </c>
      <c r="B473" s="15">
        <v>46347</v>
      </c>
      <c r="C473" s="15">
        <v>46350</v>
      </c>
      <c r="D473" s="3" t="s">
        <v>1223</v>
      </c>
      <c r="E473" s="3" t="s">
        <v>359</v>
      </c>
      <c r="F473" s="3" t="s">
        <v>39</v>
      </c>
      <c r="G473" s="3">
        <v>47</v>
      </c>
      <c r="H473" s="3" t="s">
        <v>119</v>
      </c>
      <c r="I473" s="3" t="s">
        <v>120</v>
      </c>
      <c r="J473" s="3" t="s">
        <v>121</v>
      </c>
      <c r="K473" s="3" t="s">
        <v>54</v>
      </c>
      <c r="L473" s="3" t="s">
        <v>173</v>
      </c>
      <c r="M473" s="3" t="s">
        <v>45</v>
      </c>
      <c r="N473" s="3" t="s">
        <v>46</v>
      </c>
      <c r="O473" s="3" t="s">
        <v>55</v>
      </c>
      <c r="P473" s="3">
        <v>2</v>
      </c>
      <c r="Q473" s="9">
        <v>79900</v>
      </c>
      <c r="R473" s="6">
        <v>0.2</v>
      </c>
      <c r="S473" s="12">
        <f t="shared" si="91"/>
        <v>127840</v>
      </c>
      <c r="T473" s="12">
        <v>65000</v>
      </c>
      <c r="U473" s="9">
        <f t="shared" si="92"/>
        <v>-2160</v>
      </c>
      <c r="V473" s="6">
        <f t="shared" si="93"/>
        <v>-1.6896120150187734E-2</v>
      </c>
      <c r="W473" s="3" t="s">
        <v>56</v>
      </c>
      <c r="X473" s="3" t="s">
        <v>74</v>
      </c>
      <c r="Y473" s="3">
        <f t="shared" si="94"/>
        <v>3</v>
      </c>
      <c r="Z473" s="3" t="str">
        <f t="shared" si="95"/>
        <v>Premium</v>
      </c>
      <c r="AA473" s="3">
        <v>3</v>
      </c>
      <c r="AB473" s="3" t="str">
        <f t="shared" si="96"/>
        <v>Average</v>
      </c>
      <c r="AC473" s="3" t="str">
        <f t="shared" si="97"/>
        <v>November</v>
      </c>
      <c r="AD473" s="3" t="str">
        <f t="shared" si="98"/>
        <v>Q4</v>
      </c>
      <c r="AE473" s="3">
        <f t="shared" si="99"/>
        <v>2026</v>
      </c>
      <c r="AF473" s="3" t="str">
        <f t="shared" si="100"/>
        <v>Saturday</v>
      </c>
      <c r="AG473" s="3" t="str">
        <f t="shared" si="101"/>
        <v>46+</v>
      </c>
      <c r="AH473" s="3" t="str">
        <f t="shared" si="102"/>
        <v>Large</v>
      </c>
      <c r="AI473" s="3" t="str">
        <f t="shared" si="103"/>
        <v>High</v>
      </c>
      <c r="AJ473" s="3" t="str" cm="1">
        <f t="array" ref="AJ473">_xlfn.IFS(S473&gt;=80000,"VIP",S473&gt;=40000,"Gold",S473&gt;=15000,"Silver",TRUE,"Bronze")</f>
        <v>VIP</v>
      </c>
    </row>
    <row r="474" spans="1:36" x14ac:dyDescent="0.3">
      <c r="A474" s="3" t="s">
        <v>1224</v>
      </c>
      <c r="B474" s="15">
        <v>46030</v>
      </c>
      <c r="C474" s="15">
        <v>46034</v>
      </c>
      <c r="D474" s="3" t="s">
        <v>1225</v>
      </c>
      <c r="E474" s="3" t="s">
        <v>1120</v>
      </c>
      <c r="F474" s="3" t="s">
        <v>39</v>
      </c>
      <c r="G474" s="3">
        <v>37</v>
      </c>
      <c r="H474" s="3" t="s">
        <v>119</v>
      </c>
      <c r="I474" s="3" t="s">
        <v>120</v>
      </c>
      <c r="J474" s="3" t="s">
        <v>121</v>
      </c>
      <c r="K474" s="3" t="s">
        <v>81</v>
      </c>
      <c r="L474" s="3" t="s">
        <v>82</v>
      </c>
      <c r="M474" s="3" t="s">
        <v>45</v>
      </c>
      <c r="N474" s="3" t="s">
        <v>83</v>
      </c>
      <c r="O474" s="3" t="s">
        <v>84</v>
      </c>
      <c r="P474" s="3">
        <v>1</v>
      </c>
      <c r="Q474" s="9">
        <v>42000</v>
      </c>
      <c r="R474" s="6">
        <v>0.08</v>
      </c>
      <c r="S474" s="12">
        <f t="shared" si="91"/>
        <v>38640</v>
      </c>
      <c r="T474" s="12">
        <v>35000</v>
      </c>
      <c r="U474" s="9">
        <f t="shared" si="92"/>
        <v>3640</v>
      </c>
      <c r="V474" s="6">
        <f t="shared" si="93"/>
        <v>9.420289855072464E-2</v>
      </c>
      <c r="W474" s="3" t="s">
        <v>100</v>
      </c>
      <c r="X474" s="3" t="s">
        <v>101</v>
      </c>
      <c r="Y474" s="3">
        <f t="shared" si="94"/>
        <v>4</v>
      </c>
      <c r="Z474" s="3" t="str">
        <f t="shared" si="95"/>
        <v>Regular</v>
      </c>
      <c r="AA474" s="3">
        <v>3</v>
      </c>
      <c r="AB474" s="3" t="str">
        <f t="shared" si="96"/>
        <v>Average</v>
      </c>
      <c r="AC474" s="3" t="str">
        <f t="shared" si="97"/>
        <v>January</v>
      </c>
      <c r="AD474" s="3" t="str">
        <f t="shared" si="98"/>
        <v>Q1</v>
      </c>
      <c r="AE474" s="3">
        <f t="shared" si="99"/>
        <v>2026</v>
      </c>
      <c r="AF474" s="3" t="str">
        <f t="shared" si="100"/>
        <v>Thursday</v>
      </c>
      <c r="AG474" s="3" t="str">
        <f t="shared" si="101"/>
        <v>36-45</v>
      </c>
      <c r="AH474" s="3" t="str">
        <f t="shared" si="102"/>
        <v>Large</v>
      </c>
      <c r="AI474" s="3" t="str">
        <f t="shared" si="103"/>
        <v>Medium</v>
      </c>
      <c r="AJ474" s="3" t="str" cm="1">
        <f t="array" ref="AJ474">_xlfn.IFS(S474&gt;=80000,"VIP",S474&gt;=40000,"Gold",S474&gt;=15000,"Silver",TRUE,"Bronze")</f>
        <v>Silver</v>
      </c>
    </row>
    <row r="475" spans="1:36" x14ac:dyDescent="0.3">
      <c r="A475" s="3" t="s">
        <v>1226</v>
      </c>
      <c r="B475" s="15">
        <v>46118</v>
      </c>
      <c r="C475" s="15">
        <v>46124</v>
      </c>
      <c r="D475" s="3" t="s">
        <v>1227</v>
      </c>
      <c r="E475" s="3" t="s">
        <v>368</v>
      </c>
      <c r="F475" s="3" t="s">
        <v>52</v>
      </c>
      <c r="G475" s="3">
        <v>25</v>
      </c>
      <c r="H475" s="3" t="s">
        <v>60</v>
      </c>
      <c r="I475" s="3" t="s">
        <v>61</v>
      </c>
      <c r="J475" s="3" t="s">
        <v>42</v>
      </c>
      <c r="K475" s="3" t="s">
        <v>70</v>
      </c>
      <c r="L475" s="3" t="s">
        <v>71</v>
      </c>
      <c r="M475" s="3" t="s">
        <v>45</v>
      </c>
      <c r="N475" s="3" t="s">
        <v>63</v>
      </c>
      <c r="O475" s="3" t="s">
        <v>72</v>
      </c>
      <c r="P475" s="3">
        <v>3</v>
      </c>
      <c r="Q475" s="9">
        <v>58000</v>
      </c>
      <c r="R475" s="6">
        <v>0.12</v>
      </c>
      <c r="S475" s="12">
        <f t="shared" si="91"/>
        <v>153120</v>
      </c>
      <c r="T475" s="12">
        <v>49000</v>
      </c>
      <c r="U475" s="9">
        <f t="shared" si="92"/>
        <v>6120</v>
      </c>
      <c r="V475" s="6">
        <f t="shared" si="93"/>
        <v>3.9968652037617555E-2</v>
      </c>
      <c r="W475" s="3" t="s">
        <v>48</v>
      </c>
      <c r="X475" s="3" t="s">
        <v>74</v>
      </c>
      <c r="Y475" s="3">
        <f t="shared" si="94"/>
        <v>6</v>
      </c>
      <c r="Z475" s="3" t="str">
        <f t="shared" si="95"/>
        <v>Premium</v>
      </c>
      <c r="AA475" s="3">
        <v>3</v>
      </c>
      <c r="AB475" s="3" t="str">
        <f t="shared" si="96"/>
        <v>Average</v>
      </c>
      <c r="AC475" s="3" t="str">
        <f t="shared" si="97"/>
        <v>April</v>
      </c>
      <c r="AD475" s="3" t="str">
        <f t="shared" si="98"/>
        <v>Q2</v>
      </c>
      <c r="AE475" s="3">
        <f t="shared" si="99"/>
        <v>2026</v>
      </c>
      <c r="AF475" s="3" t="str">
        <f t="shared" si="100"/>
        <v>Monday</v>
      </c>
      <c r="AG475" s="3" t="str">
        <f t="shared" si="101"/>
        <v>18-25</v>
      </c>
      <c r="AH475" s="3" t="str">
        <f t="shared" si="102"/>
        <v>Large</v>
      </c>
      <c r="AI475" s="3" t="str">
        <f t="shared" si="103"/>
        <v>Medium</v>
      </c>
      <c r="AJ475" s="3" t="str" cm="1">
        <f t="array" ref="AJ475">_xlfn.IFS(S475&gt;=80000,"VIP",S475&gt;=40000,"Gold",S475&gt;=15000,"Silver",TRUE,"Bronze")</f>
        <v>VIP</v>
      </c>
    </row>
    <row r="476" spans="1:36" x14ac:dyDescent="0.3">
      <c r="A476" s="3" t="s">
        <v>1228</v>
      </c>
      <c r="B476" s="15">
        <v>46084</v>
      </c>
      <c r="C476" s="15">
        <v>46089</v>
      </c>
      <c r="D476" s="3" t="s">
        <v>1229</v>
      </c>
      <c r="E476" s="3" t="s">
        <v>184</v>
      </c>
      <c r="F476" s="3" t="s">
        <v>52</v>
      </c>
      <c r="G476" s="3">
        <v>43</v>
      </c>
      <c r="H476" s="3" t="s">
        <v>119</v>
      </c>
      <c r="I476" s="3" t="s">
        <v>120</v>
      </c>
      <c r="J476" s="3" t="s">
        <v>121</v>
      </c>
      <c r="K476" s="3" t="s">
        <v>62</v>
      </c>
      <c r="L476" s="3" t="s">
        <v>163</v>
      </c>
      <c r="M476" s="3" t="s">
        <v>45</v>
      </c>
      <c r="N476" s="3" t="s">
        <v>63</v>
      </c>
      <c r="O476" s="3" t="s">
        <v>64</v>
      </c>
      <c r="P476" s="3">
        <v>1</v>
      </c>
      <c r="Q476" s="9">
        <v>62000</v>
      </c>
      <c r="R476" s="6">
        <v>0.2</v>
      </c>
      <c r="S476" s="12">
        <f t="shared" si="91"/>
        <v>49600</v>
      </c>
      <c r="T476" s="12">
        <v>52000</v>
      </c>
      <c r="U476" s="9">
        <f t="shared" si="92"/>
        <v>-2400</v>
      </c>
      <c r="V476" s="6">
        <f t="shared" si="93"/>
        <v>-4.8387096774193547E-2</v>
      </c>
      <c r="W476" s="3" t="s">
        <v>56</v>
      </c>
      <c r="X476" s="3" t="s">
        <v>101</v>
      </c>
      <c r="Y476" s="3">
        <f t="shared" si="94"/>
        <v>5</v>
      </c>
      <c r="Z476" s="3" t="str">
        <f t="shared" si="95"/>
        <v>Regular</v>
      </c>
      <c r="AA476" s="3">
        <v>4</v>
      </c>
      <c r="AB476" s="3" t="str">
        <f t="shared" si="96"/>
        <v>Excellent</v>
      </c>
      <c r="AC476" s="3" t="str">
        <f t="shared" si="97"/>
        <v>March</v>
      </c>
      <c r="AD476" s="3" t="str">
        <f t="shared" si="98"/>
        <v>Q1</v>
      </c>
      <c r="AE476" s="3">
        <f t="shared" si="99"/>
        <v>2026</v>
      </c>
      <c r="AF476" s="3" t="str">
        <f t="shared" si="100"/>
        <v>Tuesday</v>
      </c>
      <c r="AG476" s="3" t="str">
        <f t="shared" si="101"/>
        <v>36-45</v>
      </c>
      <c r="AH476" s="3" t="str">
        <f t="shared" si="102"/>
        <v>Large</v>
      </c>
      <c r="AI476" s="3" t="str">
        <f t="shared" si="103"/>
        <v>High</v>
      </c>
      <c r="AJ476" s="3" t="str" cm="1">
        <f t="array" ref="AJ476">_xlfn.IFS(S476&gt;=80000,"VIP",S476&gt;=40000,"Gold",S476&gt;=15000,"Silver",TRUE,"Bronze")</f>
        <v>Gold</v>
      </c>
    </row>
    <row r="477" spans="1:36" x14ac:dyDescent="0.3">
      <c r="A477" s="3" t="s">
        <v>1230</v>
      </c>
      <c r="B477" s="15">
        <v>46372</v>
      </c>
      <c r="C477" s="15">
        <v>46374</v>
      </c>
      <c r="D477" s="3" t="s">
        <v>1231</v>
      </c>
      <c r="E477" s="3" t="s">
        <v>668</v>
      </c>
      <c r="F477" s="3" t="s">
        <v>52</v>
      </c>
      <c r="G477" s="3">
        <v>29</v>
      </c>
      <c r="H477" s="3" t="s">
        <v>78</v>
      </c>
      <c r="I477" s="3" t="s">
        <v>79</v>
      </c>
      <c r="J477" s="3" t="s">
        <v>80</v>
      </c>
      <c r="K477" s="3" t="s">
        <v>70</v>
      </c>
      <c r="L477" s="3" t="s">
        <v>71</v>
      </c>
      <c r="M477" s="3" t="s">
        <v>45</v>
      </c>
      <c r="N477" s="3" t="s">
        <v>63</v>
      </c>
      <c r="O477" s="3" t="s">
        <v>72</v>
      </c>
      <c r="P477" s="3">
        <v>1</v>
      </c>
      <c r="Q477" s="9">
        <v>58000</v>
      </c>
      <c r="R477" s="6">
        <v>0.08</v>
      </c>
      <c r="S477" s="12">
        <f t="shared" si="91"/>
        <v>53360</v>
      </c>
      <c r="T477" s="12">
        <v>49000</v>
      </c>
      <c r="U477" s="9">
        <f t="shared" si="92"/>
        <v>4360</v>
      </c>
      <c r="V477" s="6">
        <f t="shared" si="93"/>
        <v>8.1709145427286356E-2</v>
      </c>
      <c r="W477" s="3" t="s">
        <v>48</v>
      </c>
      <c r="X477" s="3" t="s">
        <v>74</v>
      </c>
      <c r="Y477" s="3">
        <f t="shared" si="94"/>
        <v>2</v>
      </c>
      <c r="Z477" s="3" t="str">
        <f t="shared" si="95"/>
        <v>Premium</v>
      </c>
      <c r="AA477" s="3">
        <v>2</v>
      </c>
      <c r="AB477" s="3" t="str">
        <f t="shared" si="96"/>
        <v>Average</v>
      </c>
      <c r="AC477" s="3" t="str">
        <f t="shared" si="97"/>
        <v>December</v>
      </c>
      <c r="AD477" s="3" t="str">
        <f t="shared" si="98"/>
        <v>Q4</v>
      </c>
      <c r="AE477" s="3">
        <f t="shared" si="99"/>
        <v>2026</v>
      </c>
      <c r="AF477" s="3" t="str">
        <f t="shared" si="100"/>
        <v>Wednesday</v>
      </c>
      <c r="AG477" s="3" t="str">
        <f t="shared" si="101"/>
        <v>26-35</v>
      </c>
      <c r="AH477" s="3" t="str">
        <f t="shared" si="102"/>
        <v>Large</v>
      </c>
      <c r="AI477" s="3" t="str">
        <f t="shared" si="103"/>
        <v>Medium</v>
      </c>
      <c r="AJ477" s="3" t="str" cm="1">
        <f t="array" ref="AJ477">_xlfn.IFS(S477&gt;=80000,"VIP",S477&gt;=40000,"Gold",S477&gt;=15000,"Silver",TRUE,"Bronze")</f>
        <v>Gold</v>
      </c>
    </row>
    <row r="478" spans="1:36" x14ac:dyDescent="0.3">
      <c r="A478" s="3" t="s">
        <v>1232</v>
      </c>
      <c r="B478" s="15">
        <v>46369</v>
      </c>
      <c r="C478" s="15">
        <v>46375</v>
      </c>
      <c r="D478" s="3" t="s">
        <v>1233</v>
      </c>
      <c r="E478" s="3" t="s">
        <v>951</v>
      </c>
      <c r="F478" s="3" t="s">
        <v>52</v>
      </c>
      <c r="G478" s="3">
        <v>33</v>
      </c>
      <c r="H478" s="3" t="s">
        <v>78</v>
      </c>
      <c r="I478" s="3" t="s">
        <v>79</v>
      </c>
      <c r="J478" s="3" t="s">
        <v>80</v>
      </c>
      <c r="K478" s="3" t="s">
        <v>70</v>
      </c>
      <c r="L478" s="3" t="s">
        <v>71</v>
      </c>
      <c r="M478" s="3" t="s">
        <v>45</v>
      </c>
      <c r="N478" s="3" t="s">
        <v>63</v>
      </c>
      <c r="O478" s="3" t="s">
        <v>72</v>
      </c>
      <c r="P478" s="3">
        <v>5</v>
      </c>
      <c r="Q478" s="9">
        <v>58000</v>
      </c>
      <c r="R478" s="6">
        <v>0.2</v>
      </c>
      <c r="S478" s="12">
        <f t="shared" si="91"/>
        <v>232000</v>
      </c>
      <c r="T478" s="12">
        <v>49000</v>
      </c>
      <c r="U478" s="9">
        <f t="shared" si="92"/>
        <v>-13000</v>
      </c>
      <c r="V478" s="6">
        <f t="shared" si="93"/>
        <v>-5.6034482758620691E-2</v>
      </c>
      <c r="W478" s="3" t="s">
        <v>56</v>
      </c>
      <c r="X478" s="3" t="s">
        <v>101</v>
      </c>
      <c r="Y478" s="3">
        <f t="shared" si="94"/>
        <v>6</v>
      </c>
      <c r="Z478" s="3" t="str">
        <f t="shared" si="95"/>
        <v>Premium</v>
      </c>
      <c r="AA478" s="3">
        <v>3</v>
      </c>
      <c r="AB478" s="3" t="str">
        <f t="shared" si="96"/>
        <v>Average</v>
      </c>
      <c r="AC478" s="3" t="str">
        <f t="shared" si="97"/>
        <v>December</v>
      </c>
      <c r="AD478" s="3" t="str">
        <f t="shared" si="98"/>
        <v>Q4</v>
      </c>
      <c r="AE478" s="3">
        <f t="shared" si="99"/>
        <v>2026</v>
      </c>
      <c r="AF478" s="3" t="str">
        <f t="shared" si="100"/>
        <v>Sunday</v>
      </c>
      <c r="AG478" s="3" t="str">
        <f t="shared" si="101"/>
        <v>26-35</v>
      </c>
      <c r="AH478" s="3" t="str">
        <f t="shared" si="102"/>
        <v>Large</v>
      </c>
      <c r="AI478" s="3" t="str">
        <f t="shared" si="103"/>
        <v>High</v>
      </c>
      <c r="AJ478" s="3" t="str" cm="1">
        <f t="array" ref="AJ478">_xlfn.IFS(S478&gt;=80000,"VIP",S478&gt;=40000,"Gold",S478&gt;=15000,"Silver",TRUE,"Bronze")</f>
        <v>VIP</v>
      </c>
    </row>
    <row r="479" spans="1:36" x14ac:dyDescent="0.3">
      <c r="A479" s="3" t="s">
        <v>1234</v>
      </c>
      <c r="B479" s="15">
        <v>46206</v>
      </c>
      <c r="C479" s="15">
        <v>46212</v>
      </c>
      <c r="D479" s="3" t="s">
        <v>1235</v>
      </c>
      <c r="E479" s="3" t="s">
        <v>1133</v>
      </c>
      <c r="F479" s="3" t="s">
        <v>52</v>
      </c>
      <c r="G479" s="3">
        <v>26</v>
      </c>
      <c r="H479" s="3" t="s">
        <v>110</v>
      </c>
      <c r="I479" s="3" t="s">
        <v>111</v>
      </c>
      <c r="J479" s="3" t="s">
        <v>80</v>
      </c>
      <c r="K479" s="3" t="s">
        <v>43</v>
      </c>
      <c r="L479" s="3" t="s">
        <v>44</v>
      </c>
      <c r="M479" s="3" t="s">
        <v>45</v>
      </c>
      <c r="N479" s="3" t="s">
        <v>46</v>
      </c>
      <c r="O479" s="3" t="s">
        <v>47</v>
      </c>
      <c r="P479" s="3">
        <v>5</v>
      </c>
      <c r="Q479" s="9">
        <v>28500</v>
      </c>
      <c r="R479" s="6">
        <v>0.08</v>
      </c>
      <c r="S479" s="12">
        <f t="shared" si="91"/>
        <v>131100</v>
      </c>
      <c r="T479" s="12">
        <v>22000</v>
      </c>
      <c r="U479" s="9">
        <f t="shared" si="92"/>
        <v>21100</v>
      </c>
      <c r="V479" s="6">
        <f t="shared" si="93"/>
        <v>0.16094584286803967</v>
      </c>
      <c r="W479" s="3" t="s">
        <v>73</v>
      </c>
      <c r="X479" s="3" t="s">
        <v>106</v>
      </c>
      <c r="Y479" s="3">
        <f t="shared" si="94"/>
        <v>6</v>
      </c>
      <c r="Z479" s="3" t="str">
        <f t="shared" si="95"/>
        <v>Premium</v>
      </c>
      <c r="AA479" s="3">
        <v>5</v>
      </c>
      <c r="AB479" s="3" t="str">
        <f t="shared" si="96"/>
        <v>Excellent</v>
      </c>
      <c r="AC479" s="3" t="str">
        <f t="shared" si="97"/>
        <v>July</v>
      </c>
      <c r="AD479" s="3" t="str">
        <f t="shared" si="98"/>
        <v>Q3</v>
      </c>
      <c r="AE479" s="3">
        <f t="shared" si="99"/>
        <v>2026</v>
      </c>
      <c r="AF479" s="3" t="str">
        <f t="shared" si="100"/>
        <v>Friday</v>
      </c>
      <c r="AG479" s="3" t="str">
        <f t="shared" si="101"/>
        <v>26-35</v>
      </c>
      <c r="AH479" s="3" t="str">
        <f t="shared" si="102"/>
        <v>Large</v>
      </c>
      <c r="AI479" s="3" t="str">
        <f t="shared" si="103"/>
        <v>Medium</v>
      </c>
      <c r="AJ479" s="3" t="str" cm="1">
        <f t="array" ref="AJ479">_xlfn.IFS(S479&gt;=80000,"VIP",S479&gt;=40000,"Gold",S479&gt;=15000,"Silver",TRUE,"Bronze")</f>
        <v>VIP</v>
      </c>
    </row>
    <row r="480" spans="1:36" x14ac:dyDescent="0.3">
      <c r="A480" s="3" t="s">
        <v>1236</v>
      </c>
      <c r="B480" s="15">
        <v>46201</v>
      </c>
      <c r="C480" s="15">
        <v>46203</v>
      </c>
      <c r="D480" s="3" t="s">
        <v>1237</v>
      </c>
      <c r="E480" s="3" t="s">
        <v>451</v>
      </c>
      <c r="F480" s="3" t="s">
        <v>52</v>
      </c>
      <c r="G480" s="3">
        <v>22</v>
      </c>
      <c r="H480" s="3" t="s">
        <v>119</v>
      </c>
      <c r="I480" s="3" t="s">
        <v>120</v>
      </c>
      <c r="J480" s="3" t="s">
        <v>121</v>
      </c>
      <c r="K480" s="3" t="s">
        <v>105</v>
      </c>
      <c r="L480" s="3" t="s">
        <v>112</v>
      </c>
      <c r="M480" s="3" t="s">
        <v>113</v>
      </c>
      <c r="N480" s="3" t="s">
        <v>114</v>
      </c>
      <c r="O480" s="3" t="s">
        <v>115</v>
      </c>
      <c r="P480" s="3">
        <v>4</v>
      </c>
      <c r="Q480" s="9">
        <v>3500</v>
      </c>
      <c r="R480" s="6">
        <v>0.15</v>
      </c>
      <c r="S480" s="12">
        <f t="shared" si="91"/>
        <v>11900</v>
      </c>
      <c r="T480" s="12">
        <v>2500</v>
      </c>
      <c r="U480" s="9">
        <f t="shared" si="92"/>
        <v>1900</v>
      </c>
      <c r="V480" s="6">
        <f t="shared" si="93"/>
        <v>0.15966386554621848</v>
      </c>
      <c r="W480" s="3" t="s">
        <v>92</v>
      </c>
      <c r="X480" s="3" t="s">
        <v>49</v>
      </c>
      <c r="Y480" s="3">
        <f t="shared" si="94"/>
        <v>2</v>
      </c>
      <c r="Z480" s="3" t="str">
        <f t="shared" si="95"/>
        <v>Regular</v>
      </c>
      <c r="AA480" s="3">
        <v>4</v>
      </c>
      <c r="AB480" s="3" t="str">
        <f t="shared" si="96"/>
        <v>Excellent</v>
      </c>
      <c r="AC480" s="3" t="str">
        <f t="shared" si="97"/>
        <v>June</v>
      </c>
      <c r="AD480" s="3" t="str">
        <f t="shared" si="98"/>
        <v>Q2</v>
      </c>
      <c r="AE480" s="3">
        <f t="shared" si="99"/>
        <v>2026</v>
      </c>
      <c r="AF480" s="3" t="str">
        <f t="shared" si="100"/>
        <v>Sunday</v>
      </c>
      <c r="AG480" s="3" t="str">
        <f t="shared" si="101"/>
        <v>18-25</v>
      </c>
      <c r="AH480" s="3" t="str">
        <f t="shared" si="102"/>
        <v>Medium</v>
      </c>
      <c r="AI480" s="3" t="str">
        <f t="shared" si="103"/>
        <v>Medium</v>
      </c>
      <c r="AJ480" s="3" t="str" cm="1">
        <f t="array" ref="AJ480">_xlfn.IFS(S480&gt;=80000,"VIP",S480&gt;=40000,"Gold",S480&gt;=15000,"Silver",TRUE,"Bronze")</f>
        <v>Bronze</v>
      </c>
    </row>
    <row r="481" spans="1:36" x14ac:dyDescent="0.3">
      <c r="A481" s="3" t="s">
        <v>1238</v>
      </c>
      <c r="B481" s="15">
        <v>46102</v>
      </c>
      <c r="C481" s="15">
        <v>46105</v>
      </c>
      <c r="D481" s="3" t="s">
        <v>1239</v>
      </c>
      <c r="E481" s="3" t="s">
        <v>151</v>
      </c>
      <c r="F481" s="3" t="s">
        <v>39</v>
      </c>
      <c r="G481" s="3">
        <v>40</v>
      </c>
      <c r="H481" s="3" t="s">
        <v>40</v>
      </c>
      <c r="I481" s="3" t="s">
        <v>41</v>
      </c>
      <c r="J481" s="3" t="s">
        <v>42</v>
      </c>
      <c r="K481" s="3" t="s">
        <v>62</v>
      </c>
      <c r="L481" s="3" t="s">
        <v>163</v>
      </c>
      <c r="M481" s="3" t="s">
        <v>45</v>
      </c>
      <c r="N481" s="3" t="s">
        <v>63</v>
      </c>
      <c r="O481" s="3" t="s">
        <v>64</v>
      </c>
      <c r="P481" s="3">
        <v>5</v>
      </c>
      <c r="Q481" s="9">
        <v>62000</v>
      </c>
      <c r="R481" s="6">
        <v>0.08</v>
      </c>
      <c r="S481" s="12">
        <f t="shared" si="91"/>
        <v>285200</v>
      </c>
      <c r="T481" s="12">
        <v>52000</v>
      </c>
      <c r="U481" s="9">
        <f t="shared" si="92"/>
        <v>25200</v>
      </c>
      <c r="V481" s="6">
        <f t="shared" si="93"/>
        <v>8.8359046283309955E-2</v>
      </c>
      <c r="W481" s="3" t="s">
        <v>56</v>
      </c>
      <c r="X481" s="3" t="s">
        <v>101</v>
      </c>
      <c r="Y481" s="3">
        <f t="shared" si="94"/>
        <v>3</v>
      </c>
      <c r="Z481" s="3" t="str">
        <f t="shared" si="95"/>
        <v>Premium</v>
      </c>
      <c r="AA481" s="3">
        <v>4</v>
      </c>
      <c r="AB481" s="3" t="str">
        <f t="shared" si="96"/>
        <v>Excellent</v>
      </c>
      <c r="AC481" s="3" t="str">
        <f t="shared" si="97"/>
        <v>March</v>
      </c>
      <c r="AD481" s="3" t="str">
        <f t="shared" si="98"/>
        <v>Q1</v>
      </c>
      <c r="AE481" s="3">
        <f t="shared" si="99"/>
        <v>2026</v>
      </c>
      <c r="AF481" s="3" t="str">
        <f t="shared" si="100"/>
        <v>Saturday</v>
      </c>
      <c r="AG481" s="3" t="str">
        <f t="shared" si="101"/>
        <v>36-45</v>
      </c>
      <c r="AH481" s="3" t="str">
        <f t="shared" si="102"/>
        <v>Large</v>
      </c>
      <c r="AI481" s="3" t="str">
        <f t="shared" si="103"/>
        <v>Medium</v>
      </c>
      <c r="AJ481" s="3" t="str" cm="1">
        <f t="array" ref="AJ481">_xlfn.IFS(S481&gt;=80000,"VIP",S481&gt;=40000,"Gold",S481&gt;=15000,"Silver",TRUE,"Bronze")</f>
        <v>VIP</v>
      </c>
    </row>
    <row r="482" spans="1:36" x14ac:dyDescent="0.3">
      <c r="A482" s="3" t="s">
        <v>1240</v>
      </c>
      <c r="B482" s="15">
        <v>46344</v>
      </c>
      <c r="C482" s="15">
        <v>46347</v>
      </c>
      <c r="D482" s="3" t="s">
        <v>1241</v>
      </c>
      <c r="E482" s="3" t="s">
        <v>591</v>
      </c>
      <c r="F482" s="3" t="s">
        <v>52</v>
      </c>
      <c r="G482" s="3">
        <v>25</v>
      </c>
      <c r="H482" s="3" t="s">
        <v>119</v>
      </c>
      <c r="I482" s="3" t="s">
        <v>120</v>
      </c>
      <c r="J482" s="3" t="s">
        <v>121</v>
      </c>
      <c r="K482" s="3" t="s">
        <v>81</v>
      </c>
      <c r="L482" s="3" t="s">
        <v>82</v>
      </c>
      <c r="M482" s="3" t="s">
        <v>45</v>
      </c>
      <c r="N482" s="3" t="s">
        <v>83</v>
      </c>
      <c r="O482" s="3" t="s">
        <v>84</v>
      </c>
      <c r="P482" s="3">
        <v>1</v>
      </c>
      <c r="Q482" s="9">
        <v>42000</v>
      </c>
      <c r="R482" s="6">
        <v>0.2</v>
      </c>
      <c r="S482" s="12">
        <f t="shared" si="91"/>
        <v>33600</v>
      </c>
      <c r="T482" s="12">
        <v>35000</v>
      </c>
      <c r="U482" s="9">
        <f t="shared" si="92"/>
        <v>-1400</v>
      </c>
      <c r="V482" s="6">
        <f t="shared" si="93"/>
        <v>-4.1666666666666664E-2</v>
      </c>
      <c r="W482" s="3" t="s">
        <v>48</v>
      </c>
      <c r="X482" s="3" t="s">
        <v>49</v>
      </c>
      <c r="Y482" s="3">
        <f t="shared" si="94"/>
        <v>3</v>
      </c>
      <c r="Z482" s="3" t="str">
        <f t="shared" si="95"/>
        <v>Regular</v>
      </c>
      <c r="AA482" s="3">
        <v>2</v>
      </c>
      <c r="AB482" s="3" t="str">
        <f t="shared" si="96"/>
        <v>Average</v>
      </c>
      <c r="AC482" s="3" t="str">
        <f t="shared" si="97"/>
        <v>November</v>
      </c>
      <c r="AD482" s="3" t="str">
        <f t="shared" si="98"/>
        <v>Q4</v>
      </c>
      <c r="AE482" s="3">
        <f t="shared" si="99"/>
        <v>2026</v>
      </c>
      <c r="AF482" s="3" t="str">
        <f t="shared" si="100"/>
        <v>Wednesday</v>
      </c>
      <c r="AG482" s="3" t="str">
        <f t="shared" si="101"/>
        <v>18-25</v>
      </c>
      <c r="AH482" s="3" t="str">
        <f t="shared" si="102"/>
        <v>Large</v>
      </c>
      <c r="AI482" s="3" t="str">
        <f t="shared" si="103"/>
        <v>High</v>
      </c>
      <c r="AJ482" s="3" t="str" cm="1">
        <f t="array" ref="AJ482">_xlfn.IFS(S482&gt;=80000,"VIP",S482&gt;=40000,"Gold",S482&gt;=15000,"Silver",TRUE,"Bronze")</f>
        <v>Silver</v>
      </c>
    </row>
    <row r="483" spans="1:36" x14ac:dyDescent="0.3">
      <c r="A483" s="3" t="s">
        <v>1242</v>
      </c>
      <c r="B483" s="15">
        <v>46271</v>
      </c>
      <c r="C483" s="15">
        <v>46274</v>
      </c>
      <c r="D483" s="3" t="s">
        <v>1243</v>
      </c>
      <c r="E483" s="3" t="s">
        <v>380</v>
      </c>
      <c r="F483" s="3" t="s">
        <v>39</v>
      </c>
      <c r="G483" s="3">
        <v>26</v>
      </c>
      <c r="H483" s="3" t="s">
        <v>119</v>
      </c>
      <c r="I483" s="3" t="s">
        <v>120</v>
      </c>
      <c r="J483" s="3" t="s">
        <v>121</v>
      </c>
      <c r="K483" s="3" t="s">
        <v>105</v>
      </c>
      <c r="L483" s="3" t="s">
        <v>112</v>
      </c>
      <c r="M483" s="3" t="s">
        <v>113</v>
      </c>
      <c r="N483" s="3" t="s">
        <v>114</v>
      </c>
      <c r="O483" s="3" t="s">
        <v>115</v>
      </c>
      <c r="P483" s="3">
        <v>5</v>
      </c>
      <c r="Q483" s="9">
        <v>3500</v>
      </c>
      <c r="R483" s="6">
        <v>0.2</v>
      </c>
      <c r="S483" s="12">
        <f t="shared" si="91"/>
        <v>14000</v>
      </c>
      <c r="T483" s="12">
        <v>2500</v>
      </c>
      <c r="U483" s="9">
        <f t="shared" si="92"/>
        <v>1500</v>
      </c>
      <c r="V483" s="6">
        <f t="shared" si="93"/>
        <v>0.10714285714285714</v>
      </c>
      <c r="W483" s="3" t="s">
        <v>92</v>
      </c>
      <c r="X483" s="3" t="s">
        <v>74</v>
      </c>
      <c r="Y483" s="3">
        <f t="shared" si="94"/>
        <v>3</v>
      </c>
      <c r="Z483" s="3" t="str">
        <f t="shared" si="95"/>
        <v>Regular</v>
      </c>
      <c r="AA483" s="3">
        <v>4</v>
      </c>
      <c r="AB483" s="3" t="str">
        <f t="shared" si="96"/>
        <v>Excellent</v>
      </c>
      <c r="AC483" s="3" t="str">
        <f t="shared" si="97"/>
        <v>September</v>
      </c>
      <c r="AD483" s="3" t="str">
        <f t="shared" si="98"/>
        <v>Q3</v>
      </c>
      <c r="AE483" s="3">
        <f t="shared" si="99"/>
        <v>2026</v>
      </c>
      <c r="AF483" s="3" t="str">
        <f t="shared" si="100"/>
        <v>Sunday</v>
      </c>
      <c r="AG483" s="3" t="str">
        <f t="shared" si="101"/>
        <v>26-35</v>
      </c>
      <c r="AH483" s="3" t="str">
        <f t="shared" si="102"/>
        <v>Medium</v>
      </c>
      <c r="AI483" s="3" t="str">
        <f t="shared" si="103"/>
        <v>High</v>
      </c>
      <c r="AJ483" s="3" t="str" cm="1">
        <f t="array" ref="AJ483">_xlfn.IFS(S483&gt;=80000,"VIP",S483&gt;=40000,"Gold",S483&gt;=15000,"Silver",TRUE,"Bronze")</f>
        <v>Bronze</v>
      </c>
    </row>
    <row r="484" spans="1:36" x14ac:dyDescent="0.3">
      <c r="A484" s="3" t="s">
        <v>1244</v>
      </c>
      <c r="B484" s="15">
        <v>46110</v>
      </c>
      <c r="C484" s="15">
        <v>46112</v>
      </c>
      <c r="D484" s="3" t="s">
        <v>1245</v>
      </c>
      <c r="E484" s="3" t="s">
        <v>104</v>
      </c>
      <c r="F484" s="3" t="s">
        <v>52</v>
      </c>
      <c r="G484" s="3">
        <v>48</v>
      </c>
      <c r="H484" s="3" t="s">
        <v>88</v>
      </c>
      <c r="I484" s="3" t="s">
        <v>89</v>
      </c>
      <c r="J484" s="3" t="s">
        <v>80</v>
      </c>
      <c r="K484" s="3" t="s">
        <v>70</v>
      </c>
      <c r="L484" s="3" t="s">
        <v>71</v>
      </c>
      <c r="M484" s="3" t="s">
        <v>45</v>
      </c>
      <c r="N484" s="3" t="s">
        <v>63</v>
      </c>
      <c r="O484" s="3" t="s">
        <v>72</v>
      </c>
      <c r="P484" s="3">
        <v>5</v>
      </c>
      <c r="Q484" s="9">
        <v>58000</v>
      </c>
      <c r="R484" s="6">
        <v>0.2</v>
      </c>
      <c r="S484" s="12">
        <f t="shared" si="91"/>
        <v>232000</v>
      </c>
      <c r="T484" s="12">
        <v>49000</v>
      </c>
      <c r="U484" s="9">
        <f t="shared" si="92"/>
        <v>-13000</v>
      </c>
      <c r="V484" s="6">
        <f t="shared" si="93"/>
        <v>-5.6034482758620691E-2</v>
      </c>
      <c r="W484" s="3" t="s">
        <v>56</v>
      </c>
      <c r="X484" s="3" t="s">
        <v>106</v>
      </c>
      <c r="Y484" s="3">
        <f t="shared" si="94"/>
        <v>2</v>
      </c>
      <c r="Z484" s="3" t="str">
        <f t="shared" si="95"/>
        <v>Premium</v>
      </c>
      <c r="AA484" s="3">
        <v>4</v>
      </c>
      <c r="AB484" s="3" t="str">
        <f t="shared" si="96"/>
        <v>Excellent</v>
      </c>
      <c r="AC484" s="3" t="str">
        <f t="shared" si="97"/>
        <v>March</v>
      </c>
      <c r="AD484" s="3" t="str">
        <f t="shared" si="98"/>
        <v>Q1</v>
      </c>
      <c r="AE484" s="3">
        <f t="shared" si="99"/>
        <v>2026</v>
      </c>
      <c r="AF484" s="3" t="str">
        <f t="shared" si="100"/>
        <v>Sunday</v>
      </c>
      <c r="AG484" s="3" t="str">
        <f t="shared" si="101"/>
        <v>46+</v>
      </c>
      <c r="AH484" s="3" t="str">
        <f t="shared" si="102"/>
        <v>Large</v>
      </c>
      <c r="AI484" s="3" t="str">
        <f t="shared" si="103"/>
        <v>High</v>
      </c>
      <c r="AJ484" s="3" t="str" cm="1">
        <f t="array" ref="AJ484">_xlfn.IFS(S484&gt;=80000,"VIP",S484&gt;=40000,"Gold",S484&gt;=15000,"Silver",TRUE,"Bronze")</f>
        <v>VIP</v>
      </c>
    </row>
    <row r="485" spans="1:36" x14ac:dyDescent="0.3">
      <c r="A485" s="3" t="s">
        <v>1246</v>
      </c>
      <c r="B485" s="15">
        <v>46168</v>
      </c>
      <c r="C485" s="15">
        <v>46173</v>
      </c>
      <c r="D485" s="3" t="s">
        <v>1247</v>
      </c>
      <c r="E485" s="3" t="s">
        <v>1248</v>
      </c>
      <c r="F485" s="3" t="s">
        <v>52</v>
      </c>
      <c r="G485" s="3">
        <v>44</v>
      </c>
      <c r="H485" s="3" t="s">
        <v>119</v>
      </c>
      <c r="I485" s="3" t="s">
        <v>120</v>
      </c>
      <c r="J485" s="3" t="s">
        <v>121</v>
      </c>
      <c r="K485" s="3" t="s">
        <v>54</v>
      </c>
      <c r="L485" s="3" t="s">
        <v>173</v>
      </c>
      <c r="M485" s="3" t="s">
        <v>45</v>
      </c>
      <c r="N485" s="3" t="s">
        <v>46</v>
      </c>
      <c r="O485" s="3" t="s">
        <v>55</v>
      </c>
      <c r="P485" s="3">
        <v>1</v>
      </c>
      <c r="Q485" s="9">
        <v>79900</v>
      </c>
      <c r="R485" s="6">
        <v>0.15</v>
      </c>
      <c r="S485" s="12">
        <f t="shared" si="91"/>
        <v>67915</v>
      </c>
      <c r="T485" s="12">
        <v>65000</v>
      </c>
      <c r="U485" s="9">
        <f t="shared" si="92"/>
        <v>2915</v>
      </c>
      <c r="V485" s="6">
        <f t="shared" si="93"/>
        <v>4.292129868217625E-2</v>
      </c>
      <c r="W485" s="3" t="s">
        <v>100</v>
      </c>
      <c r="X485" s="3" t="s">
        <v>101</v>
      </c>
      <c r="Y485" s="3">
        <f t="shared" si="94"/>
        <v>5</v>
      </c>
      <c r="Z485" s="3" t="str">
        <f t="shared" si="95"/>
        <v>Premium</v>
      </c>
      <c r="AA485" s="3">
        <v>5</v>
      </c>
      <c r="AB485" s="3" t="str">
        <f t="shared" si="96"/>
        <v>Excellent</v>
      </c>
      <c r="AC485" s="3" t="str">
        <f t="shared" si="97"/>
        <v>May</v>
      </c>
      <c r="AD485" s="3" t="str">
        <f t="shared" si="98"/>
        <v>Q2</v>
      </c>
      <c r="AE485" s="3">
        <f t="shared" si="99"/>
        <v>2026</v>
      </c>
      <c r="AF485" s="3" t="str">
        <f t="shared" si="100"/>
        <v>Tuesday</v>
      </c>
      <c r="AG485" s="3" t="str">
        <f t="shared" si="101"/>
        <v>36-45</v>
      </c>
      <c r="AH485" s="3" t="str">
        <f t="shared" si="102"/>
        <v>Large</v>
      </c>
      <c r="AI485" s="3" t="str">
        <f t="shared" si="103"/>
        <v>Medium</v>
      </c>
      <c r="AJ485" s="3" t="str" cm="1">
        <f t="array" ref="AJ485">_xlfn.IFS(S485&gt;=80000,"VIP",S485&gt;=40000,"Gold",S485&gt;=15000,"Silver",TRUE,"Bronze")</f>
        <v>Gold</v>
      </c>
    </row>
    <row r="486" spans="1:36" x14ac:dyDescent="0.3">
      <c r="A486" s="3" t="s">
        <v>1249</v>
      </c>
      <c r="B486" s="15">
        <v>46247</v>
      </c>
      <c r="C486" s="15">
        <v>46249</v>
      </c>
      <c r="D486" s="3" t="s">
        <v>1250</v>
      </c>
      <c r="E486" s="3" t="s">
        <v>167</v>
      </c>
      <c r="F486" s="3" t="s">
        <v>52</v>
      </c>
      <c r="G486" s="3">
        <v>23</v>
      </c>
      <c r="H486" s="3" t="s">
        <v>53</v>
      </c>
      <c r="I486" s="3" t="s">
        <v>41</v>
      </c>
      <c r="J486" s="3" t="s">
        <v>42</v>
      </c>
      <c r="K486" s="3" t="s">
        <v>54</v>
      </c>
      <c r="L486" s="3" t="s">
        <v>173</v>
      </c>
      <c r="M486" s="3" t="s">
        <v>45</v>
      </c>
      <c r="N486" s="3" t="s">
        <v>46</v>
      </c>
      <c r="O486" s="3" t="s">
        <v>55</v>
      </c>
      <c r="P486" s="3">
        <v>5</v>
      </c>
      <c r="Q486" s="9">
        <v>79900</v>
      </c>
      <c r="R486" s="6">
        <v>0.05</v>
      </c>
      <c r="S486" s="12">
        <f t="shared" si="91"/>
        <v>379525</v>
      </c>
      <c r="T486" s="12">
        <v>65000</v>
      </c>
      <c r="U486" s="9">
        <f t="shared" si="92"/>
        <v>54525</v>
      </c>
      <c r="V486" s="6">
        <f t="shared" si="93"/>
        <v>0.14366642513668401</v>
      </c>
      <c r="W486" s="3" t="s">
        <v>65</v>
      </c>
      <c r="X486" s="3" t="s">
        <v>49</v>
      </c>
      <c r="Y486" s="3">
        <f t="shared" si="94"/>
        <v>2</v>
      </c>
      <c r="Z486" s="3" t="str">
        <f t="shared" si="95"/>
        <v>Premium</v>
      </c>
      <c r="AA486" s="3">
        <v>5</v>
      </c>
      <c r="AB486" s="3" t="str">
        <f t="shared" si="96"/>
        <v>Excellent</v>
      </c>
      <c r="AC486" s="3" t="str">
        <f t="shared" si="97"/>
        <v>August</v>
      </c>
      <c r="AD486" s="3" t="str">
        <f t="shared" si="98"/>
        <v>Q3</v>
      </c>
      <c r="AE486" s="3">
        <f t="shared" si="99"/>
        <v>2026</v>
      </c>
      <c r="AF486" s="3" t="str">
        <f t="shared" si="100"/>
        <v>Thursday</v>
      </c>
      <c r="AG486" s="3" t="str">
        <f t="shared" si="101"/>
        <v>18-25</v>
      </c>
      <c r="AH486" s="3" t="str">
        <f t="shared" si="102"/>
        <v>Large</v>
      </c>
      <c r="AI486" s="3" t="str">
        <f t="shared" si="103"/>
        <v>Low</v>
      </c>
      <c r="AJ486" s="3" t="str" cm="1">
        <f t="array" ref="AJ486">_xlfn.IFS(S486&gt;=80000,"VIP",S486&gt;=40000,"Gold",S486&gt;=15000,"Silver",TRUE,"Bronze")</f>
        <v>VIP</v>
      </c>
    </row>
    <row r="487" spans="1:36" x14ac:dyDescent="0.3">
      <c r="A487" s="3" t="s">
        <v>1251</v>
      </c>
      <c r="B487" s="15">
        <v>46345</v>
      </c>
      <c r="C487" s="15">
        <v>46351</v>
      </c>
      <c r="D487" s="3" t="s">
        <v>1252</v>
      </c>
      <c r="E487" s="3" t="s">
        <v>146</v>
      </c>
      <c r="F487" s="3" t="s">
        <v>52</v>
      </c>
      <c r="G487" s="3">
        <v>23</v>
      </c>
      <c r="H487" s="3" t="s">
        <v>60</v>
      </c>
      <c r="I487" s="3" t="s">
        <v>61</v>
      </c>
      <c r="J487" s="3" t="s">
        <v>42</v>
      </c>
      <c r="K487" s="3" t="s">
        <v>70</v>
      </c>
      <c r="L487" s="3" t="s">
        <v>71</v>
      </c>
      <c r="M487" s="3" t="s">
        <v>45</v>
      </c>
      <c r="N487" s="3" t="s">
        <v>63</v>
      </c>
      <c r="O487" s="3" t="s">
        <v>72</v>
      </c>
      <c r="P487" s="3">
        <v>2</v>
      </c>
      <c r="Q487" s="9">
        <v>58000</v>
      </c>
      <c r="R487" s="6">
        <v>0.08</v>
      </c>
      <c r="S487" s="12">
        <f t="shared" si="91"/>
        <v>106720</v>
      </c>
      <c r="T487" s="12">
        <v>49000</v>
      </c>
      <c r="U487" s="9">
        <f t="shared" si="92"/>
        <v>8720</v>
      </c>
      <c r="V487" s="6">
        <f t="shared" si="93"/>
        <v>8.1709145427286356E-2</v>
      </c>
      <c r="W487" s="3" t="s">
        <v>73</v>
      </c>
      <c r="X487" s="3" t="s">
        <v>74</v>
      </c>
      <c r="Y487" s="3">
        <f t="shared" si="94"/>
        <v>6</v>
      </c>
      <c r="Z487" s="3" t="str">
        <f t="shared" si="95"/>
        <v>Premium</v>
      </c>
      <c r="AA487" s="3">
        <v>5</v>
      </c>
      <c r="AB487" s="3" t="str">
        <f t="shared" si="96"/>
        <v>Excellent</v>
      </c>
      <c r="AC487" s="3" t="str">
        <f t="shared" si="97"/>
        <v>November</v>
      </c>
      <c r="AD487" s="3" t="str">
        <f t="shared" si="98"/>
        <v>Q4</v>
      </c>
      <c r="AE487" s="3">
        <f t="shared" si="99"/>
        <v>2026</v>
      </c>
      <c r="AF487" s="3" t="str">
        <f t="shared" si="100"/>
        <v>Thursday</v>
      </c>
      <c r="AG487" s="3" t="str">
        <f t="shared" si="101"/>
        <v>18-25</v>
      </c>
      <c r="AH487" s="3" t="str">
        <f t="shared" si="102"/>
        <v>Large</v>
      </c>
      <c r="AI487" s="3" t="str">
        <f t="shared" si="103"/>
        <v>Medium</v>
      </c>
      <c r="AJ487" s="3" t="str" cm="1">
        <f t="array" ref="AJ487">_xlfn.IFS(S487&gt;=80000,"VIP",S487&gt;=40000,"Gold",S487&gt;=15000,"Silver",TRUE,"Bronze")</f>
        <v>VIP</v>
      </c>
    </row>
    <row r="488" spans="1:36" x14ac:dyDescent="0.3">
      <c r="A488" s="3" t="s">
        <v>1253</v>
      </c>
      <c r="B488" s="15">
        <v>46347</v>
      </c>
      <c r="C488" s="15">
        <v>46352</v>
      </c>
      <c r="D488" s="3" t="s">
        <v>1254</v>
      </c>
      <c r="E488" s="3" t="s">
        <v>148</v>
      </c>
      <c r="F488" s="3" t="s">
        <v>52</v>
      </c>
      <c r="G488" s="3">
        <v>37</v>
      </c>
      <c r="H488" s="3" t="s">
        <v>119</v>
      </c>
      <c r="I488" s="3" t="s">
        <v>120</v>
      </c>
      <c r="J488" s="3" t="s">
        <v>121</v>
      </c>
      <c r="K488" s="3" t="s">
        <v>54</v>
      </c>
      <c r="L488" s="3" t="s">
        <v>173</v>
      </c>
      <c r="M488" s="3" t="s">
        <v>45</v>
      </c>
      <c r="N488" s="3" t="s">
        <v>46</v>
      </c>
      <c r="O488" s="3" t="s">
        <v>55</v>
      </c>
      <c r="P488" s="3">
        <v>4</v>
      </c>
      <c r="Q488" s="9">
        <v>79900</v>
      </c>
      <c r="R488" s="6">
        <v>0.2</v>
      </c>
      <c r="S488" s="12">
        <f t="shared" si="91"/>
        <v>255680</v>
      </c>
      <c r="T488" s="12">
        <v>65000</v>
      </c>
      <c r="U488" s="9">
        <f t="shared" si="92"/>
        <v>-4320</v>
      </c>
      <c r="V488" s="6">
        <f t="shared" si="93"/>
        <v>-1.6896120150187734E-2</v>
      </c>
      <c r="W488" s="3" t="s">
        <v>92</v>
      </c>
      <c r="X488" s="3" t="s">
        <v>49</v>
      </c>
      <c r="Y488" s="3">
        <f t="shared" si="94"/>
        <v>5</v>
      </c>
      <c r="Z488" s="3" t="str">
        <f t="shared" si="95"/>
        <v>Premium</v>
      </c>
      <c r="AA488" s="3">
        <v>2</v>
      </c>
      <c r="AB488" s="3" t="str">
        <f t="shared" si="96"/>
        <v>Average</v>
      </c>
      <c r="AC488" s="3" t="str">
        <f t="shared" si="97"/>
        <v>November</v>
      </c>
      <c r="AD488" s="3" t="str">
        <f t="shared" si="98"/>
        <v>Q4</v>
      </c>
      <c r="AE488" s="3">
        <f t="shared" si="99"/>
        <v>2026</v>
      </c>
      <c r="AF488" s="3" t="str">
        <f t="shared" si="100"/>
        <v>Saturday</v>
      </c>
      <c r="AG488" s="3" t="str">
        <f t="shared" si="101"/>
        <v>36-45</v>
      </c>
      <c r="AH488" s="3" t="str">
        <f t="shared" si="102"/>
        <v>Large</v>
      </c>
      <c r="AI488" s="3" t="str">
        <f t="shared" si="103"/>
        <v>High</v>
      </c>
      <c r="AJ488" s="3" t="str" cm="1">
        <f t="array" ref="AJ488">_xlfn.IFS(S488&gt;=80000,"VIP",S488&gt;=40000,"Gold",S488&gt;=15000,"Silver",TRUE,"Bronze")</f>
        <v>VIP</v>
      </c>
    </row>
    <row r="489" spans="1:36" x14ac:dyDescent="0.3">
      <c r="A489" s="3" t="s">
        <v>1255</v>
      </c>
      <c r="B489" s="15">
        <v>46252</v>
      </c>
      <c r="C489" s="15">
        <v>46255</v>
      </c>
      <c r="D489" s="3" t="s">
        <v>1256</v>
      </c>
      <c r="E489" s="3" t="s">
        <v>1257</v>
      </c>
      <c r="F489" s="3" t="s">
        <v>52</v>
      </c>
      <c r="G489" s="3">
        <v>44</v>
      </c>
      <c r="H489" s="3" t="s">
        <v>40</v>
      </c>
      <c r="I489" s="3" t="s">
        <v>41</v>
      </c>
      <c r="J489" s="3" t="s">
        <v>42</v>
      </c>
      <c r="K489" s="3" t="s">
        <v>70</v>
      </c>
      <c r="L489" s="3" t="s">
        <v>71</v>
      </c>
      <c r="M489" s="3" t="s">
        <v>45</v>
      </c>
      <c r="N489" s="3" t="s">
        <v>63</v>
      </c>
      <c r="O489" s="3" t="s">
        <v>72</v>
      </c>
      <c r="P489" s="3">
        <v>2</v>
      </c>
      <c r="Q489" s="9">
        <v>58000</v>
      </c>
      <c r="R489" s="6">
        <v>0.2</v>
      </c>
      <c r="S489" s="12">
        <f t="shared" si="91"/>
        <v>92800</v>
      </c>
      <c r="T489" s="12">
        <v>49000</v>
      </c>
      <c r="U489" s="9">
        <f t="shared" si="92"/>
        <v>-5200</v>
      </c>
      <c r="V489" s="6">
        <f t="shared" si="93"/>
        <v>-5.6034482758620691E-2</v>
      </c>
      <c r="W489" s="3" t="s">
        <v>48</v>
      </c>
      <c r="X489" s="3" t="s">
        <v>106</v>
      </c>
      <c r="Y489" s="3">
        <f t="shared" si="94"/>
        <v>3</v>
      </c>
      <c r="Z489" s="3" t="str">
        <f t="shared" si="95"/>
        <v>Premium</v>
      </c>
      <c r="AA489" s="3">
        <v>2</v>
      </c>
      <c r="AB489" s="3" t="str">
        <f t="shared" si="96"/>
        <v>Average</v>
      </c>
      <c r="AC489" s="3" t="str">
        <f t="shared" si="97"/>
        <v>August</v>
      </c>
      <c r="AD489" s="3" t="str">
        <f t="shared" si="98"/>
        <v>Q3</v>
      </c>
      <c r="AE489" s="3">
        <f t="shared" si="99"/>
        <v>2026</v>
      </c>
      <c r="AF489" s="3" t="str">
        <f t="shared" si="100"/>
        <v>Tuesday</v>
      </c>
      <c r="AG489" s="3" t="str">
        <f t="shared" si="101"/>
        <v>36-45</v>
      </c>
      <c r="AH489" s="3" t="str">
        <f t="shared" si="102"/>
        <v>Large</v>
      </c>
      <c r="AI489" s="3" t="str">
        <f t="shared" si="103"/>
        <v>High</v>
      </c>
      <c r="AJ489" s="3" t="str" cm="1">
        <f t="array" ref="AJ489">_xlfn.IFS(S489&gt;=80000,"VIP",S489&gt;=40000,"Gold",S489&gt;=15000,"Silver",TRUE,"Bronze")</f>
        <v>VIP</v>
      </c>
    </row>
    <row r="490" spans="1:36" x14ac:dyDescent="0.3">
      <c r="A490" s="3" t="s">
        <v>1258</v>
      </c>
      <c r="B490" s="15">
        <v>46253</v>
      </c>
      <c r="C490" s="15">
        <v>46257</v>
      </c>
      <c r="D490" s="3" t="s">
        <v>1259</v>
      </c>
      <c r="E490" s="3" t="s">
        <v>188</v>
      </c>
      <c r="F490" s="3" t="s">
        <v>39</v>
      </c>
      <c r="G490" s="3">
        <v>27</v>
      </c>
      <c r="H490" s="3" t="s">
        <v>53</v>
      </c>
      <c r="I490" s="3" t="s">
        <v>41</v>
      </c>
      <c r="J490" s="3" t="s">
        <v>42</v>
      </c>
      <c r="K490" s="3" t="s">
        <v>54</v>
      </c>
      <c r="L490" s="3" t="s">
        <v>173</v>
      </c>
      <c r="M490" s="3" t="s">
        <v>45</v>
      </c>
      <c r="N490" s="3" t="s">
        <v>46</v>
      </c>
      <c r="O490" s="3" t="s">
        <v>55</v>
      </c>
      <c r="P490" s="3">
        <v>1</v>
      </c>
      <c r="Q490" s="9">
        <v>79900</v>
      </c>
      <c r="R490" s="6">
        <v>0.12</v>
      </c>
      <c r="S490" s="12">
        <f t="shared" si="91"/>
        <v>70312</v>
      </c>
      <c r="T490" s="12">
        <v>65000</v>
      </c>
      <c r="U490" s="9">
        <f t="shared" si="92"/>
        <v>5312</v>
      </c>
      <c r="V490" s="6">
        <f t="shared" si="93"/>
        <v>7.5548981681647517E-2</v>
      </c>
      <c r="W490" s="3" t="s">
        <v>56</v>
      </c>
      <c r="X490" s="3" t="s">
        <v>101</v>
      </c>
      <c r="Y490" s="3">
        <f t="shared" si="94"/>
        <v>4</v>
      </c>
      <c r="Z490" s="3" t="str">
        <f t="shared" si="95"/>
        <v>Premium</v>
      </c>
      <c r="AA490" s="3">
        <v>5</v>
      </c>
      <c r="AB490" s="3" t="str">
        <f t="shared" si="96"/>
        <v>Excellent</v>
      </c>
      <c r="AC490" s="3" t="str">
        <f t="shared" si="97"/>
        <v>August</v>
      </c>
      <c r="AD490" s="3" t="str">
        <f t="shared" si="98"/>
        <v>Q3</v>
      </c>
      <c r="AE490" s="3">
        <f t="shared" si="99"/>
        <v>2026</v>
      </c>
      <c r="AF490" s="3" t="str">
        <f t="shared" si="100"/>
        <v>Wednesday</v>
      </c>
      <c r="AG490" s="3" t="str">
        <f t="shared" si="101"/>
        <v>26-35</v>
      </c>
      <c r="AH490" s="3" t="str">
        <f t="shared" si="102"/>
        <v>Large</v>
      </c>
      <c r="AI490" s="3" t="str">
        <f t="shared" si="103"/>
        <v>Medium</v>
      </c>
      <c r="AJ490" s="3" t="str" cm="1">
        <f t="array" ref="AJ490">_xlfn.IFS(S490&gt;=80000,"VIP",S490&gt;=40000,"Gold",S490&gt;=15000,"Silver",TRUE,"Bronze")</f>
        <v>Gold</v>
      </c>
    </row>
    <row r="491" spans="1:36" x14ac:dyDescent="0.3">
      <c r="A491" s="3" t="s">
        <v>1260</v>
      </c>
      <c r="B491" s="15">
        <v>46374</v>
      </c>
      <c r="C491" s="15">
        <v>46379</v>
      </c>
      <c r="D491" s="3" t="s">
        <v>1261</v>
      </c>
      <c r="E491" s="3" t="s">
        <v>275</v>
      </c>
      <c r="F491" s="3" t="s">
        <v>52</v>
      </c>
      <c r="G491" s="3">
        <v>42</v>
      </c>
      <c r="H491" s="3" t="s">
        <v>68</v>
      </c>
      <c r="I491" s="3" t="s">
        <v>68</v>
      </c>
      <c r="J491" s="3" t="s">
        <v>69</v>
      </c>
      <c r="K491" s="3" t="s">
        <v>96</v>
      </c>
      <c r="L491" s="3" t="s">
        <v>166</v>
      </c>
      <c r="M491" s="3" t="s">
        <v>97</v>
      </c>
      <c r="N491" s="3" t="s">
        <v>98</v>
      </c>
      <c r="O491" s="3" t="s">
        <v>99</v>
      </c>
      <c r="P491" s="3">
        <v>1</v>
      </c>
      <c r="Q491" s="9">
        <v>4500</v>
      </c>
      <c r="R491" s="6">
        <v>0.15</v>
      </c>
      <c r="S491" s="12">
        <f t="shared" si="91"/>
        <v>3825</v>
      </c>
      <c r="T491" s="12">
        <v>3000</v>
      </c>
      <c r="U491" s="9">
        <f t="shared" si="92"/>
        <v>825</v>
      </c>
      <c r="V491" s="6">
        <f t="shared" si="93"/>
        <v>0.21568627450980393</v>
      </c>
      <c r="W491" s="3" t="s">
        <v>73</v>
      </c>
      <c r="X491" s="3" t="s">
        <v>49</v>
      </c>
      <c r="Y491" s="3">
        <f t="shared" si="94"/>
        <v>5</v>
      </c>
      <c r="Z491" s="3" t="str">
        <f t="shared" si="95"/>
        <v>Regular</v>
      </c>
      <c r="AA491" s="3">
        <v>5</v>
      </c>
      <c r="AB491" s="3" t="str">
        <f t="shared" si="96"/>
        <v>Excellent</v>
      </c>
      <c r="AC491" s="3" t="str">
        <f t="shared" si="97"/>
        <v>December</v>
      </c>
      <c r="AD491" s="3" t="str">
        <f t="shared" si="98"/>
        <v>Q4</v>
      </c>
      <c r="AE491" s="3">
        <f t="shared" si="99"/>
        <v>2026</v>
      </c>
      <c r="AF491" s="3" t="str">
        <f t="shared" si="100"/>
        <v>Friday</v>
      </c>
      <c r="AG491" s="3" t="str">
        <f t="shared" si="101"/>
        <v>36-45</v>
      </c>
      <c r="AH491" s="3" t="str">
        <f t="shared" si="102"/>
        <v>Small</v>
      </c>
      <c r="AI491" s="3" t="str">
        <f t="shared" si="103"/>
        <v>Medium</v>
      </c>
      <c r="AJ491" s="3" t="str" cm="1">
        <f t="array" ref="AJ491">_xlfn.IFS(S491&gt;=80000,"VIP",S491&gt;=40000,"Gold",S491&gt;=15000,"Silver",TRUE,"Bronze")</f>
        <v>Bronze</v>
      </c>
    </row>
    <row r="492" spans="1:36" x14ac:dyDescent="0.3">
      <c r="A492" s="3" t="s">
        <v>1262</v>
      </c>
      <c r="B492" s="15">
        <v>46289</v>
      </c>
      <c r="C492" s="15">
        <v>46294</v>
      </c>
      <c r="D492" s="3" t="s">
        <v>1263</v>
      </c>
      <c r="E492" s="3" t="s">
        <v>584</v>
      </c>
      <c r="F492" s="3" t="s">
        <v>39</v>
      </c>
      <c r="G492" s="3">
        <v>33</v>
      </c>
      <c r="H492" s="3" t="s">
        <v>53</v>
      </c>
      <c r="I492" s="3" t="s">
        <v>41</v>
      </c>
      <c r="J492" s="3" t="s">
        <v>42</v>
      </c>
      <c r="K492" s="3" t="s">
        <v>54</v>
      </c>
      <c r="L492" s="3" t="s">
        <v>173</v>
      </c>
      <c r="M492" s="3" t="s">
        <v>45</v>
      </c>
      <c r="N492" s="3" t="s">
        <v>46</v>
      </c>
      <c r="O492" s="3" t="s">
        <v>55</v>
      </c>
      <c r="P492" s="3">
        <v>2</v>
      </c>
      <c r="Q492" s="9">
        <v>79900</v>
      </c>
      <c r="R492" s="6">
        <v>0.12</v>
      </c>
      <c r="S492" s="12">
        <f t="shared" si="91"/>
        <v>140624</v>
      </c>
      <c r="T492" s="12">
        <v>65000</v>
      </c>
      <c r="U492" s="9">
        <f t="shared" si="92"/>
        <v>10624</v>
      </c>
      <c r="V492" s="6">
        <f t="shared" si="93"/>
        <v>7.5548981681647517E-2</v>
      </c>
      <c r="W492" s="3" t="s">
        <v>92</v>
      </c>
      <c r="X492" s="3" t="s">
        <v>106</v>
      </c>
      <c r="Y492" s="3">
        <f t="shared" si="94"/>
        <v>5</v>
      </c>
      <c r="Z492" s="3" t="str">
        <f t="shared" si="95"/>
        <v>Premium</v>
      </c>
      <c r="AA492" s="3">
        <v>3</v>
      </c>
      <c r="AB492" s="3" t="str">
        <f t="shared" si="96"/>
        <v>Average</v>
      </c>
      <c r="AC492" s="3" t="str">
        <f t="shared" si="97"/>
        <v>September</v>
      </c>
      <c r="AD492" s="3" t="str">
        <f t="shared" si="98"/>
        <v>Q3</v>
      </c>
      <c r="AE492" s="3">
        <f t="shared" si="99"/>
        <v>2026</v>
      </c>
      <c r="AF492" s="3" t="str">
        <f t="shared" si="100"/>
        <v>Thursday</v>
      </c>
      <c r="AG492" s="3" t="str">
        <f t="shared" si="101"/>
        <v>26-35</v>
      </c>
      <c r="AH492" s="3" t="str">
        <f t="shared" si="102"/>
        <v>Large</v>
      </c>
      <c r="AI492" s="3" t="str">
        <f t="shared" si="103"/>
        <v>Medium</v>
      </c>
      <c r="AJ492" s="3" t="str" cm="1">
        <f t="array" ref="AJ492">_xlfn.IFS(S492&gt;=80000,"VIP",S492&gt;=40000,"Gold",S492&gt;=15000,"Silver",TRUE,"Bronze")</f>
        <v>VIP</v>
      </c>
    </row>
    <row r="493" spans="1:36" x14ac:dyDescent="0.3">
      <c r="A493" s="3" t="s">
        <v>1264</v>
      </c>
      <c r="B493" s="15">
        <v>46146</v>
      </c>
      <c r="C493" s="15">
        <v>46151</v>
      </c>
      <c r="D493" s="3" t="s">
        <v>1265</v>
      </c>
      <c r="E493" s="3" t="s">
        <v>215</v>
      </c>
      <c r="F493" s="3" t="s">
        <v>39</v>
      </c>
      <c r="G493" s="3">
        <v>38</v>
      </c>
      <c r="H493" s="3" t="s">
        <v>68</v>
      </c>
      <c r="I493" s="3" t="s">
        <v>68</v>
      </c>
      <c r="J493" s="3" t="s">
        <v>69</v>
      </c>
      <c r="K493" s="3" t="s">
        <v>70</v>
      </c>
      <c r="L493" s="3" t="s">
        <v>71</v>
      </c>
      <c r="M493" s="3" t="s">
        <v>45</v>
      </c>
      <c r="N493" s="3" t="s">
        <v>63</v>
      </c>
      <c r="O493" s="3" t="s">
        <v>72</v>
      </c>
      <c r="P493" s="3">
        <v>4</v>
      </c>
      <c r="Q493" s="9">
        <v>58000</v>
      </c>
      <c r="R493" s="6">
        <v>0.1</v>
      </c>
      <c r="S493" s="12">
        <f t="shared" si="91"/>
        <v>208800</v>
      </c>
      <c r="T493" s="12">
        <v>49000</v>
      </c>
      <c r="U493" s="9">
        <f t="shared" si="92"/>
        <v>12800</v>
      </c>
      <c r="V493" s="6">
        <f t="shared" si="93"/>
        <v>6.1302681992337162E-2</v>
      </c>
      <c r="W493" s="3" t="s">
        <v>73</v>
      </c>
      <c r="X493" s="3" t="s">
        <v>106</v>
      </c>
      <c r="Y493" s="3">
        <f t="shared" si="94"/>
        <v>5</v>
      </c>
      <c r="Z493" s="3" t="str">
        <f t="shared" si="95"/>
        <v>Premium</v>
      </c>
      <c r="AA493" s="3">
        <v>5</v>
      </c>
      <c r="AB493" s="3" t="str">
        <f t="shared" si="96"/>
        <v>Excellent</v>
      </c>
      <c r="AC493" s="3" t="str">
        <f t="shared" si="97"/>
        <v>May</v>
      </c>
      <c r="AD493" s="3" t="str">
        <f t="shared" si="98"/>
        <v>Q2</v>
      </c>
      <c r="AE493" s="3">
        <f t="shared" si="99"/>
        <v>2026</v>
      </c>
      <c r="AF493" s="3" t="str">
        <f t="shared" si="100"/>
        <v>Monday</v>
      </c>
      <c r="AG493" s="3" t="str">
        <f t="shared" si="101"/>
        <v>36-45</v>
      </c>
      <c r="AH493" s="3" t="str">
        <f t="shared" si="102"/>
        <v>Large</v>
      </c>
      <c r="AI493" s="3" t="str">
        <f t="shared" si="103"/>
        <v>Medium</v>
      </c>
      <c r="AJ493" s="3" t="str" cm="1">
        <f t="array" ref="AJ493">_xlfn.IFS(S493&gt;=80000,"VIP",S493&gt;=40000,"Gold",S493&gt;=15000,"Silver",TRUE,"Bronze")</f>
        <v>VIP</v>
      </c>
    </row>
    <row r="494" spans="1:36" x14ac:dyDescent="0.3">
      <c r="A494" s="3" t="s">
        <v>1266</v>
      </c>
      <c r="B494" s="15">
        <v>46285</v>
      </c>
      <c r="C494" s="15">
        <v>46291</v>
      </c>
      <c r="D494" s="3" t="s">
        <v>1267</v>
      </c>
      <c r="E494" s="3" t="s">
        <v>344</v>
      </c>
      <c r="F494" s="3" t="s">
        <v>52</v>
      </c>
      <c r="G494" s="3">
        <v>29</v>
      </c>
      <c r="H494" s="3" t="s">
        <v>110</v>
      </c>
      <c r="I494" s="3" t="s">
        <v>111</v>
      </c>
      <c r="J494" s="3" t="s">
        <v>80</v>
      </c>
      <c r="K494" s="3" t="s">
        <v>70</v>
      </c>
      <c r="L494" s="3" t="s">
        <v>71</v>
      </c>
      <c r="M494" s="3" t="s">
        <v>45</v>
      </c>
      <c r="N494" s="3" t="s">
        <v>63</v>
      </c>
      <c r="O494" s="3" t="s">
        <v>72</v>
      </c>
      <c r="P494" s="3">
        <v>2</v>
      </c>
      <c r="Q494" s="9">
        <v>58000</v>
      </c>
      <c r="R494" s="6">
        <v>0.05</v>
      </c>
      <c r="S494" s="12">
        <f t="shared" si="91"/>
        <v>110200</v>
      </c>
      <c r="T494" s="12">
        <v>49000</v>
      </c>
      <c r="U494" s="9">
        <f t="shared" si="92"/>
        <v>12200</v>
      </c>
      <c r="V494" s="6">
        <f t="shared" si="93"/>
        <v>0.11070780399274047</v>
      </c>
      <c r="W494" s="3" t="s">
        <v>73</v>
      </c>
      <c r="X494" s="3" t="s">
        <v>101</v>
      </c>
      <c r="Y494" s="3">
        <f t="shared" si="94"/>
        <v>6</v>
      </c>
      <c r="Z494" s="3" t="str">
        <f t="shared" si="95"/>
        <v>Premium</v>
      </c>
      <c r="AA494" s="3">
        <v>3</v>
      </c>
      <c r="AB494" s="3" t="str">
        <f t="shared" si="96"/>
        <v>Average</v>
      </c>
      <c r="AC494" s="3" t="str">
        <f t="shared" si="97"/>
        <v>September</v>
      </c>
      <c r="AD494" s="3" t="str">
        <f t="shared" si="98"/>
        <v>Q3</v>
      </c>
      <c r="AE494" s="3">
        <f t="shared" si="99"/>
        <v>2026</v>
      </c>
      <c r="AF494" s="3" t="str">
        <f t="shared" si="100"/>
        <v>Sunday</v>
      </c>
      <c r="AG494" s="3" t="str">
        <f t="shared" si="101"/>
        <v>26-35</v>
      </c>
      <c r="AH494" s="3" t="str">
        <f t="shared" si="102"/>
        <v>Large</v>
      </c>
      <c r="AI494" s="3" t="str">
        <f t="shared" si="103"/>
        <v>Low</v>
      </c>
      <c r="AJ494" s="3" t="str" cm="1">
        <f t="array" ref="AJ494">_xlfn.IFS(S494&gt;=80000,"VIP",S494&gt;=40000,"Gold",S494&gt;=15000,"Silver",TRUE,"Bronze")</f>
        <v>VIP</v>
      </c>
    </row>
    <row r="495" spans="1:36" x14ac:dyDescent="0.3">
      <c r="A495" s="3" t="s">
        <v>1268</v>
      </c>
      <c r="B495" s="15">
        <v>46323</v>
      </c>
      <c r="C495" s="15">
        <v>46329</v>
      </c>
      <c r="D495" s="3" t="s">
        <v>1269</v>
      </c>
      <c r="E495" s="3" t="s">
        <v>325</v>
      </c>
      <c r="F495" s="3" t="s">
        <v>39</v>
      </c>
      <c r="G495" s="3">
        <v>33</v>
      </c>
      <c r="H495" s="3" t="s">
        <v>119</v>
      </c>
      <c r="I495" s="3" t="s">
        <v>120</v>
      </c>
      <c r="J495" s="3" t="s">
        <v>121</v>
      </c>
      <c r="K495" s="3" t="s">
        <v>70</v>
      </c>
      <c r="L495" s="3" t="s">
        <v>71</v>
      </c>
      <c r="M495" s="3" t="s">
        <v>45</v>
      </c>
      <c r="N495" s="3" t="s">
        <v>63</v>
      </c>
      <c r="O495" s="3" t="s">
        <v>72</v>
      </c>
      <c r="P495" s="3">
        <v>4</v>
      </c>
      <c r="Q495" s="9">
        <v>58000</v>
      </c>
      <c r="R495" s="6">
        <v>0.2</v>
      </c>
      <c r="S495" s="12">
        <f t="shared" si="91"/>
        <v>185600</v>
      </c>
      <c r="T495" s="12">
        <v>49000</v>
      </c>
      <c r="U495" s="9">
        <f t="shared" si="92"/>
        <v>-10400</v>
      </c>
      <c r="V495" s="6">
        <f t="shared" si="93"/>
        <v>-5.6034482758620691E-2</v>
      </c>
      <c r="W495" s="3" t="s">
        <v>48</v>
      </c>
      <c r="X495" s="3" t="s">
        <v>74</v>
      </c>
      <c r="Y495" s="3">
        <f t="shared" si="94"/>
        <v>6</v>
      </c>
      <c r="Z495" s="3" t="str">
        <f t="shared" si="95"/>
        <v>Premium</v>
      </c>
      <c r="AA495" s="3">
        <v>5</v>
      </c>
      <c r="AB495" s="3" t="str">
        <f t="shared" si="96"/>
        <v>Excellent</v>
      </c>
      <c r="AC495" s="3" t="str">
        <f t="shared" si="97"/>
        <v>October</v>
      </c>
      <c r="AD495" s="3" t="str">
        <f t="shared" si="98"/>
        <v>Q4</v>
      </c>
      <c r="AE495" s="3">
        <f t="shared" si="99"/>
        <v>2026</v>
      </c>
      <c r="AF495" s="3" t="str">
        <f t="shared" si="100"/>
        <v>Wednesday</v>
      </c>
      <c r="AG495" s="3" t="str">
        <f t="shared" si="101"/>
        <v>26-35</v>
      </c>
      <c r="AH495" s="3" t="str">
        <f t="shared" si="102"/>
        <v>Large</v>
      </c>
      <c r="AI495" s="3" t="str">
        <f t="shared" si="103"/>
        <v>High</v>
      </c>
      <c r="AJ495" s="3" t="str" cm="1">
        <f t="array" ref="AJ495">_xlfn.IFS(S495&gt;=80000,"VIP",S495&gt;=40000,"Gold",S495&gt;=15000,"Silver",TRUE,"Bronze")</f>
        <v>VIP</v>
      </c>
    </row>
    <row r="496" spans="1:36" x14ac:dyDescent="0.3">
      <c r="A496" s="3" t="s">
        <v>1270</v>
      </c>
      <c r="B496" s="15">
        <v>46228</v>
      </c>
      <c r="C496" s="15">
        <v>46232</v>
      </c>
      <c r="D496" s="3" t="s">
        <v>1271</v>
      </c>
      <c r="E496" s="3" t="s">
        <v>172</v>
      </c>
      <c r="F496" s="3" t="s">
        <v>39</v>
      </c>
      <c r="G496" s="3">
        <v>47</v>
      </c>
      <c r="H496" s="3" t="s">
        <v>88</v>
      </c>
      <c r="I496" s="3" t="s">
        <v>89</v>
      </c>
      <c r="J496" s="3" t="s">
        <v>80</v>
      </c>
      <c r="K496" s="3" t="s">
        <v>62</v>
      </c>
      <c r="L496" s="3" t="s">
        <v>163</v>
      </c>
      <c r="M496" s="3" t="s">
        <v>45</v>
      </c>
      <c r="N496" s="3" t="s">
        <v>63</v>
      </c>
      <c r="O496" s="3" t="s">
        <v>64</v>
      </c>
      <c r="P496" s="3">
        <v>5</v>
      </c>
      <c r="Q496" s="9">
        <v>62000</v>
      </c>
      <c r="R496" s="6">
        <v>0.1</v>
      </c>
      <c r="S496" s="12">
        <f t="shared" si="91"/>
        <v>279000</v>
      </c>
      <c r="T496" s="12">
        <v>52000</v>
      </c>
      <c r="U496" s="9">
        <f t="shared" si="92"/>
        <v>19000</v>
      </c>
      <c r="V496" s="6">
        <f t="shared" si="93"/>
        <v>6.8100358422939072E-2</v>
      </c>
      <c r="W496" s="3" t="s">
        <v>65</v>
      </c>
      <c r="X496" s="3" t="s">
        <v>74</v>
      </c>
      <c r="Y496" s="3">
        <f t="shared" si="94"/>
        <v>4</v>
      </c>
      <c r="Z496" s="3" t="str">
        <f t="shared" si="95"/>
        <v>Premium</v>
      </c>
      <c r="AA496" s="3">
        <v>2</v>
      </c>
      <c r="AB496" s="3" t="str">
        <f t="shared" si="96"/>
        <v>Average</v>
      </c>
      <c r="AC496" s="3" t="str">
        <f t="shared" si="97"/>
        <v>July</v>
      </c>
      <c r="AD496" s="3" t="str">
        <f t="shared" si="98"/>
        <v>Q3</v>
      </c>
      <c r="AE496" s="3">
        <f t="shared" si="99"/>
        <v>2026</v>
      </c>
      <c r="AF496" s="3" t="str">
        <f t="shared" si="100"/>
        <v>Saturday</v>
      </c>
      <c r="AG496" s="3" t="str">
        <f t="shared" si="101"/>
        <v>46+</v>
      </c>
      <c r="AH496" s="3" t="str">
        <f t="shared" si="102"/>
        <v>Large</v>
      </c>
      <c r="AI496" s="3" t="str">
        <f t="shared" si="103"/>
        <v>Medium</v>
      </c>
      <c r="AJ496" s="3" t="str" cm="1">
        <f t="array" ref="AJ496">_xlfn.IFS(S496&gt;=80000,"VIP",S496&gt;=40000,"Gold",S496&gt;=15000,"Silver",TRUE,"Bronze")</f>
        <v>VIP</v>
      </c>
    </row>
    <row r="497" spans="1:36" x14ac:dyDescent="0.3">
      <c r="A497" s="3" t="s">
        <v>1272</v>
      </c>
      <c r="B497" s="15">
        <v>46045</v>
      </c>
      <c r="C497" s="15">
        <v>46050</v>
      </c>
      <c r="D497" s="3" t="s">
        <v>1273</v>
      </c>
      <c r="E497" s="3" t="s">
        <v>269</v>
      </c>
      <c r="F497" s="3" t="s">
        <v>39</v>
      </c>
      <c r="G497" s="3">
        <v>48</v>
      </c>
      <c r="H497" s="3" t="s">
        <v>119</v>
      </c>
      <c r="I497" s="3" t="s">
        <v>120</v>
      </c>
      <c r="J497" s="3" t="s">
        <v>121</v>
      </c>
      <c r="K497" s="3" t="s">
        <v>43</v>
      </c>
      <c r="L497" s="3" t="s">
        <v>44</v>
      </c>
      <c r="M497" s="3" t="s">
        <v>45</v>
      </c>
      <c r="N497" s="3" t="s">
        <v>46</v>
      </c>
      <c r="O497" s="3" t="s">
        <v>47</v>
      </c>
      <c r="P497" s="3">
        <v>4</v>
      </c>
      <c r="Q497" s="9">
        <v>28500</v>
      </c>
      <c r="R497" s="6">
        <v>0.12</v>
      </c>
      <c r="S497" s="12">
        <f t="shared" si="91"/>
        <v>100320</v>
      </c>
      <c r="T497" s="12">
        <v>22000</v>
      </c>
      <c r="U497" s="9">
        <f t="shared" si="92"/>
        <v>12320</v>
      </c>
      <c r="V497" s="6">
        <f t="shared" si="93"/>
        <v>0.12280701754385964</v>
      </c>
      <c r="W497" s="3" t="s">
        <v>100</v>
      </c>
      <c r="X497" s="3" t="s">
        <v>49</v>
      </c>
      <c r="Y497" s="3">
        <f t="shared" si="94"/>
        <v>5</v>
      </c>
      <c r="Z497" s="3" t="str">
        <f t="shared" si="95"/>
        <v>Premium</v>
      </c>
      <c r="AA497" s="3">
        <v>2</v>
      </c>
      <c r="AB497" s="3" t="str">
        <f t="shared" si="96"/>
        <v>Average</v>
      </c>
      <c r="AC497" s="3" t="str">
        <f t="shared" si="97"/>
        <v>January</v>
      </c>
      <c r="AD497" s="3" t="str">
        <f t="shared" si="98"/>
        <v>Q1</v>
      </c>
      <c r="AE497" s="3">
        <f t="shared" si="99"/>
        <v>2026</v>
      </c>
      <c r="AF497" s="3" t="str">
        <f t="shared" si="100"/>
        <v>Friday</v>
      </c>
      <c r="AG497" s="3" t="str">
        <f t="shared" si="101"/>
        <v>46+</v>
      </c>
      <c r="AH497" s="3" t="str">
        <f t="shared" si="102"/>
        <v>Large</v>
      </c>
      <c r="AI497" s="3" t="str">
        <f t="shared" si="103"/>
        <v>Medium</v>
      </c>
      <c r="AJ497" s="3" t="str" cm="1">
        <f t="array" ref="AJ497">_xlfn.IFS(S497&gt;=80000,"VIP",S497&gt;=40000,"Gold",S497&gt;=15000,"Silver",TRUE,"Bronze")</f>
        <v>VIP</v>
      </c>
    </row>
    <row r="498" spans="1:36" x14ac:dyDescent="0.3">
      <c r="A498" s="3" t="s">
        <v>1274</v>
      </c>
      <c r="B498" s="15">
        <v>46379</v>
      </c>
      <c r="C498" s="15">
        <v>46385</v>
      </c>
      <c r="D498" s="3" t="s">
        <v>1275</v>
      </c>
      <c r="E498" s="3" t="s">
        <v>388</v>
      </c>
      <c r="F498" s="3" t="s">
        <v>39</v>
      </c>
      <c r="G498" s="3">
        <v>24</v>
      </c>
      <c r="H498" s="3" t="s">
        <v>119</v>
      </c>
      <c r="I498" s="3" t="s">
        <v>120</v>
      </c>
      <c r="J498" s="3" t="s">
        <v>121</v>
      </c>
      <c r="K498" s="3" t="s">
        <v>43</v>
      </c>
      <c r="L498" s="3" t="s">
        <v>44</v>
      </c>
      <c r="M498" s="3" t="s">
        <v>45</v>
      </c>
      <c r="N498" s="3" t="s">
        <v>46</v>
      </c>
      <c r="O498" s="3" t="s">
        <v>47</v>
      </c>
      <c r="P498" s="3">
        <v>4</v>
      </c>
      <c r="Q498" s="9">
        <v>28500</v>
      </c>
      <c r="R498" s="6">
        <v>0.05</v>
      </c>
      <c r="S498" s="12">
        <f t="shared" si="91"/>
        <v>108300</v>
      </c>
      <c r="T498" s="12">
        <v>22000</v>
      </c>
      <c r="U498" s="9">
        <f t="shared" si="92"/>
        <v>20300</v>
      </c>
      <c r="V498" s="6">
        <f t="shared" si="93"/>
        <v>0.18744228993536471</v>
      </c>
      <c r="W498" s="3" t="s">
        <v>48</v>
      </c>
      <c r="X498" s="3" t="s">
        <v>74</v>
      </c>
      <c r="Y498" s="3">
        <f t="shared" si="94"/>
        <v>6</v>
      </c>
      <c r="Z498" s="3" t="str">
        <f t="shared" si="95"/>
        <v>Premium</v>
      </c>
      <c r="AA498" s="3">
        <v>2</v>
      </c>
      <c r="AB498" s="3" t="str">
        <f t="shared" si="96"/>
        <v>Average</v>
      </c>
      <c r="AC498" s="3" t="str">
        <f t="shared" si="97"/>
        <v>December</v>
      </c>
      <c r="AD498" s="3" t="str">
        <f t="shared" si="98"/>
        <v>Q4</v>
      </c>
      <c r="AE498" s="3">
        <f t="shared" si="99"/>
        <v>2026</v>
      </c>
      <c r="AF498" s="3" t="str">
        <f t="shared" si="100"/>
        <v>Wednesday</v>
      </c>
      <c r="AG498" s="3" t="str">
        <f t="shared" si="101"/>
        <v>18-25</v>
      </c>
      <c r="AH498" s="3" t="str">
        <f t="shared" si="102"/>
        <v>Large</v>
      </c>
      <c r="AI498" s="3" t="str">
        <f t="shared" si="103"/>
        <v>Low</v>
      </c>
      <c r="AJ498" s="3" t="str" cm="1">
        <f t="array" ref="AJ498">_xlfn.IFS(S498&gt;=80000,"VIP",S498&gt;=40000,"Gold",S498&gt;=15000,"Silver",TRUE,"Bronze")</f>
        <v>VIP</v>
      </c>
    </row>
    <row r="499" spans="1:36" x14ac:dyDescent="0.3">
      <c r="A499" s="3" t="s">
        <v>1276</v>
      </c>
      <c r="B499" s="15">
        <v>46107</v>
      </c>
      <c r="C499" s="15">
        <v>46112</v>
      </c>
      <c r="D499" s="3" t="s">
        <v>1277</v>
      </c>
      <c r="E499" s="3" t="s">
        <v>168</v>
      </c>
      <c r="F499" s="3" t="s">
        <v>39</v>
      </c>
      <c r="G499" s="3">
        <v>20</v>
      </c>
      <c r="H499" s="3" t="s">
        <v>40</v>
      </c>
      <c r="I499" s="3" t="s">
        <v>41</v>
      </c>
      <c r="J499" s="3" t="s">
        <v>42</v>
      </c>
      <c r="K499" s="3" t="s">
        <v>62</v>
      </c>
      <c r="L499" s="3" t="s">
        <v>163</v>
      </c>
      <c r="M499" s="3" t="s">
        <v>45</v>
      </c>
      <c r="N499" s="3" t="s">
        <v>63</v>
      </c>
      <c r="O499" s="3" t="s">
        <v>64</v>
      </c>
      <c r="P499" s="3">
        <v>2</v>
      </c>
      <c r="Q499" s="9">
        <v>62000</v>
      </c>
      <c r="R499" s="6">
        <v>0.15</v>
      </c>
      <c r="S499" s="12">
        <f t="shared" si="91"/>
        <v>105400</v>
      </c>
      <c r="T499" s="12">
        <v>52000</v>
      </c>
      <c r="U499" s="9">
        <f t="shared" si="92"/>
        <v>1400</v>
      </c>
      <c r="V499" s="6">
        <f t="shared" si="93"/>
        <v>1.3282732447817837E-2</v>
      </c>
      <c r="W499" s="3" t="s">
        <v>56</v>
      </c>
      <c r="X499" s="3" t="s">
        <v>101</v>
      </c>
      <c r="Y499" s="3">
        <f t="shared" si="94"/>
        <v>5</v>
      </c>
      <c r="Z499" s="3" t="str">
        <f t="shared" si="95"/>
        <v>Premium</v>
      </c>
      <c r="AA499" s="3">
        <v>2</v>
      </c>
      <c r="AB499" s="3" t="str">
        <f t="shared" si="96"/>
        <v>Average</v>
      </c>
      <c r="AC499" s="3" t="str">
        <f t="shared" si="97"/>
        <v>March</v>
      </c>
      <c r="AD499" s="3" t="str">
        <f t="shared" si="98"/>
        <v>Q1</v>
      </c>
      <c r="AE499" s="3">
        <f t="shared" si="99"/>
        <v>2026</v>
      </c>
      <c r="AF499" s="3" t="str">
        <f t="shared" si="100"/>
        <v>Thursday</v>
      </c>
      <c r="AG499" s="3" t="str">
        <f t="shared" si="101"/>
        <v>18-25</v>
      </c>
      <c r="AH499" s="3" t="str">
        <f t="shared" si="102"/>
        <v>Large</v>
      </c>
      <c r="AI499" s="3" t="str">
        <f t="shared" si="103"/>
        <v>Medium</v>
      </c>
      <c r="AJ499" s="3" t="str" cm="1">
        <f t="array" ref="AJ499">_xlfn.IFS(S499&gt;=80000,"VIP",S499&gt;=40000,"Gold",S499&gt;=15000,"Silver",TRUE,"Bronze")</f>
        <v>VIP</v>
      </c>
    </row>
    <row r="500" spans="1:36" x14ac:dyDescent="0.3">
      <c r="A500" s="3" t="s">
        <v>1278</v>
      </c>
      <c r="B500" s="15">
        <v>46023</v>
      </c>
      <c r="C500" s="15">
        <v>46027</v>
      </c>
      <c r="D500" s="3" t="s">
        <v>1279</v>
      </c>
      <c r="E500" s="3" t="s">
        <v>266</v>
      </c>
      <c r="F500" s="3" t="s">
        <v>52</v>
      </c>
      <c r="G500" s="3">
        <v>32</v>
      </c>
      <c r="H500" s="3" t="s">
        <v>88</v>
      </c>
      <c r="I500" s="3" t="s">
        <v>89</v>
      </c>
      <c r="J500" s="3" t="s">
        <v>80</v>
      </c>
      <c r="K500" s="3" t="s">
        <v>62</v>
      </c>
      <c r="L500" s="3" t="s">
        <v>163</v>
      </c>
      <c r="M500" s="3" t="s">
        <v>45</v>
      </c>
      <c r="N500" s="3" t="s">
        <v>63</v>
      </c>
      <c r="O500" s="3" t="s">
        <v>64</v>
      </c>
      <c r="P500" s="3">
        <v>1</v>
      </c>
      <c r="Q500" s="9">
        <v>62000</v>
      </c>
      <c r="R500" s="6">
        <v>0.15</v>
      </c>
      <c r="S500" s="12">
        <f t="shared" si="91"/>
        <v>52700</v>
      </c>
      <c r="T500" s="12">
        <v>52000</v>
      </c>
      <c r="U500" s="9">
        <f t="shared" si="92"/>
        <v>700</v>
      </c>
      <c r="V500" s="6">
        <f t="shared" si="93"/>
        <v>1.3282732447817837E-2</v>
      </c>
      <c r="W500" s="3" t="s">
        <v>73</v>
      </c>
      <c r="X500" s="3" t="s">
        <v>106</v>
      </c>
      <c r="Y500" s="3">
        <f t="shared" si="94"/>
        <v>4</v>
      </c>
      <c r="Z500" s="3" t="str">
        <f t="shared" si="95"/>
        <v>Premium</v>
      </c>
      <c r="AA500" s="3">
        <v>3</v>
      </c>
      <c r="AB500" s="3" t="str">
        <f t="shared" si="96"/>
        <v>Average</v>
      </c>
      <c r="AC500" s="3" t="str">
        <f t="shared" si="97"/>
        <v>January</v>
      </c>
      <c r="AD500" s="3" t="str">
        <f t="shared" si="98"/>
        <v>Q1</v>
      </c>
      <c r="AE500" s="3">
        <f t="shared" si="99"/>
        <v>2026</v>
      </c>
      <c r="AF500" s="3" t="str">
        <f t="shared" si="100"/>
        <v>Thursday</v>
      </c>
      <c r="AG500" s="3" t="str">
        <f t="shared" si="101"/>
        <v>26-35</v>
      </c>
      <c r="AH500" s="3" t="str">
        <f t="shared" si="102"/>
        <v>Large</v>
      </c>
      <c r="AI500" s="3" t="str">
        <f t="shared" si="103"/>
        <v>Medium</v>
      </c>
      <c r="AJ500" s="3" t="str" cm="1">
        <f t="array" ref="AJ500">_xlfn.IFS(S500&gt;=80000,"VIP",S500&gt;=40000,"Gold",S500&gt;=15000,"Silver",TRUE,"Bronze")</f>
        <v>Gold</v>
      </c>
    </row>
    <row r="501" spans="1:36" x14ac:dyDescent="0.3">
      <c r="A501" s="3" t="s">
        <v>1280</v>
      </c>
      <c r="B501" s="15">
        <v>46206</v>
      </c>
      <c r="C501" s="15">
        <v>46212</v>
      </c>
      <c r="D501" s="3" t="s">
        <v>1281</v>
      </c>
      <c r="E501" s="3" t="s">
        <v>185</v>
      </c>
      <c r="F501" s="3" t="s">
        <v>39</v>
      </c>
      <c r="G501" s="3">
        <v>44</v>
      </c>
      <c r="H501" s="3" t="s">
        <v>40</v>
      </c>
      <c r="I501" s="3" t="s">
        <v>41</v>
      </c>
      <c r="J501" s="3" t="s">
        <v>42</v>
      </c>
      <c r="K501" s="3" t="s">
        <v>43</v>
      </c>
      <c r="L501" s="3" t="s">
        <v>44</v>
      </c>
      <c r="M501" s="3" t="s">
        <v>45</v>
      </c>
      <c r="N501" s="3" t="s">
        <v>46</v>
      </c>
      <c r="O501" s="3" t="s">
        <v>47</v>
      </c>
      <c r="P501" s="3">
        <v>4</v>
      </c>
      <c r="Q501" s="9">
        <v>28500</v>
      </c>
      <c r="R501" s="6">
        <v>0.2</v>
      </c>
      <c r="S501" s="12">
        <f t="shared" si="91"/>
        <v>91200</v>
      </c>
      <c r="T501" s="12">
        <v>22000</v>
      </c>
      <c r="U501" s="9">
        <f t="shared" si="92"/>
        <v>3200</v>
      </c>
      <c r="V501" s="6">
        <f t="shared" si="93"/>
        <v>3.5087719298245612E-2</v>
      </c>
      <c r="W501" s="3" t="s">
        <v>73</v>
      </c>
      <c r="X501" s="3" t="s">
        <v>106</v>
      </c>
      <c r="Y501" s="3">
        <f t="shared" si="94"/>
        <v>6</v>
      </c>
      <c r="Z501" s="3" t="str">
        <f t="shared" si="95"/>
        <v>Premium</v>
      </c>
      <c r="AA501" s="3">
        <v>3</v>
      </c>
      <c r="AB501" s="3" t="str">
        <f t="shared" si="96"/>
        <v>Average</v>
      </c>
      <c r="AC501" s="3" t="str">
        <f t="shared" si="97"/>
        <v>July</v>
      </c>
      <c r="AD501" s="3" t="str">
        <f t="shared" si="98"/>
        <v>Q3</v>
      </c>
      <c r="AE501" s="3">
        <f t="shared" si="99"/>
        <v>2026</v>
      </c>
      <c r="AF501" s="3" t="str">
        <f t="shared" si="100"/>
        <v>Friday</v>
      </c>
      <c r="AG501" s="3" t="str">
        <f t="shared" si="101"/>
        <v>36-45</v>
      </c>
      <c r="AH501" s="3" t="str">
        <f t="shared" si="102"/>
        <v>Large</v>
      </c>
      <c r="AI501" s="3" t="str">
        <f t="shared" si="103"/>
        <v>High</v>
      </c>
      <c r="AJ501" s="3" t="str" cm="1">
        <f t="array" ref="AJ501">_xlfn.IFS(S501&gt;=80000,"VIP",S501&gt;=40000,"Gold",S501&gt;=15000,"Silver",TRUE,"Bronze")</f>
        <v>VIP</v>
      </c>
    </row>
  </sheetData>
  <phoneticPr fontId="2" type="noConversion"/>
  <conditionalFormatting sqref="R1:R1048576">
    <cfRule type="cellIs" dxfId="5" priority="4" operator="greaterThan">
      <formula>0.15</formula>
    </cfRule>
  </conditionalFormatting>
  <conditionalFormatting sqref="S1:S1048576">
    <cfRule type="dataBar" priority="8">
      <dataBar>
        <cfvo type="min"/>
        <cfvo type="max"/>
        <color rgb="FF638EC6"/>
      </dataBar>
      <extLst>
        <ext xmlns:x14="http://schemas.microsoft.com/office/spreadsheetml/2009/9/main" uri="{B025F937-C7B1-47D3-B67F-A62EFF666E3E}">
          <x14:id>{A9BA70C2-AE57-4E75-AAD5-1B06624B1C81}</x14:id>
        </ext>
      </extLst>
    </cfRule>
  </conditionalFormatting>
  <conditionalFormatting sqref="V1:V1048576">
    <cfRule type="cellIs" dxfId="4" priority="6" operator="lessThan">
      <formula>0</formula>
    </cfRule>
    <cfRule type="cellIs" dxfId="3" priority="7" operator="greaterThan">
      <formula>0</formula>
    </cfRule>
  </conditionalFormatting>
  <conditionalFormatting sqref="X1:X1048576">
    <cfRule type="cellIs" dxfId="2" priority="1" operator="equal">
      <formula>"Cancelled"</formula>
    </cfRule>
    <cfRule type="cellIs" dxfId="1" priority="2" operator="equal">
      <formula>"Pending"</formula>
    </cfRule>
    <cfRule type="cellIs" dxfId="0" priority="3" operator="equal">
      <formula>"Delivered"</formula>
    </cfRule>
  </conditionalFormatting>
  <conditionalFormatting sqref="AA1:AA1048576">
    <cfRule type="colorScale" priority="5">
      <colorScale>
        <cfvo type="min"/>
        <cfvo type="percentile" val="50"/>
        <cfvo type="max"/>
        <color rgb="FFF8696B"/>
        <color rgb="FFFCFCFF"/>
        <color rgb="FF63BE7B"/>
      </colorScale>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A9BA70C2-AE57-4E75-AAD5-1B06624B1C81}">
            <x14:dataBar minLength="0" maxLength="100" border="1" negativeBarBorderColorSameAsPositive="0">
              <x14:cfvo type="autoMin"/>
              <x14:cfvo type="autoMax"/>
              <x14:borderColor rgb="FF638EC6"/>
              <x14:negativeFillColor rgb="FFFF0000"/>
              <x14:negativeBorderColor rgb="FFFF0000"/>
              <x14:axisColor rgb="FF000000"/>
            </x14:dataBar>
          </x14:cfRule>
          <xm:sqref>S1:S1048576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2FE90-19DF-414B-8AB3-B19B29FD138C}">
  <dimension ref="B3:R33"/>
  <sheetViews>
    <sheetView topLeftCell="E11" workbookViewId="0">
      <selection activeCell="Q19" sqref="Q19"/>
    </sheetView>
  </sheetViews>
  <sheetFormatPr defaultRowHeight="14.4" x14ac:dyDescent="0.3"/>
  <cols>
    <col min="2" max="2" width="12.5546875" bestFit="1" customWidth="1"/>
    <col min="3" max="3" width="19.21875" bestFit="1" customWidth="1"/>
    <col min="5" max="5" width="12.5546875" bestFit="1" customWidth="1"/>
    <col min="6" max="6" width="16" bestFit="1" customWidth="1"/>
    <col min="8" max="8" width="14.21875" bestFit="1" customWidth="1"/>
    <col min="9" max="9" width="10.44140625" bestFit="1" customWidth="1"/>
    <col min="11" max="11" width="12.5546875" bestFit="1" customWidth="1"/>
    <col min="12" max="12" width="13.21875" bestFit="1" customWidth="1"/>
    <col min="14" max="14" width="12.5546875" bestFit="1" customWidth="1"/>
    <col min="15" max="15" width="15.88671875" bestFit="1" customWidth="1"/>
    <col min="17" max="17" width="17.77734375" bestFit="1" customWidth="1"/>
    <col min="18" max="18" width="19.21875" bestFit="1" customWidth="1"/>
  </cols>
  <sheetData>
    <row r="3" spans="2:18" x14ac:dyDescent="0.3">
      <c r="B3" s="27" t="s">
        <v>1290</v>
      </c>
      <c r="C3" t="s">
        <v>1292</v>
      </c>
      <c r="E3" s="27" t="s">
        <v>1290</v>
      </c>
      <c r="F3" t="s">
        <v>1293</v>
      </c>
      <c r="H3" s="27" t="s">
        <v>1290</v>
      </c>
      <c r="I3" t="s">
        <v>1292</v>
      </c>
      <c r="K3" s="27" t="s">
        <v>1290</v>
      </c>
      <c r="L3" t="s">
        <v>1292</v>
      </c>
      <c r="N3" s="27" t="s">
        <v>1290</v>
      </c>
      <c r="O3" t="s">
        <v>1292</v>
      </c>
      <c r="Q3" s="27" t="s">
        <v>1290</v>
      </c>
      <c r="R3" t="s">
        <v>1292</v>
      </c>
    </row>
    <row r="4" spans="2:18" x14ac:dyDescent="0.3">
      <c r="B4" s="24" t="s">
        <v>45</v>
      </c>
      <c r="C4" s="17">
        <v>43847254</v>
      </c>
      <c r="E4" s="24" t="s">
        <v>45</v>
      </c>
      <c r="F4" s="18">
        <v>2888654</v>
      </c>
      <c r="H4" s="24" t="s">
        <v>1294</v>
      </c>
      <c r="I4" s="17">
        <v>5246698</v>
      </c>
      <c r="K4" s="24" t="s">
        <v>121</v>
      </c>
      <c r="L4" s="17">
        <v>4985153</v>
      </c>
      <c r="N4" s="24" t="s">
        <v>55</v>
      </c>
      <c r="O4" s="17">
        <v>12021754</v>
      </c>
      <c r="Q4" s="24" t="s">
        <v>77</v>
      </c>
      <c r="R4" s="17">
        <v>808448</v>
      </c>
    </row>
    <row r="5" spans="2:18" x14ac:dyDescent="0.3">
      <c r="B5" s="24" t="s">
        <v>97</v>
      </c>
      <c r="C5" s="17">
        <v>646875</v>
      </c>
      <c r="E5" s="24" t="s">
        <v>97</v>
      </c>
      <c r="F5" s="18">
        <v>151875</v>
      </c>
      <c r="H5" s="24" t="s">
        <v>1295</v>
      </c>
      <c r="I5" s="17">
        <v>2424597</v>
      </c>
      <c r="K5" s="24" t="s">
        <v>69</v>
      </c>
      <c r="L5" s="17">
        <v>5619621</v>
      </c>
      <c r="N5" s="24" t="s">
        <v>123</v>
      </c>
      <c r="O5" s="17">
        <v>478225</v>
      </c>
      <c r="Q5" s="24" t="s">
        <v>242</v>
      </c>
      <c r="R5" s="17">
        <v>1237320</v>
      </c>
    </row>
    <row r="6" spans="2:18" x14ac:dyDescent="0.3">
      <c r="B6" s="24" t="s">
        <v>113</v>
      </c>
      <c r="C6" s="17">
        <v>698880</v>
      </c>
      <c r="E6" s="24" t="s">
        <v>113</v>
      </c>
      <c r="F6" s="18">
        <v>133880</v>
      </c>
      <c r="H6" s="24" t="s">
        <v>1296</v>
      </c>
      <c r="I6" s="17">
        <v>4059235</v>
      </c>
      <c r="K6" s="24" t="s">
        <v>80</v>
      </c>
      <c r="L6" s="17">
        <v>15293809</v>
      </c>
      <c r="N6" s="24" t="s">
        <v>72</v>
      </c>
      <c r="O6" s="17">
        <v>10725940</v>
      </c>
      <c r="Q6" s="24" t="s">
        <v>533</v>
      </c>
      <c r="R6" s="17">
        <v>825040</v>
      </c>
    </row>
    <row r="7" spans="2:18" x14ac:dyDescent="0.3">
      <c r="B7" s="24" t="s">
        <v>1291</v>
      </c>
      <c r="C7" s="17">
        <v>45193009</v>
      </c>
      <c r="E7" s="24" t="s">
        <v>1291</v>
      </c>
      <c r="F7" s="18">
        <v>3174409</v>
      </c>
      <c r="H7" s="24" t="s">
        <v>1297</v>
      </c>
      <c r="I7" s="17">
        <v>2721255</v>
      </c>
      <c r="K7" s="24" t="s">
        <v>42</v>
      </c>
      <c r="L7" s="17">
        <v>19294426</v>
      </c>
      <c r="N7" s="24" t="s">
        <v>64</v>
      </c>
      <c r="O7" s="17">
        <v>8451220</v>
      </c>
      <c r="Q7" s="24" t="s">
        <v>167</v>
      </c>
      <c r="R7" s="17">
        <v>692545</v>
      </c>
    </row>
    <row r="8" spans="2:18" x14ac:dyDescent="0.3">
      <c r="H8" s="24" t="s">
        <v>1298</v>
      </c>
      <c r="I8" s="17">
        <v>4632246</v>
      </c>
      <c r="K8" s="24" t="s">
        <v>1291</v>
      </c>
      <c r="L8" s="17">
        <v>45193009</v>
      </c>
      <c r="N8" s="24" t="s">
        <v>84</v>
      </c>
      <c r="O8" s="17">
        <v>7418880</v>
      </c>
      <c r="Q8" s="24" t="s">
        <v>297</v>
      </c>
      <c r="R8" s="17">
        <v>644691</v>
      </c>
    </row>
    <row r="9" spans="2:18" x14ac:dyDescent="0.3">
      <c r="H9" s="24" t="s">
        <v>1299</v>
      </c>
      <c r="I9" s="17">
        <v>3013811</v>
      </c>
      <c r="N9" s="24" t="s">
        <v>99</v>
      </c>
      <c r="O9" s="17">
        <v>646875</v>
      </c>
      <c r="Q9" s="24" t="s">
        <v>266</v>
      </c>
      <c r="R9" s="17">
        <v>709850</v>
      </c>
    </row>
    <row r="10" spans="2:18" x14ac:dyDescent="0.3">
      <c r="B10" s="27" t="s">
        <v>1290</v>
      </c>
      <c r="C10" t="s">
        <v>1292</v>
      </c>
      <c r="E10" s="27" t="s">
        <v>1290</v>
      </c>
      <c r="F10" t="s">
        <v>1306</v>
      </c>
      <c r="H10" s="24" t="s">
        <v>1300</v>
      </c>
      <c r="I10" s="17">
        <v>3559245</v>
      </c>
      <c r="N10" s="24" t="s">
        <v>115</v>
      </c>
      <c r="O10" s="17">
        <v>698880</v>
      </c>
      <c r="Q10" s="24" t="s">
        <v>388</v>
      </c>
      <c r="R10" s="17">
        <v>618500</v>
      </c>
    </row>
    <row r="11" spans="2:18" x14ac:dyDescent="0.3">
      <c r="B11" s="24" t="s">
        <v>68</v>
      </c>
      <c r="C11" s="17">
        <v>5619621</v>
      </c>
      <c r="E11" s="24" t="s">
        <v>100</v>
      </c>
      <c r="F11" s="38">
        <v>79</v>
      </c>
      <c r="H11" s="24" t="s">
        <v>1301</v>
      </c>
      <c r="I11" s="17">
        <v>3630152</v>
      </c>
      <c r="K11" s="27" t="s">
        <v>1290</v>
      </c>
      <c r="L11" t="s">
        <v>1306</v>
      </c>
      <c r="N11" s="24" t="s">
        <v>47</v>
      </c>
      <c r="O11" s="17">
        <v>4751235</v>
      </c>
      <c r="Q11" s="24" t="s">
        <v>175</v>
      </c>
      <c r="R11" s="17">
        <v>1079990</v>
      </c>
    </row>
    <row r="12" spans="2:18" x14ac:dyDescent="0.3">
      <c r="B12" s="24" t="s">
        <v>41</v>
      </c>
      <c r="C12" s="17">
        <v>13255822</v>
      </c>
      <c r="E12" s="24" t="s">
        <v>56</v>
      </c>
      <c r="F12" s="38">
        <v>93</v>
      </c>
      <c r="H12" s="24" t="s">
        <v>1302</v>
      </c>
      <c r="I12" s="17">
        <v>4558724</v>
      </c>
      <c r="K12" s="24" t="s">
        <v>101</v>
      </c>
      <c r="L12" s="38">
        <v>114</v>
      </c>
      <c r="N12" s="24" t="s">
        <v>1291</v>
      </c>
      <c r="O12" s="17">
        <v>45193009</v>
      </c>
      <c r="Q12" s="24" t="s">
        <v>314</v>
      </c>
      <c r="R12" s="17">
        <v>740896</v>
      </c>
    </row>
    <row r="13" spans="2:18" x14ac:dyDescent="0.3">
      <c r="B13" s="24" t="s">
        <v>79</v>
      </c>
      <c r="C13" s="17">
        <v>5599472</v>
      </c>
      <c r="E13" s="24" t="s">
        <v>65</v>
      </c>
      <c r="F13" s="38">
        <v>72</v>
      </c>
      <c r="H13" s="24" t="s">
        <v>1303</v>
      </c>
      <c r="I13" s="17">
        <v>4139846</v>
      </c>
      <c r="K13" s="24" t="s">
        <v>49</v>
      </c>
      <c r="L13" s="38">
        <v>148</v>
      </c>
      <c r="Q13" s="24" t="s">
        <v>171</v>
      </c>
      <c r="R13" s="17">
        <v>792785</v>
      </c>
    </row>
    <row r="14" spans="2:18" x14ac:dyDescent="0.3">
      <c r="B14" s="24" t="s">
        <v>61</v>
      </c>
      <c r="C14" s="17">
        <v>6038604</v>
      </c>
      <c r="E14" s="24" t="s">
        <v>73</v>
      </c>
      <c r="F14" s="38">
        <v>93</v>
      </c>
      <c r="H14" s="24" t="s">
        <v>1304</v>
      </c>
      <c r="I14" s="17">
        <v>3714252</v>
      </c>
      <c r="K14" s="24" t="s">
        <v>74</v>
      </c>
      <c r="L14" s="38">
        <v>114</v>
      </c>
      <c r="Q14" s="24" t="s">
        <v>1291</v>
      </c>
      <c r="R14" s="17">
        <v>8150065</v>
      </c>
    </row>
    <row r="15" spans="2:18" x14ac:dyDescent="0.3">
      <c r="B15" s="24" t="s">
        <v>111</v>
      </c>
      <c r="C15" s="17">
        <v>5057641</v>
      </c>
      <c r="E15" s="24" t="s">
        <v>48</v>
      </c>
      <c r="F15" s="38">
        <v>87</v>
      </c>
      <c r="H15" s="24" t="s">
        <v>1305</v>
      </c>
      <c r="I15" s="17">
        <v>3492948</v>
      </c>
      <c r="K15" s="24" t="s">
        <v>106</v>
      </c>
      <c r="L15" s="38">
        <v>124</v>
      </c>
      <c r="N15" s="27" t="s">
        <v>1290</v>
      </c>
      <c r="O15" t="s">
        <v>1292</v>
      </c>
    </row>
    <row r="16" spans="2:18" x14ac:dyDescent="0.3">
      <c r="B16" s="24" t="s">
        <v>89</v>
      </c>
      <c r="C16" s="17">
        <v>4636696</v>
      </c>
      <c r="E16" s="24" t="s">
        <v>92</v>
      </c>
      <c r="F16" s="38">
        <v>76</v>
      </c>
      <c r="H16" s="24" t="s">
        <v>1291</v>
      </c>
      <c r="I16" s="17">
        <v>45193009</v>
      </c>
      <c r="K16" s="24" t="s">
        <v>1291</v>
      </c>
      <c r="L16" s="38">
        <v>500</v>
      </c>
      <c r="N16" s="24" t="s">
        <v>1307</v>
      </c>
      <c r="O16" s="17">
        <v>42365974</v>
      </c>
      <c r="Q16" s="27" t="s">
        <v>1290</v>
      </c>
      <c r="R16" t="s">
        <v>1292</v>
      </c>
    </row>
    <row r="17" spans="2:18" x14ac:dyDescent="0.3">
      <c r="B17" s="24" t="s">
        <v>120</v>
      </c>
      <c r="C17" s="17">
        <v>4985153</v>
      </c>
      <c r="E17" s="24" t="s">
        <v>1291</v>
      </c>
      <c r="F17" s="38">
        <v>500</v>
      </c>
      <c r="N17" s="24" t="s">
        <v>1308</v>
      </c>
      <c r="O17" s="17">
        <v>2827035</v>
      </c>
      <c r="Q17" s="24" t="s">
        <v>71</v>
      </c>
      <c r="R17" s="17">
        <v>10725940</v>
      </c>
    </row>
    <row r="18" spans="2:18" x14ac:dyDescent="0.3">
      <c r="B18" s="24" t="s">
        <v>1291</v>
      </c>
      <c r="C18" s="17">
        <v>45193009</v>
      </c>
      <c r="N18" s="24" t="s">
        <v>1291</v>
      </c>
      <c r="O18" s="17">
        <v>45193009</v>
      </c>
      <c r="Q18" s="24" t="s">
        <v>163</v>
      </c>
      <c r="R18" s="17">
        <v>8451220</v>
      </c>
    </row>
    <row r="19" spans="2:18" x14ac:dyDescent="0.3">
      <c r="Q19" s="24" t="s">
        <v>173</v>
      </c>
      <c r="R19" s="17">
        <v>12021754</v>
      </c>
    </row>
    <row r="20" spans="2:18" x14ac:dyDescent="0.3">
      <c r="B20" s="27" t="s">
        <v>1290</v>
      </c>
      <c r="C20" t="s">
        <v>1292</v>
      </c>
      <c r="E20" s="27" t="s">
        <v>1290</v>
      </c>
      <c r="F20" t="s">
        <v>1319</v>
      </c>
      <c r="H20" s="27" t="s">
        <v>1290</v>
      </c>
      <c r="I20" t="s">
        <v>1320</v>
      </c>
      <c r="K20" s="27" t="s">
        <v>1290</v>
      </c>
      <c r="L20" t="s">
        <v>1293</v>
      </c>
      <c r="N20" s="27" t="s">
        <v>1290</v>
      </c>
      <c r="O20" t="s">
        <v>1306</v>
      </c>
      <c r="Q20" s="24" t="s">
        <v>82</v>
      </c>
      <c r="R20" s="17">
        <v>7418880</v>
      </c>
    </row>
    <row r="21" spans="2:18" x14ac:dyDescent="0.3">
      <c r="B21" s="24" t="s">
        <v>101</v>
      </c>
      <c r="C21" s="17">
        <v>10248925</v>
      </c>
      <c r="E21" s="24" t="s">
        <v>55</v>
      </c>
      <c r="F21" s="39">
        <v>3.603448275862069</v>
      </c>
      <c r="H21" s="24" t="s">
        <v>45</v>
      </c>
      <c r="I21" s="38">
        <v>1142</v>
      </c>
      <c r="K21" s="24" t="s">
        <v>121</v>
      </c>
      <c r="L21" s="18">
        <v>252753</v>
      </c>
      <c r="N21" s="24" t="s">
        <v>1294</v>
      </c>
      <c r="O21" s="38">
        <v>50</v>
      </c>
      <c r="Q21" s="24" t="s">
        <v>44</v>
      </c>
      <c r="R21" s="17">
        <v>4751235</v>
      </c>
    </row>
    <row r="22" spans="2:18" x14ac:dyDescent="0.3">
      <c r="B22" s="24" t="s">
        <v>49</v>
      </c>
      <c r="C22" s="17">
        <v>11488370</v>
      </c>
      <c r="E22" s="24" t="s">
        <v>123</v>
      </c>
      <c r="F22" s="39">
        <v>3.5571428571428569</v>
      </c>
      <c r="H22" s="24" t="s">
        <v>97</v>
      </c>
      <c r="I22" s="38">
        <v>165</v>
      </c>
      <c r="K22" s="24" t="s">
        <v>69</v>
      </c>
      <c r="L22" s="18">
        <v>394121</v>
      </c>
      <c r="N22" s="24" t="s">
        <v>1295</v>
      </c>
      <c r="O22" s="38">
        <v>33</v>
      </c>
      <c r="Q22" s="24" t="s">
        <v>1291</v>
      </c>
      <c r="R22" s="17">
        <v>43369029</v>
      </c>
    </row>
    <row r="23" spans="2:18" x14ac:dyDescent="0.3">
      <c r="B23" s="24" t="s">
        <v>74</v>
      </c>
      <c r="C23" s="17">
        <v>10395376</v>
      </c>
      <c r="E23" s="24" t="s">
        <v>72</v>
      </c>
      <c r="F23" s="39">
        <v>3.596774193548387</v>
      </c>
      <c r="H23" s="24" t="s">
        <v>113</v>
      </c>
      <c r="I23" s="38">
        <v>226</v>
      </c>
      <c r="K23" s="24" t="s">
        <v>80</v>
      </c>
      <c r="L23" s="18">
        <v>1338209</v>
      </c>
      <c r="N23" s="24" t="s">
        <v>1296</v>
      </c>
      <c r="O23" s="38">
        <v>39</v>
      </c>
    </row>
    <row r="24" spans="2:18" x14ac:dyDescent="0.3">
      <c r="B24" s="24" t="s">
        <v>106</v>
      </c>
      <c r="C24" s="17">
        <v>13060338</v>
      </c>
      <c r="E24" s="24" t="s">
        <v>64</v>
      </c>
      <c r="F24" s="39">
        <v>3.5185185185185186</v>
      </c>
      <c r="H24" s="24" t="s">
        <v>1291</v>
      </c>
      <c r="I24" s="38">
        <v>1533</v>
      </c>
      <c r="K24" s="24" t="s">
        <v>42</v>
      </c>
      <c r="L24" s="18">
        <v>1189326</v>
      </c>
      <c r="N24" s="24" t="s">
        <v>1297</v>
      </c>
      <c r="O24" s="38">
        <v>38</v>
      </c>
    </row>
    <row r="25" spans="2:18" x14ac:dyDescent="0.3">
      <c r="B25" s="24" t="s">
        <v>1291</v>
      </c>
      <c r="C25" s="17">
        <v>45193009</v>
      </c>
      <c r="E25" s="24" t="s">
        <v>84</v>
      </c>
      <c r="F25" s="39">
        <v>3.3970588235294117</v>
      </c>
      <c r="K25" s="24" t="s">
        <v>1291</v>
      </c>
      <c r="L25" s="18">
        <v>3174409</v>
      </c>
      <c r="N25" s="24" t="s">
        <v>1298</v>
      </c>
      <c r="O25" s="38">
        <v>44</v>
      </c>
    </row>
    <row r="26" spans="2:18" x14ac:dyDescent="0.3">
      <c r="E26" s="24" t="s">
        <v>99</v>
      </c>
      <c r="F26" s="39">
        <v>3.6551724137931036</v>
      </c>
      <c r="N26" s="24" t="s">
        <v>1299</v>
      </c>
      <c r="O26" s="38">
        <v>30</v>
      </c>
    </row>
    <row r="27" spans="2:18" x14ac:dyDescent="0.3">
      <c r="E27" s="24" t="s">
        <v>115</v>
      </c>
      <c r="F27" s="39">
        <v>3.6956521739130435</v>
      </c>
      <c r="N27" s="24" t="s">
        <v>1300</v>
      </c>
      <c r="O27" s="38">
        <v>39</v>
      </c>
    </row>
    <row r="28" spans="2:18" x14ac:dyDescent="0.3">
      <c r="E28" s="24" t="s">
        <v>47</v>
      </c>
      <c r="F28" s="39">
        <v>3.4918032786885247</v>
      </c>
      <c r="N28" s="24" t="s">
        <v>1301</v>
      </c>
      <c r="O28" s="38">
        <v>37</v>
      </c>
    </row>
    <row r="29" spans="2:18" x14ac:dyDescent="0.3">
      <c r="E29" s="24" t="s">
        <v>1291</v>
      </c>
      <c r="F29" s="39">
        <v>3.5640000000000001</v>
      </c>
      <c r="N29" s="24" t="s">
        <v>1302</v>
      </c>
      <c r="O29" s="38">
        <v>66</v>
      </c>
    </row>
    <row r="30" spans="2:18" x14ac:dyDescent="0.3">
      <c r="N30" s="24" t="s">
        <v>1303</v>
      </c>
      <c r="O30" s="38">
        <v>42</v>
      </c>
    </row>
    <row r="31" spans="2:18" x14ac:dyDescent="0.3">
      <c r="N31" s="24" t="s">
        <v>1304</v>
      </c>
      <c r="O31" s="38">
        <v>41</v>
      </c>
    </row>
    <row r="32" spans="2:18" x14ac:dyDescent="0.3">
      <c r="N32" s="24" t="s">
        <v>1305</v>
      </c>
      <c r="O32" s="38">
        <v>41</v>
      </c>
    </row>
    <row r="33" spans="14:15" x14ac:dyDescent="0.3">
      <c r="N33" s="24" t="s">
        <v>1291</v>
      </c>
      <c r="O33" s="38">
        <v>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41885-604B-4E03-BE72-1CB78575BFE8}">
  <dimension ref="A1"/>
  <sheetViews>
    <sheetView topLeftCell="F10" zoomScale="71" workbookViewId="0">
      <selection activeCell="R41" sqref="R41"/>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19704-05CA-4244-BA4C-DBDB90874490}">
  <dimension ref="A1:AW50"/>
  <sheetViews>
    <sheetView showGridLines="0" showRowColHeaders="0" tabSelected="1" zoomScale="43" zoomScaleNormal="95" workbookViewId="0">
      <selection activeCell="AC58" sqref="AC58"/>
    </sheetView>
  </sheetViews>
  <sheetFormatPr defaultRowHeight="14.4" x14ac:dyDescent="0.3"/>
  <sheetData>
    <row r="1" spans="1:49" ht="14.4" customHeight="1" x14ac:dyDescent="0.3">
      <c r="A1" s="31" t="s">
        <v>1314</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row>
    <row r="2" spans="1:49" ht="14.4" customHeight="1" x14ac:dyDescent="0.3">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row>
    <row r="4" spans="1:49" ht="23.4" x14ac:dyDescent="0.45">
      <c r="B4" s="29" t="s">
        <v>1309</v>
      </c>
      <c r="C4" s="29"/>
      <c r="D4" s="29"/>
      <c r="H4" s="29" t="s">
        <v>1310</v>
      </c>
      <c r="I4" s="29"/>
      <c r="J4" s="29"/>
      <c r="N4" s="29" t="s">
        <v>1311</v>
      </c>
      <c r="O4" s="29"/>
      <c r="P4" s="29"/>
      <c r="S4" s="34"/>
      <c r="T4" s="30" t="s">
        <v>1312</v>
      </c>
      <c r="U4" s="30"/>
      <c r="V4" s="30"/>
      <c r="X4" s="35"/>
      <c r="Y4" s="35"/>
      <c r="Z4" s="29" t="s">
        <v>1287</v>
      </c>
      <c r="AA4" s="29"/>
      <c r="AB4" s="29"/>
      <c r="AC4" s="35"/>
      <c r="AD4" s="35"/>
      <c r="AE4" s="35"/>
      <c r="AF4" s="29" t="s">
        <v>1313</v>
      </c>
      <c r="AG4" s="29"/>
      <c r="AH4" s="29"/>
      <c r="AL4" s="29" t="s">
        <v>1316</v>
      </c>
      <c r="AM4" s="29"/>
      <c r="AN4" s="29"/>
      <c r="AR4" s="29" t="s">
        <v>1317</v>
      </c>
      <c r="AS4" s="29"/>
      <c r="AT4" s="29"/>
    </row>
    <row r="5" spans="1:49" ht="23.4" x14ac:dyDescent="0.45">
      <c r="B5" s="32">
        <v>45193009</v>
      </c>
      <c r="C5" s="32"/>
      <c r="D5" s="32"/>
      <c r="H5" s="33">
        <v>3174409</v>
      </c>
      <c r="I5" s="33"/>
      <c r="J5" s="33"/>
      <c r="N5" s="29">
        <v>500</v>
      </c>
      <c r="O5" s="29"/>
      <c r="P5" s="29"/>
      <c r="S5" s="35"/>
      <c r="T5" s="29">
        <v>500</v>
      </c>
      <c r="U5" s="29"/>
      <c r="V5" s="29"/>
      <c r="X5" s="35"/>
      <c r="Y5" s="35"/>
      <c r="Z5" s="29">
        <v>3.56</v>
      </c>
      <c r="AA5" s="29"/>
      <c r="AB5" s="29"/>
      <c r="AC5" s="34"/>
      <c r="AD5" s="34"/>
      <c r="AE5" s="34"/>
      <c r="AF5" s="29">
        <v>1533</v>
      </c>
      <c r="AG5" s="29"/>
      <c r="AH5" s="29"/>
      <c r="AL5" s="37">
        <v>7.0199999999999999E-2</v>
      </c>
      <c r="AM5" s="37"/>
      <c r="AN5" s="37"/>
      <c r="AR5" s="37">
        <v>0.29599999999999999</v>
      </c>
      <c r="AS5" s="37"/>
      <c r="AT5" s="37"/>
    </row>
    <row r="7" spans="1:49" x14ac:dyDescent="0.3">
      <c r="F7" s="28"/>
    </row>
    <row r="17" spans="1:8" x14ac:dyDescent="0.3">
      <c r="H17" s="28"/>
    </row>
    <row r="23" spans="1:8" x14ac:dyDescent="0.3">
      <c r="A23" t="s">
        <v>1315</v>
      </c>
    </row>
    <row r="34" spans="39:47" ht="14.4" customHeight="1" x14ac:dyDescent="0.3">
      <c r="AM34" s="40"/>
      <c r="AN34" s="41"/>
      <c r="AO34" s="41"/>
      <c r="AP34" s="41"/>
      <c r="AQ34" s="41"/>
      <c r="AR34" s="41"/>
      <c r="AS34" s="41"/>
      <c r="AT34" s="41"/>
      <c r="AU34" s="41"/>
    </row>
    <row r="35" spans="39:47" ht="14.4" customHeight="1" x14ac:dyDescent="0.3">
      <c r="AM35" s="41"/>
      <c r="AN35" s="41"/>
      <c r="AO35" s="41"/>
      <c r="AP35" s="41"/>
      <c r="AQ35" s="41"/>
      <c r="AR35" s="41"/>
      <c r="AS35" s="41"/>
      <c r="AT35" s="41"/>
      <c r="AU35" s="41"/>
    </row>
    <row r="36" spans="39:47" ht="14.4" customHeight="1" x14ac:dyDescent="0.3">
      <c r="AM36" s="41"/>
      <c r="AN36" s="41"/>
      <c r="AO36" s="41"/>
      <c r="AP36" s="41"/>
      <c r="AQ36" s="41"/>
      <c r="AR36" s="41"/>
      <c r="AS36" s="41"/>
      <c r="AT36" s="41"/>
      <c r="AU36" s="41"/>
    </row>
    <row r="37" spans="39:47" ht="14.4" customHeight="1" x14ac:dyDescent="0.3">
      <c r="AM37" s="41"/>
      <c r="AN37" s="41"/>
      <c r="AO37" s="41"/>
      <c r="AP37" s="41"/>
      <c r="AQ37" s="41"/>
      <c r="AR37" s="41"/>
      <c r="AS37" s="41"/>
      <c r="AT37" s="41"/>
      <c r="AU37" s="41"/>
    </row>
    <row r="38" spans="39:47" ht="14.4" customHeight="1" x14ac:dyDescent="0.3">
      <c r="AM38" s="41"/>
      <c r="AN38" s="41"/>
      <c r="AO38" s="41"/>
      <c r="AP38" s="41"/>
      <c r="AQ38" s="41"/>
      <c r="AR38" s="41"/>
      <c r="AS38" s="41"/>
      <c r="AT38" s="41"/>
      <c r="AU38" s="41"/>
    </row>
    <row r="39" spans="39:47" ht="14.4" customHeight="1" x14ac:dyDescent="0.3">
      <c r="AM39" s="41"/>
      <c r="AN39" s="41"/>
      <c r="AO39" s="41"/>
      <c r="AP39" s="41"/>
      <c r="AQ39" s="41"/>
      <c r="AR39" s="41"/>
      <c r="AS39" s="41"/>
      <c r="AT39" s="41"/>
      <c r="AU39" s="41"/>
    </row>
    <row r="40" spans="39:47" ht="14.4" customHeight="1" x14ac:dyDescent="0.3">
      <c r="AM40" s="41"/>
      <c r="AN40" s="41"/>
      <c r="AO40" s="41"/>
      <c r="AP40" s="41"/>
      <c r="AQ40" s="41"/>
      <c r="AR40" s="41"/>
      <c r="AS40" s="41"/>
      <c r="AT40" s="41"/>
      <c r="AU40" s="41"/>
    </row>
    <row r="41" spans="39:47" ht="14.4" customHeight="1" x14ac:dyDescent="0.3">
      <c r="AM41" s="41"/>
      <c r="AN41" s="41"/>
      <c r="AO41" s="41"/>
      <c r="AP41" s="41"/>
      <c r="AQ41" s="41"/>
      <c r="AR41" s="41"/>
      <c r="AS41" s="41"/>
      <c r="AT41" s="41"/>
      <c r="AU41" s="41"/>
    </row>
    <row r="42" spans="39:47" ht="14.4" customHeight="1" x14ac:dyDescent="0.3">
      <c r="AM42" s="41"/>
      <c r="AN42" s="41"/>
      <c r="AO42" s="41"/>
      <c r="AP42" s="41"/>
      <c r="AQ42" s="41"/>
      <c r="AR42" s="41"/>
      <c r="AS42" s="41"/>
      <c r="AT42" s="41"/>
      <c r="AU42" s="41"/>
    </row>
    <row r="43" spans="39:47" ht="14.4" customHeight="1" x14ac:dyDescent="0.3">
      <c r="AM43" s="41"/>
      <c r="AN43" s="41"/>
      <c r="AO43" s="41"/>
      <c r="AP43" s="41"/>
      <c r="AQ43" s="41"/>
      <c r="AR43" s="41"/>
      <c r="AS43" s="41"/>
      <c r="AT43" s="41"/>
      <c r="AU43" s="41"/>
    </row>
    <row r="44" spans="39:47" ht="14.4" customHeight="1" x14ac:dyDescent="0.3">
      <c r="AM44" s="41"/>
      <c r="AN44" s="41"/>
      <c r="AO44" s="41"/>
      <c r="AP44" s="41"/>
      <c r="AQ44" s="41"/>
      <c r="AR44" s="41"/>
      <c r="AS44" s="41"/>
      <c r="AT44" s="41"/>
      <c r="AU44" s="41"/>
    </row>
    <row r="45" spans="39:47" ht="14.4" customHeight="1" x14ac:dyDescent="0.3">
      <c r="AM45" s="41"/>
      <c r="AN45" s="41"/>
      <c r="AO45" s="41"/>
      <c r="AP45" s="41"/>
      <c r="AQ45" s="41"/>
      <c r="AR45" s="41"/>
      <c r="AS45" s="41"/>
      <c r="AT45" s="41"/>
      <c r="AU45" s="41"/>
    </row>
    <row r="46" spans="39:47" ht="14.4" customHeight="1" x14ac:dyDescent="0.3">
      <c r="AM46" s="41"/>
      <c r="AN46" s="41"/>
      <c r="AO46" s="41"/>
      <c r="AP46" s="41"/>
      <c r="AQ46" s="41"/>
      <c r="AR46" s="41"/>
      <c r="AS46" s="41"/>
      <c r="AT46" s="41"/>
      <c r="AU46" s="41"/>
    </row>
    <row r="47" spans="39:47" ht="14.4" customHeight="1" x14ac:dyDescent="0.3">
      <c r="AM47" s="41"/>
      <c r="AN47" s="41"/>
      <c r="AO47" s="41"/>
      <c r="AP47" s="41"/>
      <c r="AQ47" s="41"/>
      <c r="AR47" s="41"/>
      <c r="AS47" s="41"/>
      <c r="AT47" s="41"/>
      <c r="AU47" s="41"/>
    </row>
    <row r="48" spans="39:47" ht="14.4" customHeight="1" x14ac:dyDescent="0.3">
      <c r="AM48" s="41"/>
      <c r="AN48" s="41"/>
      <c r="AO48" s="41"/>
      <c r="AP48" s="41"/>
      <c r="AQ48" s="41"/>
      <c r="AR48" s="41"/>
      <c r="AS48" s="41"/>
      <c r="AT48" s="41"/>
      <c r="AU48" s="41"/>
    </row>
    <row r="49" spans="39:47" ht="14.4" customHeight="1" x14ac:dyDescent="0.3">
      <c r="AM49" s="41"/>
      <c r="AN49" s="41"/>
      <c r="AO49" s="41"/>
      <c r="AP49" s="41"/>
      <c r="AQ49" s="41"/>
      <c r="AR49" s="41"/>
      <c r="AS49" s="41"/>
      <c r="AT49" s="41"/>
      <c r="AU49" s="41"/>
    </row>
    <row r="50" spans="39:47" ht="14.4" customHeight="1" x14ac:dyDescent="0.3">
      <c r="AM50" s="41"/>
      <c r="AN50" s="41"/>
      <c r="AO50" s="41"/>
      <c r="AP50" s="41"/>
      <c r="AQ50" s="41"/>
      <c r="AR50" s="41"/>
      <c r="AS50" s="41"/>
      <c r="AT50" s="41"/>
      <c r="AU50" s="41"/>
    </row>
  </sheetData>
  <mergeCells count="17">
    <mergeCell ref="AL4:AN4"/>
    <mergeCell ref="AL5:AN5"/>
    <mergeCell ref="AR4:AT4"/>
    <mergeCell ref="AR5:AT5"/>
    <mergeCell ref="A1:AW2"/>
    <mergeCell ref="T5:V5"/>
    <mergeCell ref="Z4:AB4"/>
    <mergeCell ref="Z5:AB5"/>
    <mergeCell ref="AF4:AH4"/>
    <mergeCell ref="AF5:AH5"/>
    <mergeCell ref="B4:D4"/>
    <mergeCell ref="B5:D5"/>
    <mergeCell ref="H4:J4"/>
    <mergeCell ref="H5:J5"/>
    <mergeCell ref="N4:P4"/>
    <mergeCell ref="N5:P5"/>
    <mergeCell ref="T4:V4"/>
  </mergeCells>
  <phoneticPr fontId="2" type="noConversion"/>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 table</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kavya rami</dc:creator>
  <cp:lastModifiedBy>kavya rami</cp:lastModifiedBy>
  <dcterms:created xsi:type="dcterms:W3CDTF">2026-07-15T14:31:36Z</dcterms:created>
  <dcterms:modified xsi:type="dcterms:W3CDTF">2026-07-23T14:35:25Z</dcterms:modified>
</cp:coreProperties>
</file>